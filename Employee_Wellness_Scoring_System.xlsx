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"/>
    </mc:Choice>
  </mc:AlternateContent>
  <xr:revisionPtr revIDLastSave="0" documentId="8_{4F29C370-AA24-4ECE-AE6B-41A4B0FB21A7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Employee_Master!$A$1:$C$1</definedName>
    <definedName name="_xlnm._FilterDatabase" localSheetId="3" hidden="1">Participation_Entry!$A$1:$L$200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2" i="4"/>
  <c r="B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3" i="4"/>
  <c r="H81" i="3"/>
  <c r="D2" i="4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K14" i="3" l="1"/>
  <c r="L14" i="3" s="1"/>
  <c r="K17" i="3"/>
  <c r="L17" i="3" s="1"/>
  <c r="K13" i="3"/>
  <c r="L13" i="3" s="1"/>
  <c r="K12" i="3"/>
  <c r="L12" i="3" s="1"/>
  <c r="K10" i="3"/>
  <c r="L10" i="3" s="1"/>
  <c r="K7" i="3"/>
  <c r="L7" i="3" s="1"/>
  <c r="K5" i="3"/>
  <c r="L5" i="3" s="1"/>
  <c r="K3" i="3"/>
  <c r="L3" i="3" s="1"/>
  <c r="K15" i="3"/>
  <c r="L15" i="3" s="1"/>
  <c r="K9" i="3"/>
  <c r="L9" i="3" s="1"/>
  <c r="K8" i="3"/>
  <c r="L8" i="3" s="1"/>
  <c r="K6" i="3"/>
  <c r="L6" i="3" s="1"/>
  <c r="K4" i="3"/>
  <c r="L4" i="3" s="1"/>
  <c r="K2" i="3"/>
  <c r="L2" i="3" s="1"/>
  <c r="K11" i="3"/>
  <c r="L11" i="3" s="1"/>
  <c r="K16" i="3"/>
  <c r="L16" i="3" s="1"/>
  <c r="K18" i="3"/>
  <c r="L18" i="3" s="1"/>
  <c r="K19" i="3"/>
  <c r="L19" i="3" s="1"/>
  <c r="K21" i="3"/>
  <c r="L21" i="3" s="1"/>
  <c r="K22" i="3"/>
  <c r="L22" i="3" s="1"/>
  <c r="K23" i="3"/>
  <c r="L23" i="3" s="1"/>
  <c r="K24" i="3"/>
  <c r="L24" i="3" s="1"/>
  <c r="K25" i="3"/>
  <c r="L25" i="3" s="1"/>
  <c r="K26" i="3"/>
  <c r="L26" i="3" s="1"/>
  <c r="K27" i="3"/>
  <c r="L27" i="3" s="1"/>
  <c r="K28" i="3"/>
  <c r="L28" i="3" s="1"/>
  <c r="K29" i="3"/>
  <c r="L29" i="3" s="1"/>
  <c r="K30" i="3"/>
  <c r="L30" i="3" s="1"/>
  <c r="K31" i="3"/>
  <c r="L31" i="3" s="1"/>
  <c r="K32" i="3"/>
  <c r="L32" i="3" s="1"/>
  <c r="K33" i="3"/>
  <c r="L33" i="3" s="1"/>
  <c r="K34" i="3"/>
  <c r="L34" i="3" s="1"/>
  <c r="K35" i="3"/>
  <c r="L35" i="3" s="1"/>
  <c r="K36" i="3"/>
  <c r="L36" i="3" s="1"/>
  <c r="K37" i="3"/>
  <c r="L37" i="3" s="1"/>
  <c r="K38" i="3"/>
  <c r="L38" i="3" s="1"/>
  <c r="K39" i="3"/>
  <c r="L39" i="3" s="1"/>
  <c r="K40" i="3"/>
  <c r="L40" i="3" s="1"/>
  <c r="K41" i="3"/>
  <c r="L41" i="3" s="1"/>
  <c r="K42" i="3"/>
  <c r="L42" i="3" s="1"/>
  <c r="K43" i="3"/>
  <c r="L43" i="3" s="1"/>
  <c r="K44" i="3"/>
  <c r="L44" i="3" s="1"/>
  <c r="K45" i="3"/>
  <c r="L45" i="3" s="1"/>
  <c r="K46" i="3"/>
  <c r="L46" i="3" s="1"/>
  <c r="K47" i="3"/>
  <c r="L47" i="3" s="1"/>
  <c r="K48" i="3"/>
  <c r="L48" i="3" s="1"/>
  <c r="K49" i="3"/>
  <c r="L49" i="3" s="1"/>
  <c r="K50" i="3"/>
  <c r="L50" i="3" s="1"/>
  <c r="K51" i="3"/>
  <c r="L51" i="3" s="1"/>
  <c r="K52" i="3"/>
  <c r="L52" i="3" s="1"/>
  <c r="K53" i="3"/>
  <c r="L53" i="3" s="1"/>
  <c r="K54" i="3"/>
  <c r="L54" i="3" s="1"/>
  <c r="K55" i="3"/>
  <c r="L55" i="3" s="1"/>
  <c r="K56" i="3"/>
  <c r="L56" i="3" s="1"/>
  <c r="K57" i="3"/>
  <c r="L57" i="3" s="1"/>
  <c r="K58" i="3"/>
  <c r="L58" i="3" s="1"/>
  <c r="K59" i="3"/>
  <c r="L59" i="3" s="1"/>
  <c r="K60" i="3"/>
  <c r="L60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K82" i="3"/>
  <c r="L82" i="3" s="1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93" i="3"/>
  <c r="L93" i="3" s="1"/>
  <c r="K94" i="3"/>
  <c r="L94" i="3" s="1"/>
  <c r="K95" i="3"/>
  <c r="L95" i="3" s="1"/>
  <c r="K96" i="3"/>
  <c r="L96" i="3" s="1"/>
  <c r="K97" i="3"/>
  <c r="L97" i="3" s="1"/>
  <c r="K98" i="3"/>
  <c r="L98" i="3" s="1"/>
  <c r="K99" i="3"/>
  <c r="L99" i="3" s="1"/>
  <c r="K100" i="3"/>
  <c r="L100" i="3" s="1"/>
  <c r="K101" i="3"/>
  <c r="L101" i="3" s="1"/>
  <c r="K102" i="3"/>
  <c r="L102" i="3" s="1"/>
  <c r="K103" i="3"/>
  <c r="L103" i="3" s="1"/>
  <c r="K104" i="3"/>
  <c r="L104" i="3" s="1"/>
  <c r="K105" i="3"/>
  <c r="L105" i="3" s="1"/>
  <c r="K106" i="3"/>
  <c r="L106" i="3" s="1"/>
  <c r="K107" i="3"/>
  <c r="L107" i="3" s="1"/>
  <c r="K108" i="3"/>
  <c r="L108" i="3" s="1"/>
  <c r="K109" i="3"/>
  <c r="L109" i="3" s="1"/>
  <c r="K110" i="3"/>
  <c r="L110" i="3" s="1"/>
  <c r="K111" i="3"/>
  <c r="L111" i="3" s="1"/>
  <c r="K112" i="3"/>
  <c r="L112" i="3" s="1"/>
  <c r="K113" i="3"/>
  <c r="L113" i="3" s="1"/>
  <c r="K114" i="3"/>
  <c r="L114" i="3" s="1"/>
  <c r="K115" i="3"/>
  <c r="L115" i="3" s="1"/>
  <c r="K116" i="3"/>
  <c r="L116" i="3" s="1"/>
  <c r="K117" i="3"/>
  <c r="L117" i="3" s="1"/>
  <c r="K118" i="3"/>
  <c r="L118" i="3" s="1"/>
  <c r="K119" i="3"/>
  <c r="L119" i="3" s="1"/>
  <c r="K120" i="3"/>
  <c r="L120" i="3" s="1"/>
  <c r="K121" i="3"/>
  <c r="L121" i="3" s="1"/>
  <c r="K122" i="3"/>
  <c r="L122" i="3" s="1"/>
  <c r="K123" i="3"/>
  <c r="L123" i="3" s="1"/>
  <c r="K124" i="3"/>
  <c r="L124" i="3" s="1"/>
  <c r="K125" i="3"/>
  <c r="L125" i="3" s="1"/>
  <c r="K126" i="3"/>
  <c r="L126" i="3" s="1"/>
  <c r="K127" i="3"/>
  <c r="L127" i="3" s="1"/>
  <c r="K128" i="3"/>
  <c r="L128" i="3" s="1"/>
  <c r="K129" i="3"/>
  <c r="L129" i="3" s="1"/>
  <c r="K130" i="3"/>
  <c r="L130" i="3" s="1"/>
  <c r="K131" i="3"/>
  <c r="L131" i="3" s="1"/>
  <c r="K132" i="3"/>
  <c r="L132" i="3" s="1"/>
  <c r="K133" i="3"/>
  <c r="L133" i="3" s="1"/>
  <c r="K134" i="3"/>
  <c r="L134" i="3" s="1"/>
  <c r="K135" i="3"/>
  <c r="L135" i="3" s="1"/>
  <c r="K136" i="3"/>
  <c r="L136" i="3" s="1"/>
  <c r="K137" i="3"/>
  <c r="L137" i="3" s="1"/>
  <c r="K138" i="3"/>
  <c r="L138" i="3" s="1"/>
  <c r="K139" i="3"/>
  <c r="L139" i="3" s="1"/>
  <c r="K140" i="3"/>
  <c r="L140" i="3" s="1"/>
  <c r="K141" i="3"/>
  <c r="L141" i="3" s="1"/>
  <c r="K142" i="3"/>
  <c r="L142" i="3" s="1"/>
  <c r="K143" i="3"/>
  <c r="L143" i="3" s="1"/>
  <c r="K144" i="3"/>
  <c r="L144" i="3" s="1"/>
  <c r="K145" i="3"/>
  <c r="L145" i="3" s="1"/>
  <c r="K146" i="3"/>
  <c r="L146" i="3" s="1"/>
  <c r="K147" i="3"/>
  <c r="L147" i="3" s="1"/>
  <c r="K148" i="3"/>
  <c r="L148" i="3" s="1"/>
  <c r="K149" i="3"/>
  <c r="L149" i="3" s="1"/>
  <c r="K150" i="3"/>
  <c r="L150" i="3" s="1"/>
  <c r="K151" i="3"/>
  <c r="L151" i="3" s="1"/>
  <c r="K152" i="3"/>
  <c r="L152" i="3" s="1"/>
  <c r="K153" i="3"/>
  <c r="L153" i="3" s="1"/>
  <c r="K154" i="3"/>
  <c r="L154" i="3" s="1"/>
  <c r="K155" i="3"/>
  <c r="L155" i="3" s="1"/>
  <c r="K156" i="3"/>
  <c r="L156" i="3" s="1"/>
  <c r="K157" i="3"/>
  <c r="L157" i="3" s="1"/>
  <c r="K158" i="3"/>
  <c r="L158" i="3" s="1"/>
  <c r="K159" i="3"/>
  <c r="L159" i="3" s="1"/>
  <c r="K160" i="3"/>
  <c r="L160" i="3" s="1"/>
  <c r="K161" i="3"/>
  <c r="L161" i="3" s="1"/>
  <c r="K162" i="3"/>
  <c r="L162" i="3" s="1"/>
  <c r="K163" i="3"/>
  <c r="L163" i="3" s="1"/>
  <c r="K164" i="3"/>
  <c r="L164" i="3" s="1"/>
  <c r="K165" i="3"/>
  <c r="L165" i="3" s="1"/>
  <c r="K166" i="3"/>
  <c r="L166" i="3" s="1"/>
  <c r="K167" i="3"/>
  <c r="L167" i="3" s="1"/>
  <c r="K168" i="3"/>
  <c r="L168" i="3" s="1"/>
  <c r="K169" i="3"/>
  <c r="L169" i="3" s="1"/>
  <c r="K170" i="3"/>
  <c r="L170" i="3" s="1"/>
  <c r="K171" i="3"/>
  <c r="L171" i="3" s="1"/>
  <c r="K172" i="3"/>
  <c r="L172" i="3" s="1"/>
  <c r="K173" i="3"/>
  <c r="L173" i="3" s="1"/>
  <c r="K174" i="3"/>
  <c r="L174" i="3" s="1"/>
  <c r="K175" i="3"/>
  <c r="L175" i="3" s="1"/>
  <c r="K176" i="3"/>
  <c r="L176" i="3" s="1"/>
  <c r="K177" i="3"/>
  <c r="L177" i="3" s="1"/>
  <c r="K178" i="3"/>
  <c r="L178" i="3" s="1"/>
  <c r="K179" i="3"/>
  <c r="L179" i="3" s="1"/>
  <c r="K180" i="3"/>
  <c r="L180" i="3" s="1"/>
  <c r="K181" i="3"/>
  <c r="L181" i="3" s="1"/>
  <c r="K182" i="3"/>
  <c r="L182" i="3" s="1"/>
  <c r="K183" i="3"/>
  <c r="L183" i="3" s="1"/>
  <c r="K184" i="3"/>
  <c r="L184" i="3" s="1"/>
  <c r="K185" i="3"/>
  <c r="L185" i="3" s="1"/>
  <c r="K186" i="3"/>
  <c r="L186" i="3" s="1"/>
  <c r="K187" i="3"/>
  <c r="L187" i="3" s="1"/>
  <c r="K188" i="3"/>
  <c r="L188" i="3" s="1"/>
  <c r="K189" i="3"/>
  <c r="L189" i="3" s="1"/>
  <c r="K190" i="3"/>
  <c r="L190" i="3" s="1"/>
  <c r="K191" i="3"/>
  <c r="L191" i="3" s="1"/>
  <c r="K192" i="3"/>
  <c r="L192" i="3" s="1"/>
  <c r="K193" i="3"/>
  <c r="L193" i="3" s="1"/>
  <c r="K194" i="3"/>
  <c r="L194" i="3" s="1"/>
  <c r="K195" i="3"/>
  <c r="L195" i="3" s="1"/>
  <c r="K196" i="3"/>
  <c r="L196" i="3" s="1"/>
  <c r="K197" i="3"/>
  <c r="L197" i="3" s="1"/>
  <c r="K198" i="3"/>
  <c r="L198" i="3" s="1"/>
  <c r="K199" i="3"/>
  <c r="L199" i="3" s="1"/>
  <c r="K200" i="3"/>
  <c r="L200" i="3" s="1"/>
  <c r="K20" i="3"/>
  <c r="L20" i="3" s="1"/>
</calcChain>
</file>

<file path=xl/sharedStrings.xml><?xml version="1.0" encoding="utf-8"?>
<sst xmlns="http://schemas.openxmlformats.org/spreadsheetml/2006/main" count="1350" uniqueCount="271">
  <si>
    <t>Employee_ID</t>
  </si>
  <si>
    <t>Employee_Name</t>
  </si>
  <si>
    <t>Department</t>
  </si>
  <si>
    <t>Manoj Singh</t>
  </si>
  <si>
    <t>Bhanu Sirohi</t>
  </si>
  <si>
    <t>Deepak Sharma</t>
  </si>
  <si>
    <t>Jitender Yadav</t>
  </si>
  <si>
    <t>Gaurav Saxena</t>
  </si>
  <si>
    <t>Gaurav Singh Gurjar</t>
  </si>
  <si>
    <t>Maneesh Mohan</t>
  </si>
  <si>
    <t>Rohit Sharma</t>
  </si>
  <si>
    <t>Prashant Gupta</t>
  </si>
  <si>
    <t>Atishay Dwivedi</t>
  </si>
  <si>
    <t>Deepak Singh</t>
  </si>
  <si>
    <t>Manish Kumar</t>
  </si>
  <si>
    <t xml:space="preserve">Gaurav Kumar  </t>
  </si>
  <si>
    <t>Govind Rai</t>
  </si>
  <si>
    <t>Sanjaya Sahoo</t>
  </si>
  <si>
    <t>Anjali Sundrani</t>
  </si>
  <si>
    <t>Deepak Tiwari</t>
  </si>
  <si>
    <t>Arpanjot Singh</t>
  </si>
  <si>
    <t>Vivek Aswal</t>
  </si>
  <si>
    <t>Madhu Aggu</t>
  </si>
  <si>
    <t>Himanshu Saini</t>
  </si>
  <si>
    <t>Vishal Kumar</t>
  </si>
  <si>
    <t>Vikash Kumar</t>
  </si>
  <si>
    <t>Chironjee Narvare</t>
  </si>
  <si>
    <t>Chandraprakash Nandwana</t>
  </si>
  <si>
    <t>Sunil Kr. Singh</t>
  </si>
  <si>
    <t>Neha Chaturvedi</t>
  </si>
  <si>
    <t>Himanshu Sangar</t>
  </si>
  <si>
    <t>Dalip Sharma</t>
  </si>
  <si>
    <t>Arnima Thakur</t>
  </si>
  <si>
    <t>Sandeep Sengar</t>
  </si>
  <si>
    <t>Vivek Kumar Yadav</t>
  </si>
  <si>
    <t>Naresh Kumar</t>
  </si>
  <si>
    <t>Abhinesh Pandey</t>
  </si>
  <si>
    <t>Parmvir Singh</t>
  </si>
  <si>
    <t>Vivek Tiwari</t>
  </si>
  <si>
    <t>Keshav Dev</t>
  </si>
  <si>
    <t>Akshit Sood</t>
  </si>
  <si>
    <t>Karan Singh</t>
  </si>
  <si>
    <t>Risha Bansal</t>
  </si>
  <si>
    <t>Harjot Singh</t>
  </si>
  <si>
    <t>Manish Kr. Singh</t>
  </si>
  <si>
    <t>Tilak Raj</t>
  </si>
  <si>
    <t>Saurabh Kumar</t>
  </si>
  <si>
    <t>Gurwinder Singh</t>
  </si>
  <si>
    <t>Naveen Kumar</t>
  </si>
  <si>
    <t>Praveen Chandel</t>
  </si>
  <si>
    <t>Nishith Soni</t>
  </si>
  <si>
    <t>Mohit Kumar</t>
  </si>
  <si>
    <t>Jyotish  Patar</t>
  </si>
  <si>
    <t>Akash Deshmukh</t>
  </si>
  <si>
    <t>Simranjit Singh</t>
  </si>
  <si>
    <t>Ritik Kumar</t>
  </si>
  <si>
    <t>Manish Kumar Maury</t>
  </si>
  <si>
    <t>Govind Saini</t>
  </si>
  <si>
    <t>Kawaljot Kaur</t>
  </si>
  <si>
    <t>Nikita</t>
  </si>
  <si>
    <t>Ankit Bhatt</t>
  </si>
  <si>
    <t>Shubham Sharma</t>
  </si>
  <si>
    <t xml:space="preserve">Tinku Shekhawat </t>
  </si>
  <si>
    <t>Sagar rana</t>
  </si>
  <si>
    <t xml:space="preserve">Aashish </t>
  </si>
  <si>
    <t xml:space="preserve">Amar Kumar </t>
  </si>
  <si>
    <t>Ankit Bhardwaj</t>
  </si>
  <si>
    <t xml:space="preserve">Anshul Sharma </t>
  </si>
  <si>
    <t xml:space="preserve">Rupesh </t>
  </si>
  <si>
    <t xml:space="preserve">Sahil Thakur </t>
  </si>
  <si>
    <t>Akhil Tiwari</t>
  </si>
  <si>
    <t>Bhavya Gupta</t>
  </si>
  <si>
    <t>Mansi Yadav</t>
  </si>
  <si>
    <t>Nishi Singh</t>
  </si>
  <si>
    <t>Riya Kumari</t>
  </si>
  <si>
    <t>Gourav Rohilla</t>
  </si>
  <si>
    <t>Arun Lamba</t>
  </si>
  <si>
    <t>Sushil</t>
  </si>
  <si>
    <t>Smarth</t>
  </si>
  <si>
    <t>Abhay Singh</t>
  </si>
  <si>
    <t>Gurkamalpreet Singh</t>
  </si>
  <si>
    <t>Kartik Shakya</t>
  </si>
  <si>
    <t>Hemant Singh</t>
  </si>
  <si>
    <t>Sneha Singh</t>
  </si>
  <si>
    <t>Narender Kumar</t>
  </si>
  <si>
    <t>Ritish</t>
  </si>
  <si>
    <t>Mukul Suman</t>
  </si>
  <si>
    <t>Anuj Kumar</t>
  </si>
  <si>
    <t>Rahul Kinkar</t>
  </si>
  <si>
    <t>Vinod Kumar</t>
  </si>
  <si>
    <t>Ayush Joshi</t>
  </si>
  <si>
    <t>Ankit</t>
  </si>
  <si>
    <t>Samay Raj</t>
  </si>
  <si>
    <t>Rahul Kumar</t>
  </si>
  <si>
    <t>Siyaram</t>
  </si>
  <si>
    <t>Sanjeet Kumar</t>
  </si>
  <si>
    <t xml:space="preserve">Ishi Verma </t>
  </si>
  <si>
    <t xml:space="preserve">Abhishek savita </t>
  </si>
  <si>
    <t xml:space="preserve">Inzmam Ali </t>
  </si>
  <si>
    <t>Harmandeep</t>
  </si>
  <si>
    <t>Honey</t>
  </si>
  <si>
    <t>Harshdeep Singh</t>
  </si>
  <si>
    <t>Khushbir Singh</t>
  </si>
  <si>
    <t>Rupesh Gandhi</t>
  </si>
  <si>
    <t>Rakesh S</t>
  </si>
  <si>
    <t>Sushma Tiwari</t>
  </si>
  <si>
    <t>Mehnga Singh</t>
  </si>
  <si>
    <t>Dinesh Kumar</t>
  </si>
  <si>
    <t>Manoj Kumar Jangra</t>
  </si>
  <si>
    <t>Jasbeer Singh</t>
  </si>
  <si>
    <t xml:space="preserve">Ashish Baghel </t>
  </si>
  <si>
    <t xml:space="preserve">Manish bisht </t>
  </si>
  <si>
    <t>Simratpal Singh</t>
  </si>
  <si>
    <t xml:space="preserve">Harsh </t>
  </si>
  <si>
    <t>Sachin Kashyap</t>
  </si>
  <si>
    <t>Daljit Singh</t>
  </si>
  <si>
    <t>Manbir Sain</t>
  </si>
  <si>
    <t>Yatin</t>
  </si>
  <si>
    <t>Himanshu Yadav</t>
  </si>
  <si>
    <t>Mohit Sahu</t>
  </si>
  <si>
    <t>Arjun Sharma</t>
  </si>
  <si>
    <t>Vikas Bhardwaj</t>
  </si>
  <si>
    <t>Ayush Kumar</t>
  </si>
  <si>
    <t>Ankit Tiwari</t>
  </si>
  <si>
    <t>Partap</t>
  </si>
  <si>
    <t>Vinay Kumar</t>
  </si>
  <si>
    <t>Rohit Yadav</t>
  </si>
  <si>
    <t>Supravat Adhikary</t>
  </si>
  <si>
    <t>Laksh</t>
  </si>
  <si>
    <t>Ashish Mishra</t>
  </si>
  <si>
    <t>Ashish Bhardwaj</t>
  </si>
  <si>
    <t>Mayank Arya</t>
  </si>
  <si>
    <t>Pardeep Kumar</t>
  </si>
  <si>
    <t>Kuldeep Singh</t>
  </si>
  <si>
    <t>Ramesh Kumar</t>
  </si>
  <si>
    <t>Manish Kukreti</t>
  </si>
  <si>
    <t>Rajan Gupta</t>
  </si>
  <si>
    <t>Parvinder</t>
  </si>
  <si>
    <t>Dileep Kumar</t>
  </si>
  <si>
    <t>Komalpreet</t>
  </si>
  <si>
    <t>Lalit Nagar</t>
  </si>
  <si>
    <t>Manpreet Kaur</t>
  </si>
  <si>
    <t>Aarti Gupta</t>
  </si>
  <si>
    <t>Mahi Singh</t>
  </si>
  <si>
    <t>Aishwarya Sharma</t>
  </si>
  <si>
    <t>Shraddha Singh</t>
  </si>
  <si>
    <t>Prachi Shukla</t>
  </si>
  <si>
    <t>Ankit Kumar</t>
  </si>
  <si>
    <t>Neeraj</t>
  </si>
  <si>
    <t xml:space="preserve">Saurabh kumar </t>
  </si>
  <si>
    <t xml:space="preserve">Abhishek Sharma </t>
  </si>
  <si>
    <t>Rohan Mehra</t>
  </si>
  <si>
    <t>Shivam Rani</t>
  </si>
  <si>
    <t>Sahil.</t>
  </si>
  <si>
    <t>Sonam Kachhap</t>
  </si>
  <si>
    <t>Subhashree Nayak</t>
  </si>
  <si>
    <t>Tanmay Ghosal</t>
  </si>
  <si>
    <t>Puja Bhalotia</t>
  </si>
  <si>
    <t>Shubhanshu Pandey</t>
  </si>
  <si>
    <t>Kavita Rathore</t>
  </si>
  <si>
    <t>Jyoti Saini</t>
  </si>
  <si>
    <t>Jyoti Chauhan</t>
  </si>
  <si>
    <t>Varish Hussain</t>
  </si>
  <si>
    <t>Akanksha Gangwar</t>
  </si>
  <si>
    <t>Gurwant Sran</t>
  </si>
  <si>
    <t>Naval Singh</t>
  </si>
  <si>
    <t>Sinjan Bhar</t>
  </si>
  <si>
    <t>BHAWNA SHARMA</t>
  </si>
  <si>
    <t>Sneha .</t>
  </si>
  <si>
    <t>Khushboo Yadav</t>
  </si>
  <si>
    <t>Harpreet Kaur Malik</t>
  </si>
  <si>
    <t>Ashita Munjley</t>
  </si>
  <si>
    <t>Koteswara Devireddy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</si>
  <si>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</si>
  <si>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</si>
  <si>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</si>
  <si>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</si>
  <si>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</si>
  <si>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</si>
  <si>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</si>
  <si>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</si>
  <si>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</si>
  <si>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</si>
  <si>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</si>
  <si>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</si>
  <si>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</si>
  <si>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</si>
  <si>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</si>
  <si>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</si>
  <si>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</si>
  <si>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</si>
  <si>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</si>
  <si>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</si>
  <si>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</si>
  <si>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</si>
  <si>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</si>
  <si>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</si>
  <si>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</si>
  <si>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</si>
  <si>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</si>
  <si>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</si>
  <si>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</si>
  <si>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</si>
  <si>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</si>
  <si>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</si>
  <si>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</si>
  <si>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</si>
  <si>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</si>
  <si>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</si>
  <si>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</si>
  <si>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</si>
  <si>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Manish Bisht</t>
  </si>
  <si>
    <t>Ashish Baghel</t>
  </si>
  <si>
    <t>Aashish</t>
  </si>
  <si>
    <t>Laksh Maurya</t>
  </si>
  <si>
    <t>Jyotish</t>
  </si>
  <si>
    <t>Gaurav Kumar</t>
  </si>
  <si>
    <t>Tinku Shekhawat</t>
  </si>
  <si>
    <t>Pardeep</t>
  </si>
  <si>
    <t>Lalit</t>
  </si>
  <si>
    <t>Ramesh</t>
  </si>
  <si>
    <t>Manbeer Sain</t>
  </si>
  <si>
    <t xml:space="preserve">Shraddha Singh </t>
  </si>
  <si>
    <t>KomalPreet</t>
  </si>
  <si>
    <t xml:space="preserve">Rakesh S </t>
  </si>
  <si>
    <t>Pooja Bhalotia</t>
  </si>
  <si>
    <t>Arti Gupta</t>
  </si>
  <si>
    <t>RAHUL KUMAR</t>
  </si>
  <si>
    <t>Sanjeet</t>
  </si>
  <si>
    <t>Gaurav Rohilla</t>
  </si>
  <si>
    <t>Anshul Sharma</t>
  </si>
  <si>
    <t>Sahil Thakur</t>
  </si>
  <si>
    <t>MANISH KUMAR</t>
  </si>
  <si>
    <t>Inzmam Ali</t>
  </si>
  <si>
    <t>Mohit kumar</t>
  </si>
  <si>
    <t xml:space="preserve"> Praveen Chandel</t>
  </si>
  <si>
    <t>Gaurav Kumar Saxena</t>
  </si>
  <si>
    <t xml:space="preserve"> Akshit Sood</t>
  </si>
  <si>
    <t xml:space="preserve"> Tinku Shekhawat</t>
  </si>
  <si>
    <t>Inzmam</t>
  </si>
  <si>
    <t>Jasbeer</t>
  </si>
  <si>
    <t>Rupesh</t>
  </si>
  <si>
    <t>Abhineesh Pandey</t>
  </si>
  <si>
    <t>Aishwarya</t>
  </si>
  <si>
    <t>Abhishek Savita</t>
  </si>
  <si>
    <t xml:space="preserve"> Tilak Raj</t>
  </si>
  <si>
    <t xml:space="preserve"> Akanksha Gangwar</t>
  </si>
  <si>
    <t>Narender</t>
  </si>
  <si>
    <t>Inzamam Ali</t>
  </si>
  <si>
    <t>Jeetendra Yadav</t>
  </si>
  <si>
    <t>Sonam Kachaap</t>
  </si>
  <si>
    <t>Rupesh Thakur</t>
  </si>
  <si>
    <t>Yatin Saini</t>
  </si>
  <si>
    <t>Manoj Jangra</t>
  </si>
  <si>
    <t>Samay Raj Gupta</t>
  </si>
  <si>
    <t>Komal Preet</t>
  </si>
  <si>
    <t>Gurwant Saran</t>
  </si>
  <si>
    <t>Kawal Jot Kaur</t>
  </si>
  <si>
    <t>Manish Kumar Singh</t>
  </si>
  <si>
    <t>Pratap Nishad</t>
  </si>
  <si>
    <t>Dalip</t>
  </si>
  <si>
    <t>Jyotish Kumar</t>
  </si>
  <si>
    <t>Amar Kumar</t>
  </si>
  <si>
    <t>Parveen Chandel</t>
  </si>
  <si>
    <t>Manish Thakur</t>
  </si>
  <si>
    <t xml:space="preserve">Sahil </t>
  </si>
  <si>
    <t>Total_Points</t>
  </si>
  <si>
    <t>Start_Time</t>
  </si>
  <si>
    <t>Fuseball Double</t>
  </si>
  <si>
    <t xml:space="preserve">Table tennis Double </t>
  </si>
  <si>
    <t>Badminton Double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</si>
</sst>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0"/>
      <color rgb="FF000000"/>
      <name val="Segoe UI"/>
      <family val="2"/>
    </font>
    <font>
      <b/>
      <sz val="10"/>
      <color rgb="FF000000"/>
      <name val="Segoe UI"/>
      <family val="2"/>
    </font>
    <font>
      <sz val="11"/>
      <color rgb="FF000000"/>
      <name val="Calibri"/>
      <family val="2"/>
    </font>
    <font>
      <sz val="9"/>
      <color rgb="FF000000"/>
      <name val="Arial Rounded MT Bold"/>
      <family val="2"/>
    </font>
    <font>
      <sz val="11"/>
      <color rgb="FF000000"/>
      <name val="Aptos Narrow"/>
      <family val="2"/>
    </font>
    <font>
      <sz val="9"/>
      <color rgb="FF000000"/>
      <name val="Segoe UI"/>
      <family val="2"/>
    </font>
    <font>
      <sz val="9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2"/>
  <sheetViews>
    <sheetView topLeftCell="A10" workbookViewId="0">
      <selection activeCell="C2" sqref="C2:C18"/>
    </sheetView>
  </sheetViews>
  <sheetFormatPr defaultColWidth="9" defaultRowHeight="16.5"/>
  <cols>
    <col min="1" max="1" width="19.85546875" customWidth="1"/>
    <col min="2" max="2" width="38.42578125" customWidth="1"/>
    <col min="3" max="3" width="23.7109375" style="7" customWidth="1"/>
  </cols>
  <sheetData>
    <row r="1" spans="1:3">
      <c r="A1" s="12" t="s">
        <v>0</v>
      </c>
      <c r="B1" s="12" t="s">
        <v>1</v>
      </c>
      <c r="C1" s="12" t="s">
        <v>2</v>
      </c>
    </row>
    <row r="2" spans="1:3">
      <c r="A2" s="13">
        <v>416087</v>
      </c>
      <c r="B2" s="13" t="s">
        <v>3</v>
      </c>
    </row>
    <row r="3" spans="1:3">
      <c r="A3" s="13">
        <v>365114</v>
      </c>
      <c r="B3" s="13" t="s">
        <v>4</v>
      </c>
    </row>
    <row r="4" spans="1:3">
      <c r="A4" s="13">
        <v>460812</v>
      </c>
      <c r="B4" s="13" t="s">
        <v>5</v>
      </c>
    </row>
    <row r="5" spans="1:3">
      <c r="A5" s="13">
        <v>473266</v>
      </c>
      <c r="B5" s="13" t="s">
        <v>6</v>
      </c>
    </row>
    <row r="6" spans="1:3">
      <c r="A6" s="13">
        <v>420533</v>
      </c>
      <c r="B6" s="13" t="s">
        <v>7</v>
      </c>
    </row>
    <row r="7" spans="1:3">
      <c r="A7" s="13">
        <v>465181</v>
      </c>
      <c r="B7" s="13" t="s">
        <v>8</v>
      </c>
    </row>
    <row r="8" spans="1:3">
      <c r="A8" s="13">
        <v>434518</v>
      </c>
      <c r="B8" s="13" t="s">
        <v>9</v>
      </c>
    </row>
    <row r="9" spans="1:3">
      <c r="A9" s="13">
        <v>463660</v>
      </c>
      <c r="B9" s="13" t="s">
        <v>10</v>
      </c>
    </row>
    <row r="10" spans="1:3">
      <c r="A10" s="13">
        <v>484877</v>
      </c>
      <c r="B10" s="13" t="s">
        <v>11</v>
      </c>
    </row>
    <row r="11" spans="1:3">
      <c r="A11" s="13">
        <v>411573</v>
      </c>
      <c r="B11" s="13" t="s">
        <v>12</v>
      </c>
    </row>
    <row r="12" spans="1:3">
      <c r="A12" s="13">
        <v>410040</v>
      </c>
      <c r="B12" s="13" t="s">
        <v>13</v>
      </c>
    </row>
    <row r="13" spans="1:3">
      <c r="A13" s="13">
        <v>433939</v>
      </c>
      <c r="B13" s="13" t="s">
        <v>14</v>
      </c>
    </row>
    <row r="14" spans="1:3">
      <c r="A14" s="13">
        <v>451567</v>
      </c>
      <c r="B14" s="13" t="s">
        <v>15</v>
      </c>
    </row>
    <row r="15" spans="1:3">
      <c r="A15" s="13">
        <v>408627</v>
      </c>
      <c r="B15" s="13" t="s">
        <v>16</v>
      </c>
    </row>
    <row r="16" spans="1:3">
      <c r="A16" s="13">
        <v>407302</v>
      </c>
      <c r="B16" s="13" t="s">
        <v>17</v>
      </c>
    </row>
    <row r="17" spans="1:2">
      <c r="A17" s="13">
        <v>427568</v>
      </c>
      <c r="B17" s="13" t="s">
        <v>18</v>
      </c>
    </row>
    <row r="18" spans="1:2">
      <c r="A18" s="13">
        <v>447096</v>
      </c>
      <c r="B18" s="13" t="s">
        <v>19</v>
      </c>
    </row>
    <row r="19" spans="1:2">
      <c r="A19" s="13">
        <v>408262</v>
      </c>
      <c r="B19" s="13" t="s">
        <v>20</v>
      </c>
    </row>
    <row r="20" spans="1:2">
      <c r="A20" s="13">
        <v>451509</v>
      </c>
      <c r="B20" s="13" t="s">
        <v>21</v>
      </c>
    </row>
    <row r="21" spans="1:2">
      <c r="A21" s="13">
        <v>460284</v>
      </c>
      <c r="B21" s="13" t="s">
        <v>22</v>
      </c>
    </row>
    <row r="22" spans="1:2">
      <c r="A22" s="13">
        <v>464188</v>
      </c>
      <c r="B22" s="13" t="s">
        <v>23</v>
      </c>
    </row>
    <row r="23" spans="1:2">
      <c r="A23" s="13">
        <v>470292</v>
      </c>
      <c r="B23" s="13" t="s">
        <v>24</v>
      </c>
    </row>
    <row r="24" spans="1:2">
      <c r="A24" s="13">
        <v>438263</v>
      </c>
      <c r="B24" s="13" t="s">
        <v>25</v>
      </c>
    </row>
    <row r="25" spans="1:2">
      <c r="A25" s="13">
        <v>456743</v>
      </c>
      <c r="B25" s="13" t="s">
        <v>26</v>
      </c>
    </row>
    <row r="26" spans="1:2">
      <c r="A26" s="13">
        <v>420109</v>
      </c>
      <c r="B26" s="13" t="s">
        <v>27</v>
      </c>
    </row>
    <row r="27" spans="1:2">
      <c r="A27" s="13">
        <v>479827</v>
      </c>
      <c r="B27" s="13" t="s">
        <v>28</v>
      </c>
    </row>
    <row r="28" spans="1:2">
      <c r="A28" s="13">
        <v>488518</v>
      </c>
      <c r="B28" s="13" t="s">
        <v>29</v>
      </c>
    </row>
    <row r="29" spans="1:2">
      <c r="A29" s="13">
        <v>437534</v>
      </c>
      <c r="B29" s="13" t="s">
        <v>30</v>
      </c>
    </row>
    <row r="30" spans="1:2">
      <c r="A30" s="13">
        <v>464500</v>
      </c>
      <c r="B30" s="13" t="s">
        <v>31</v>
      </c>
    </row>
    <row r="31" spans="1:2">
      <c r="A31" s="13">
        <v>492857</v>
      </c>
      <c r="B31" s="13" t="s">
        <v>32</v>
      </c>
    </row>
    <row r="32" spans="1:2">
      <c r="A32" s="13">
        <v>412273</v>
      </c>
      <c r="B32" s="13" t="s">
        <v>33</v>
      </c>
    </row>
    <row r="33" spans="1:2">
      <c r="A33" s="13">
        <v>451609</v>
      </c>
      <c r="B33" s="13" t="s">
        <v>34</v>
      </c>
    </row>
    <row r="34" spans="1:2">
      <c r="A34" s="13">
        <v>424332</v>
      </c>
      <c r="B34" s="13" t="s">
        <v>35</v>
      </c>
    </row>
    <row r="35" spans="1:2">
      <c r="A35" s="13">
        <v>456091</v>
      </c>
      <c r="B35" s="13" t="s">
        <v>36</v>
      </c>
    </row>
    <row r="36" spans="1:2">
      <c r="A36" s="13">
        <v>445891</v>
      </c>
      <c r="B36" s="13" t="s">
        <v>37</v>
      </c>
    </row>
    <row r="37" spans="1:2">
      <c r="A37" s="13">
        <v>467519</v>
      </c>
      <c r="B37" s="13" t="s">
        <v>38</v>
      </c>
    </row>
    <row r="38" spans="1:2">
      <c r="A38" s="13">
        <v>416828</v>
      </c>
      <c r="B38" s="13" t="s">
        <v>39</v>
      </c>
    </row>
    <row r="39" spans="1:2">
      <c r="A39" s="13">
        <v>430977</v>
      </c>
      <c r="B39" s="13" t="s">
        <v>40</v>
      </c>
    </row>
    <row r="40" spans="1:2">
      <c r="A40" s="13">
        <v>436468</v>
      </c>
      <c r="B40" s="13" t="s">
        <v>41</v>
      </c>
    </row>
    <row r="41" spans="1:2">
      <c r="A41" s="13">
        <v>438957</v>
      </c>
      <c r="B41" s="13" t="s">
        <v>42</v>
      </c>
    </row>
    <row r="42" spans="1:2">
      <c r="A42" s="13">
        <v>428544</v>
      </c>
      <c r="B42" s="13" t="s">
        <v>43</v>
      </c>
    </row>
    <row r="43" spans="1:2">
      <c r="A43" s="13">
        <v>487107</v>
      </c>
      <c r="B43" s="13" t="s">
        <v>44</v>
      </c>
    </row>
    <row r="44" spans="1:2">
      <c r="A44" s="13">
        <v>423859</v>
      </c>
      <c r="B44" s="13" t="s">
        <v>45</v>
      </c>
    </row>
    <row r="45" spans="1:2">
      <c r="A45" s="13">
        <v>438679</v>
      </c>
      <c r="B45" s="13" t="s">
        <v>46</v>
      </c>
    </row>
    <row r="46" spans="1:2">
      <c r="A46" s="13">
        <v>448882</v>
      </c>
      <c r="B46" s="13" t="s">
        <v>47</v>
      </c>
    </row>
    <row r="47" spans="1:2">
      <c r="A47" s="13">
        <v>453949</v>
      </c>
      <c r="B47" s="13" t="s">
        <v>48</v>
      </c>
    </row>
    <row r="48" spans="1:2">
      <c r="A48" s="13">
        <v>440317</v>
      </c>
      <c r="B48" s="13" t="s">
        <v>49</v>
      </c>
    </row>
    <row r="49" spans="1:2">
      <c r="A49" s="13">
        <v>451513</v>
      </c>
      <c r="B49" s="13" t="s">
        <v>50</v>
      </c>
    </row>
    <row r="50" spans="1:2">
      <c r="A50" s="13">
        <v>468224</v>
      </c>
      <c r="B50" s="13" t="s">
        <v>51</v>
      </c>
    </row>
    <row r="51" spans="1:2">
      <c r="A51" s="13">
        <v>450256</v>
      </c>
      <c r="B51" s="13" t="s">
        <v>52</v>
      </c>
    </row>
    <row r="52" spans="1:2">
      <c r="A52" s="13">
        <v>454456</v>
      </c>
      <c r="B52" s="13" t="s">
        <v>53</v>
      </c>
    </row>
    <row r="53" spans="1:2">
      <c r="A53" s="13">
        <v>446300</v>
      </c>
      <c r="B53" s="13" t="s">
        <v>54</v>
      </c>
    </row>
    <row r="54" spans="1:2">
      <c r="A54" s="13">
        <v>459234</v>
      </c>
      <c r="B54" s="13" t="s">
        <v>55</v>
      </c>
    </row>
    <row r="55" spans="1:2">
      <c r="A55" s="13">
        <v>459464</v>
      </c>
      <c r="B55" s="13" t="s">
        <v>56</v>
      </c>
    </row>
    <row r="56" spans="1:2">
      <c r="A56" s="13">
        <v>457430</v>
      </c>
      <c r="B56" s="13" t="s">
        <v>14</v>
      </c>
    </row>
    <row r="57" spans="1:2">
      <c r="A57" s="13">
        <v>450436</v>
      </c>
      <c r="B57" s="13" t="s">
        <v>57</v>
      </c>
    </row>
    <row r="58" spans="1:2">
      <c r="A58" s="13">
        <v>450694</v>
      </c>
      <c r="B58" s="13" t="s">
        <v>58</v>
      </c>
    </row>
    <row r="59" spans="1:2">
      <c r="A59" s="13">
        <v>450225</v>
      </c>
      <c r="B59" s="13" t="s">
        <v>59</v>
      </c>
    </row>
    <row r="60" spans="1:2">
      <c r="A60" s="13">
        <v>486309</v>
      </c>
      <c r="B60" s="13" t="s">
        <v>60</v>
      </c>
    </row>
    <row r="61" spans="1:2">
      <c r="A61" s="13">
        <v>450228</v>
      </c>
      <c r="B61" s="13" t="s">
        <v>61</v>
      </c>
    </row>
    <row r="62" spans="1:2">
      <c r="A62" s="13">
        <v>450437</v>
      </c>
      <c r="B62" s="13" t="s">
        <v>62</v>
      </c>
    </row>
    <row r="63" spans="1:2">
      <c r="A63" s="13">
        <v>450693</v>
      </c>
      <c r="B63" s="13" t="s">
        <v>63</v>
      </c>
    </row>
    <row r="64" spans="1:2">
      <c r="A64" s="13">
        <v>452073</v>
      </c>
      <c r="B64" s="13" t="s">
        <v>64</v>
      </c>
    </row>
    <row r="65" spans="1:2">
      <c r="A65" s="13">
        <v>451857</v>
      </c>
      <c r="B65" s="13" t="s">
        <v>65</v>
      </c>
    </row>
    <row r="66" spans="1:2">
      <c r="A66" s="13">
        <v>451858</v>
      </c>
      <c r="B66" s="13" t="s">
        <v>66</v>
      </c>
    </row>
    <row r="67" spans="1:2">
      <c r="A67" s="13">
        <v>452115</v>
      </c>
      <c r="B67" s="13" t="s">
        <v>67</v>
      </c>
    </row>
    <row r="68" spans="1:2">
      <c r="A68" s="13">
        <v>452056</v>
      </c>
      <c r="B68" s="13" t="s">
        <v>68</v>
      </c>
    </row>
    <row r="69" spans="1:2">
      <c r="A69" s="13">
        <v>452057</v>
      </c>
      <c r="B69" s="13" t="s">
        <v>69</v>
      </c>
    </row>
    <row r="70" spans="1:2">
      <c r="A70" s="13">
        <v>452119</v>
      </c>
      <c r="B70" s="13" t="s">
        <v>70</v>
      </c>
    </row>
    <row r="71" spans="1:2">
      <c r="A71" s="13">
        <v>452058</v>
      </c>
      <c r="B71" s="13" t="s">
        <v>71</v>
      </c>
    </row>
    <row r="72" spans="1:2">
      <c r="A72" s="13">
        <v>452075</v>
      </c>
      <c r="B72" s="13" t="s">
        <v>72</v>
      </c>
    </row>
    <row r="73" spans="1:2">
      <c r="A73" s="13">
        <v>452121</v>
      </c>
      <c r="B73" s="13" t="s">
        <v>73</v>
      </c>
    </row>
    <row r="74" spans="1:2">
      <c r="A74" s="13">
        <v>452118</v>
      </c>
      <c r="B74" s="13" t="s">
        <v>74</v>
      </c>
    </row>
    <row r="75" spans="1:2">
      <c r="A75" s="13">
        <v>452991</v>
      </c>
      <c r="B75" s="13" t="s">
        <v>75</v>
      </c>
    </row>
    <row r="76" spans="1:2">
      <c r="A76" s="13">
        <v>453089</v>
      </c>
      <c r="B76" s="13" t="s">
        <v>76</v>
      </c>
    </row>
    <row r="77" spans="1:2">
      <c r="A77" s="13">
        <v>460627</v>
      </c>
      <c r="B77" s="13" t="s">
        <v>77</v>
      </c>
    </row>
    <row r="78" spans="1:2">
      <c r="A78" s="13">
        <v>460628</v>
      </c>
      <c r="B78" s="13" t="s">
        <v>78</v>
      </c>
    </row>
    <row r="79" spans="1:2">
      <c r="A79" s="13">
        <v>461161</v>
      </c>
      <c r="B79" s="13" t="s">
        <v>79</v>
      </c>
    </row>
    <row r="80" spans="1:2">
      <c r="A80" s="13">
        <v>463097</v>
      </c>
      <c r="B80" s="13" t="s">
        <v>80</v>
      </c>
    </row>
    <row r="81" spans="1:2">
      <c r="A81" s="13">
        <v>463833</v>
      </c>
      <c r="B81" s="13" t="s">
        <v>81</v>
      </c>
    </row>
    <row r="82" spans="1:2">
      <c r="A82" s="13">
        <v>464193</v>
      </c>
      <c r="B82" s="13" t="s">
        <v>82</v>
      </c>
    </row>
    <row r="83" spans="1:2">
      <c r="A83" s="13">
        <v>452074</v>
      </c>
      <c r="B83" s="13" t="s">
        <v>83</v>
      </c>
    </row>
    <row r="84" spans="1:2">
      <c r="A84" s="13">
        <v>465254</v>
      </c>
      <c r="B84" s="13" t="s">
        <v>84</v>
      </c>
    </row>
    <row r="85" spans="1:2">
      <c r="A85" s="13">
        <v>467075</v>
      </c>
      <c r="B85" s="13" t="s">
        <v>85</v>
      </c>
    </row>
    <row r="86" spans="1:2">
      <c r="A86" s="13">
        <v>465255</v>
      </c>
      <c r="B86" s="13" t="s">
        <v>86</v>
      </c>
    </row>
    <row r="87" spans="1:2">
      <c r="A87" s="13">
        <v>467068</v>
      </c>
      <c r="B87" s="13" t="s">
        <v>87</v>
      </c>
    </row>
    <row r="88" spans="1:2">
      <c r="A88" s="13">
        <v>467915</v>
      </c>
      <c r="B88" s="13" t="s">
        <v>88</v>
      </c>
    </row>
    <row r="89" spans="1:2">
      <c r="A89" s="13">
        <v>468536</v>
      </c>
      <c r="B89" s="13" t="s">
        <v>89</v>
      </c>
    </row>
    <row r="90" spans="1:2">
      <c r="A90" s="13">
        <v>468456</v>
      </c>
      <c r="B90" s="13" t="s">
        <v>90</v>
      </c>
    </row>
    <row r="91" spans="1:2">
      <c r="A91" s="13">
        <v>469899</v>
      </c>
      <c r="B91" s="13" t="s">
        <v>91</v>
      </c>
    </row>
    <row r="92" spans="1:2">
      <c r="A92" s="13">
        <v>468660</v>
      </c>
      <c r="B92" s="13" t="s">
        <v>92</v>
      </c>
    </row>
    <row r="93" spans="1:2">
      <c r="A93" s="13">
        <v>469627</v>
      </c>
      <c r="B93" s="13" t="s">
        <v>93</v>
      </c>
    </row>
    <row r="94" spans="1:2">
      <c r="A94" s="13">
        <v>469617</v>
      </c>
      <c r="B94" s="13" t="s">
        <v>94</v>
      </c>
    </row>
    <row r="95" spans="1:2">
      <c r="A95" s="13">
        <v>472322</v>
      </c>
      <c r="B95" s="13" t="s">
        <v>95</v>
      </c>
    </row>
    <row r="96" spans="1:2">
      <c r="A96" s="13">
        <v>478377</v>
      </c>
      <c r="B96" s="13" t="s">
        <v>96</v>
      </c>
    </row>
    <row r="97" spans="1:2">
      <c r="A97" s="13">
        <v>478308</v>
      </c>
      <c r="B97" s="13" t="s">
        <v>97</v>
      </c>
    </row>
    <row r="98" spans="1:2">
      <c r="A98" s="13">
        <v>478270</v>
      </c>
      <c r="B98" s="13" t="s">
        <v>98</v>
      </c>
    </row>
    <row r="99" spans="1:2">
      <c r="A99" s="13">
        <v>479348</v>
      </c>
      <c r="B99" s="13" t="s">
        <v>99</v>
      </c>
    </row>
    <row r="100" spans="1:2">
      <c r="A100" s="13">
        <v>479724</v>
      </c>
      <c r="B100" s="13" t="s">
        <v>100</v>
      </c>
    </row>
    <row r="101" spans="1:2">
      <c r="A101" s="13">
        <v>487476</v>
      </c>
      <c r="B101" s="13" t="s">
        <v>101</v>
      </c>
    </row>
    <row r="102" spans="1:2">
      <c r="A102" s="13">
        <v>396485</v>
      </c>
      <c r="B102" s="13" t="s">
        <v>102</v>
      </c>
    </row>
    <row r="103" spans="1:2">
      <c r="A103" s="13">
        <v>432865</v>
      </c>
      <c r="B103" s="13" t="s">
        <v>103</v>
      </c>
    </row>
    <row r="104" spans="1:2">
      <c r="A104" s="13">
        <v>447836</v>
      </c>
      <c r="B104" s="13" t="s">
        <v>104</v>
      </c>
    </row>
    <row r="105" spans="1:2">
      <c r="A105" s="13">
        <v>449635</v>
      </c>
      <c r="B105" s="13" t="s">
        <v>105</v>
      </c>
    </row>
    <row r="106" spans="1:2">
      <c r="A106" s="13">
        <v>440774</v>
      </c>
      <c r="B106" s="13" t="s">
        <v>106</v>
      </c>
    </row>
    <row r="107" spans="1:2">
      <c r="A107" s="13">
        <v>460513</v>
      </c>
      <c r="B107" s="13" t="s">
        <v>107</v>
      </c>
    </row>
    <row r="108" spans="1:2">
      <c r="A108" s="13">
        <v>458749</v>
      </c>
      <c r="B108" s="13" t="s">
        <v>108</v>
      </c>
    </row>
    <row r="109" spans="1:2">
      <c r="A109" s="13">
        <v>458702</v>
      </c>
      <c r="B109" s="13" t="s">
        <v>109</v>
      </c>
    </row>
    <row r="110" spans="1:2">
      <c r="A110" s="13">
        <v>449890</v>
      </c>
      <c r="B110" s="13" t="s">
        <v>110</v>
      </c>
    </row>
    <row r="111" spans="1:2">
      <c r="A111" s="13">
        <v>450030</v>
      </c>
      <c r="B111" s="13" t="s">
        <v>111</v>
      </c>
    </row>
    <row r="112" spans="1:2">
      <c r="A112" s="13">
        <v>450325</v>
      </c>
      <c r="B112" s="13" t="s">
        <v>112</v>
      </c>
    </row>
    <row r="113" spans="1:2">
      <c r="A113" s="13">
        <v>452116</v>
      </c>
      <c r="B113" s="13" t="s">
        <v>113</v>
      </c>
    </row>
    <row r="114" spans="1:2">
      <c r="A114" s="13">
        <v>457157</v>
      </c>
      <c r="B114" s="13" t="s">
        <v>114</v>
      </c>
    </row>
    <row r="115" spans="1:2">
      <c r="A115" s="13">
        <v>456706</v>
      </c>
      <c r="B115" s="13" t="s">
        <v>115</v>
      </c>
    </row>
    <row r="116" spans="1:2">
      <c r="A116" s="13">
        <v>457795</v>
      </c>
      <c r="B116" s="13" t="s">
        <v>116</v>
      </c>
    </row>
    <row r="117" spans="1:2">
      <c r="A117" s="13">
        <v>460888</v>
      </c>
      <c r="B117" s="13" t="s">
        <v>117</v>
      </c>
    </row>
    <row r="118" spans="1:2">
      <c r="A118" s="13">
        <v>460764</v>
      </c>
      <c r="B118" s="13" t="s">
        <v>118</v>
      </c>
    </row>
    <row r="119" spans="1:2">
      <c r="A119" s="13">
        <v>464871</v>
      </c>
      <c r="B119" s="13" t="s">
        <v>119</v>
      </c>
    </row>
    <row r="120" spans="1:2">
      <c r="A120" s="13">
        <v>466367</v>
      </c>
      <c r="B120" s="13" t="s">
        <v>120</v>
      </c>
    </row>
    <row r="121" spans="1:2">
      <c r="A121" s="13">
        <v>466562</v>
      </c>
      <c r="B121" s="13" t="s">
        <v>121</v>
      </c>
    </row>
    <row r="122" spans="1:2">
      <c r="A122" s="13">
        <v>466445</v>
      </c>
      <c r="B122" s="13" t="s">
        <v>122</v>
      </c>
    </row>
    <row r="123" spans="1:2">
      <c r="A123" s="13">
        <v>468157</v>
      </c>
      <c r="B123" s="13" t="s">
        <v>123</v>
      </c>
    </row>
    <row r="124" spans="1:2">
      <c r="A124" s="13">
        <v>473015</v>
      </c>
      <c r="B124" s="13" t="s">
        <v>124</v>
      </c>
    </row>
    <row r="125" spans="1:2">
      <c r="A125" s="13">
        <v>467544</v>
      </c>
      <c r="B125" s="13" t="s">
        <v>125</v>
      </c>
    </row>
    <row r="126" spans="1:2">
      <c r="A126" s="13">
        <v>474194</v>
      </c>
      <c r="B126" s="13" t="s">
        <v>126</v>
      </c>
    </row>
    <row r="127" spans="1:2">
      <c r="A127" s="13">
        <v>472840</v>
      </c>
      <c r="B127" s="13" t="s">
        <v>127</v>
      </c>
    </row>
    <row r="128" spans="1:2">
      <c r="A128" s="13">
        <v>476372</v>
      </c>
      <c r="B128" s="13" t="s">
        <v>128</v>
      </c>
    </row>
    <row r="129" spans="1:2">
      <c r="A129" s="13">
        <v>478084</v>
      </c>
      <c r="B129" s="13" t="s">
        <v>129</v>
      </c>
    </row>
    <row r="130" spans="1:2">
      <c r="A130" s="13">
        <v>453948</v>
      </c>
      <c r="B130" s="13" t="s">
        <v>130</v>
      </c>
    </row>
    <row r="131" spans="1:2">
      <c r="A131" s="13">
        <v>460692</v>
      </c>
      <c r="B131" s="13" t="s">
        <v>131</v>
      </c>
    </row>
    <row r="132" spans="1:2">
      <c r="A132" s="13">
        <v>435877</v>
      </c>
      <c r="B132" s="13" t="s">
        <v>132</v>
      </c>
    </row>
    <row r="133" spans="1:2">
      <c r="A133" s="13">
        <v>440620</v>
      </c>
      <c r="B133" s="13" t="s">
        <v>133</v>
      </c>
    </row>
    <row r="134" spans="1:2">
      <c r="A134" s="13">
        <v>449551</v>
      </c>
      <c r="B134" s="13" t="s">
        <v>134</v>
      </c>
    </row>
    <row r="135" spans="1:2">
      <c r="A135" s="13">
        <v>452799</v>
      </c>
      <c r="B135" s="13" t="s">
        <v>135</v>
      </c>
    </row>
    <row r="136" spans="1:2">
      <c r="A136" s="13">
        <v>438864</v>
      </c>
      <c r="B136" s="13" t="s">
        <v>136</v>
      </c>
    </row>
    <row r="137" spans="1:2">
      <c r="A137" s="13">
        <v>463059</v>
      </c>
      <c r="B137" s="13" t="s">
        <v>137</v>
      </c>
    </row>
    <row r="138" spans="1:2">
      <c r="A138" s="13">
        <v>455024</v>
      </c>
      <c r="B138" s="13" t="s">
        <v>138</v>
      </c>
    </row>
    <row r="139" spans="1:2">
      <c r="A139" s="13">
        <v>449891</v>
      </c>
      <c r="B139" s="13" t="s">
        <v>139</v>
      </c>
    </row>
    <row r="140" spans="1:2">
      <c r="A140" s="13">
        <v>450224</v>
      </c>
      <c r="B140" s="13" t="s">
        <v>140</v>
      </c>
    </row>
    <row r="141" spans="1:2">
      <c r="A141" s="13">
        <v>450171</v>
      </c>
      <c r="B141" s="13" t="s">
        <v>141</v>
      </c>
    </row>
    <row r="142" spans="1:2">
      <c r="A142" s="13">
        <v>450230</v>
      </c>
      <c r="B142" s="13" t="s">
        <v>142</v>
      </c>
    </row>
    <row r="143" spans="1:2">
      <c r="A143" s="13">
        <v>452059</v>
      </c>
      <c r="B143" s="13" t="s">
        <v>143</v>
      </c>
    </row>
    <row r="144" spans="1:2">
      <c r="A144" s="13">
        <v>466167</v>
      </c>
      <c r="B144" s="13" t="s">
        <v>144</v>
      </c>
    </row>
    <row r="145" spans="1:2">
      <c r="A145" s="13">
        <v>452076</v>
      </c>
      <c r="B145" s="13" t="s">
        <v>145</v>
      </c>
    </row>
    <row r="146" spans="1:2">
      <c r="A146" s="13">
        <v>468887</v>
      </c>
      <c r="B146" s="13" t="s">
        <v>146</v>
      </c>
    </row>
    <row r="147" spans="1:2">
      <c r="A147" s="13">
        <v>470301</v>
      </c>
      <c r="B147" s="13" t="s">
        <v>147</v>
      </c>
    </row>
    <row r="148" spans="1:2">
      <c r="A148" s="13">
        <v>471387</v>
      </c>
      <c r="B148" s="13" t="s">
        <v>148</v>
      </c>
    </row>
    <row r="149" spans="1:2">
      <c r="A149" s="13">
        <v>478269</v>
      </c>
      <c r="B149" s="13" t="s">
        <v>149</v>
      </c>
    </row>
    <row r="150" spans="1:2">
      <c r="A150" s="13">
        <v>478266</v>
      </c>
      <c r="B150" s="13" t="s">
        <v>150</v>
      </c>
    </row>
    <row r="151" spans="1:2">
      <c r="A151" s="13">
        <v>427154</v>
      </c>
      <c r="B151" s="13" t="s">
        <v>151</v>
      </c>
    </row>
    <row r="152" spans="1:2">
      <c r="A152" s="13">
        <v>700216</v>
      </c>
      <c r="B152" s="13" t="s">
        <v>152</v>
      </c>
    </row>
    <row r="153" spans="1:2">
      <c r="A153" s="13">
        <v>705995</v>
      </c>
      <c r="B153" s="13" t="s">
        <v>153</v>
      </c>
    </row>
    <row r="154" spans="1:2">
      <c r="A154" s="13">
        <v>706181</v>
      </c>
      <c r="B154" s="13" t="s">
        <v>154</v>
      </c>
    </row>
    <row r="155" spans="1:2">
      <c r="A155" s="13">
        <v>706306</v>
      </c>
      <c r="B155" s="13" t="s">
        <v>155</v>
      </c>
    </row>
    <row r="156" spans="1:2">
      <c r="A156" s="13">
        <v>705909</v>
      </c>
      <c r="B156" s="13" t="s">
        <v>156</v>
      </c>
    </row>
    <row r="157" spans="1:2">
      <c r="A157" s="13">
        <v>707131</v>
      </c>
      <c r="B157" s="13" t="s">
        <v>157</v>
      </c>
    </row>
    <row r="158" spans="1:2">
      <c r="A158" s="13">
        <v>708792</v>
      </c>
      <c r="B158" s="13" t="s">
        <v>158</v>
      </c>
    </row>
    <row r="159" spans="1:2">
      <c r="A159" s="13">
        <v>709664</v>
      </c>
      <c r="B159" s="13" t="s">
        <v>159</v>
      </c>
    </row>
    <row r="160" spans="1:2">
      <c r="A160" s="13">
        <v>710013</v>
      </c>
      <c r="B160" s="13" t="s">
        <v>160</v>
      </c>
    </row>
    <row r="161" spans="1:2">
      <c r="A161" s="13">
        <v>710555</v>
      </c>
      <c r="B161" s="13" t="s">
        <v>161</v>
      </c>
    </row>
    <row r="162" spans="1:2">
      <c r="A162" s="13">
        <v>426232</v>
      </c>
      <c r="B162" s="13" t="s">
        <v>162</v>
      </c>
    </row>
    <row r="163" spans="1:2">
      <c r="A163" s="13">
        <v>712428</v>
      </c>
      <c r="B163" s="13" t="s">
        <v>163</v>
      </c>
    </row>
    <row r="164" spans="1:2">
      <c r="A164" s="13">
        <v>435548</v>
      </c>
      <c r="B164" s="13" t="s">
        <v>164</v>
      </c>
    </row>
    <row r="165" spans="1:2">
      <c r="A165" s="13">
        <v>716610</v>
      </c>
      <c r="B165" s="13" t="s">
        <v>165</v>
      </c>
    </row>
    <row r="166" spans="1:2">
      <c r="A166" s="13">
        <v>720995</v>
      </c>
      <c r="B166" s="13" t="s">
        <v>166</v>
      </c>
    </row>
    <row r="167" spans="1:2">
      <c r="A167" s="13">
        <v>721766</v>
      </c>
      <c r="B167" s="13" t="s">
        <v>167</v>
      </c>
    </row>
    <row r="168" spans="1:2">
      <c r="A168" s="13">
        <v>721765</v>
      </c>
      <c r="B168" s="13" t="s">
        <v>168</v>
      </c>
    </row>
    <row r="169" spans="1:2">
      <c r="A169" s="13">
        <v>721899</v>
      </c>
      <c r="B169" s="13" t="s">
        <v>169</v>
      </c>
    </row>
    <row r="170" spans="1:2">
      <c r="A170" s="13">
        <v>721899</v>
      </c>
      <c r="B170" s="13" t="s">
        <v>170</v>
      </c>
    </row>
    <row r="171" spans="1:2">
      <c r="A171" s="13">
        <v>722356</v>
      </c>
      <c r="B171" s="13" t="s">
        <v>171</v>
      </c>
    </row>
    <row r="172" spans="1:2">
      <c r="A172" s="13">
        <v>722393</v>
      </c>
      <c r="B172" s="13" t="s">
        <v>172</v>
      </c>
    </row>
  </sheetData>
  <autoFilter ref="A1:C172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topLeftCell="B1" workbookViewId="0">
      <selection activeCell="B8" sqref="B8"/>
    </sheetView>
  </sheetViews>
  <sheetFormatPr defaultColWidth="9.140625" defaultRowHeight="16.5"/>
  <cols>
    <col min="1" max="1" width="10" style="10" customWidth="1"/>
    <col min="2" max="2" width="20.85546875" style="10" bestFit="1" customWidth="1"/>
    <col min="3" max="3" width="13.85546875" style="10" customWidth="1"/>
    <col min="4" max="4" width="41.28515625" style="10" customWidth="1"/>
    <col min="5" max="5" width="13.140625" style="10" customWidth="1"/>
    <col min="6" max="16384" width="9.140625" style="10"/>
  </cols>
  <sheetData>
    <row r="1" spans="1:5">
      <c r="A1" s="11" t="s">
        <v>173</v>
      </c>
      <c r="B1" s="11" t="s">
        <v>174</v>
      </c>
      <c r="C1" s="11" t="s">
        <v>175</v>
      </c>
      <c r="D1" s="11" t="s">
        <v>176</v>
      </c>
      <c r="E1" s="11" t="s">
        <v>177</v>
      </c>
    </row>
    <row r="2" spans="1:5">
      <c r="A2" s="10">
        <v>1</v>
      </c>
      <c r="B2" s="10" t="s">
        <v>178</v>
      </c>
      <c r="C2" s="10" t="s">
        <v>179</v>
      </c>
      <c r="D2" s="10" t="s">
        <v>180</v>
      </c>
      <c r="E2" s="10">
        <v>1</v>
      </c>
    </row>
    <row r="3" spans="1:5">
      <c r="A3" s="10">
        <v>2</v>
      </c>
      <c r="B3" s="10" t="s">
        <v>181</v>
      </c>
      <c r="C3" s="10" t="s">
        <v>179</v>
      </c>
      <c r="D3" s="10" t="s">
        <v>182</v>
      </c>
      <c r="E3" s="10">
        <v>1.3</v>
      </c>
    </row>
    <row r="4" spans="1:5">
      <c r="A4" s="10">
        <v>3</v>
      </c>
      <c r="B4" s="10" t="s">
        <v>183</v>
      </c>
      <c r="C4" s="10" t="s">
        <v>179</v>
      </c>
      <c r="D4" s="10" t="s">
        <v>180</v>
      </c>
      <c r="E4" s="10">
        <v>1</v>
      </c>
    </row>
    <row r="5" spans="1:5">
      <c r="A5" s="10">
        <v>4</v>
      </c>
      <c r="B5" s="10" t="s">
        <v>184</v>
      </c>
      <c r="C5" s="10" t="s">
        <v>179</v>
      </c>
      <c r="D5" s="10" t="s">
        <v>180</v>
      </c>
      <c r="E5" s="10">
        <v>1</v>
      </c>
    </row>
    <row r="6" spans="1:5">
      <c r="A6" s="10">
        <v>5</v>
      </c>
      <c r="B6" s="10" t="s">
        <v>185</v>
      </c>
      <c r="C6" s="10" t="s">
        <v>179</v>
      </c>
      <c r="D6" s="10" t="s">
        <v>182</v>
      </c>
      <c r="E6" s="10">
        <v>1.5</v>
      </c>
    </row>
    <row r="7" spans="1:5">
      <c r="A7" s="10">
        <v>6</v>
      </c>
      <c r="B7" s="10" t="s">
        <v>186</v>
      </c>
      <c r="C7" s="10" t="s">
        <v>179</v>
      </c>
      <c r="D7" s="10" t="s">
        <v>182</v>
      </c>
      <c r="E7" s="10">
        <v>1.5</v>
      </c>
    </row>
    <row r="8" spans="1:5">
      <c r="A8" s="10">
        <v>7</v>
      </c>
      <c r="B8" s="10" t="s">
        <v>187</v>
      </c>
      <c r="C8" s="10" t="s">
        <v>188</v>
      </c>
      <c r="D8" s="10" t="s">
        <v>189</v>
      </c>
      <c r="E8" s="10">
        <v>1.5</v>
      </c>
    </row>
    <row r="9" spans="1:5">
      <c r="A9" s="10">
        <v>8</v>
      </c>
      <c r="B9" s="10" t="s">
        <v>190</v>
      </c>
      <c r="C9" s="10" t="s">
        <v>188</v>
      </c>
      <c r="D9" s="10" t="s">
        <v>189</v>
      </c>
      <c r="E9" s="10">
        <v>1.5</v>
      </c>
    </row>
    <row r="10" spans="1:5">
      <c r="A10" s="10">
        <v>9</v>
      </c>
      <c r="B10" s="10" t="s">
        <v>191</v>
      </c>
      <c r="C10" s="10" t="s">
        <v>188</v>
      </c>
      <c r="D10" s="10" t="s">
        <v>189</v>
      </c>
      <c r="E10" s="10">
        <v>1.5</v>
      </c>
    </row>
    <row r="11" spans="1:5">
      <c r="A11" s="10">
        <v>10</v>
      </c>
      <c r="B11" s="10" t="s">
        <v>192</v>
      </c>
      <c r="C11" s="10" t="s">
        <v>188</v>
      </c>
      <c r="D11" s="10" t="s">
        <v>182</v>
      </c>
      <c r="E11" s="10">
        <v>1</v>
      </c>
    </row>
    <row r="12" spans="1:5">
      <c r="A12" s="10">
        <v>11</v>
      </c>
      <c r="B12" s="10" t="s">
        <v>193</v>
      </c>
      <c r="C12" s="10" t="s">
        <v>188</v>
      </c>
      <c r="D12" s="10" t="s">
        <v>182</v>
      </c>
      <c r="E12" s="10">
        <v>1.5</v>
      </c>
    </row>
    <row r="13" spans="1:5">
      <c r="A13" s="10">
        <v>12</v>
      </c>
      <c r="B13" s="10" t="s">
        <v>194</v>
      </c>
      <c r="C13" s="10" t="s">
        <v>188</v>
      </c>
      <c r="D13" s="10" t="s">
        <v>189</v>
      </c>
      <c r="E13" s="10">
        <v>2</v>
      </c>
    </row>
    <row r="14" spans="1:5">
      <c r="B14" s="10" t="s">
        <v>268</v>
      </c>
      <c r="C14" s="10" t="s">
        <v>179</v>
      </c>
      <c r="D14" s="10" t="s">
        <v>180</v>
      </c>
      <c r="E14" s="10">
        <v>1</v>
      </c>
    </row>
    <row r="15" spans="1:5">
      <c r="B15" s="10" t="s">
        <v>269</v>
      </c>
      <c r="C15" s="10" t="s">
        <v>179</v>
      </c>
      <c r="D15" s="10" t="s">
        <v>182</v>
      </c>
      <c r="E15" s="10">
        <v>1.5</v>
      </c>
    </row>
    <row r="16" spans="1:5">
      <c r="B16" s="10" t="s">
        <v>270</v>
      </c>
      <c r="C16" s="10" t="s">
        <v>179</v>
      </c>
      <c r="D16" s="10" t="s">
        <v>182</v>
      </c>
      <c r="E16" s="10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6" t="s">
        <v>195</v>
      </c>
    </row>
    <row r="4" spans="2:2">
      <c r="B4" s="9" t="s">
        <v>196</v>
      </c>
    </row>
    <row r="5" spans="2:2">
      <c r="B5" s="9" t="s">
        <v>197</v>
      </c>
    </row>
    <row r="6" spans="2:2">
      <c r="B6" s="9" t="s">
        <v>198</v>
      </c>
    </row>
    <row r="7" spans="2:2">
      <c r="B7" s="9" t="s">
        <v>199</v>
      </c>
    </row>
    <row r="8" spans="2:2">
      <c r="B8" s="9" t="s">
        <v>200</v>
      </c>
    </row>
    <row r="9" spans="2:2">
      <c r="B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2"/>
  <sheetViews>
    <sheetView workbookViewId="0">
      <selection activeCell="A262" sqref="A1:L262"/>
    </sheetView>
  </sheetViews>
  <sheetFormatPr defaultColWidth="9.140625" defaultRowHeight="15"/>
  <cols>
    <col min="1" max="1" width="11.28515625" style="8" customWidth="1"/>
    <col min="2" max="2" width="11.42578125" style="1" bestFit="1" customWidth="1"/>
    <col min="3" max="3" width="16.5703125" style="1" bestFit="1" customWidth="1"/>
    <col min="4" max="4" width="11.7109375" style="1" customWidth="1"/>
    <col min="5" max="5" width="17" style="1" bestFit="1" customWidth="1"/>
    <col min="6" max="6" width="18.140625" style="1" bestFit="1" customWidth="1"/>
    <col min="7" max="7" width="44.5703125" style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6" t="s">
        <v>201</v>
      </c>
      <c r="B1" s="6" t="s">
        <v>0</v>
      </c>
      <c r="C1" s="6" t="s">
        <v>1</v>
      </c>
      <c r="D1" s="6" t="s">
        <v>202</v>
      </c>
      <c r="E1" s="6" t="s">
        <v>203</v>
      </c>
      <c r="F1" s="6" t="s">
        <v>204</v>
      </c>
      <c r="G1" s="6" t="s">
        <v>205</v>
      </c>
      <c r="H1" s="6" t="s">
        <v>206</v>
      </c>
      <c r="I1" s="6" t="s">
        <v>207</v>
      </c>
      <c r="J1" s="6" t="s">
        <v>177</v>
      </c>
      <c r="K1" s="6" t="s">
        <v>208</v>
      </c>
      <c r="L1" s="6" t="s">
        <v>209</v>
      </c>
    </row>
    <row r="2" spans="1:12">
      <c r="A2" s="8">
        <v>46359</v>
      </c>
      <c r="B2" s="14">
        <v>452799</v>
      </c>
      <c r="C2" s="15" t="s">
        <v>135</v>
      </c>
      <c r="D2" s="1" t="s">
        <v>186</v>
      </c>
      <c r="E2" s="1" t="s">
        <v>210</v>
      </c>
      <c r="F2" s="1" t="s">
        <v>210</v>
      </c>
      <c r="H2" s="1">
        <f t="shared" ref="H2:H65" si="0">IF(F2="Yes",10,0)</f>
        <v>10</v>
      </c>
      <c r="I2" s="1">
        <f>IF(G2="Winner",100,IF(G2="Runner-up",70,IF(G2="2nd Runner-up",50,IF(G2="Semi",30,IF(G2="Quarter",20,0)))))</f>
        <v>0</v>
      </c>
      <c r="J2" s="1">
        <f>IFERROR(VLOOKUP(D2,Event_Master!B:E,4,FALSE),1)</f>
        <v>1.5</v>
      </c>
      <c r="K2" s="1">
        <f>(I2*J2)</f>
        <v>0</v>
      </c>
      <c r="L2" s="1">
        <f>K2+H2</f>
        <v>10</v>
      </c>
    </row>
    <row r="3" spans="1:12">
      <c r="A3" s="8">
        <v>46359</v>
      </c>
      <c r="B3" s="14">
        <v>457157</v>
      </c>
      <c r="C3" s="15" t="s">
        <v>114</v>
      </c>
      <c r="D3" s="1" t="s">
        <v>186</v>
      </c>
      <c r="E3" s="1" t="s">
        <v>210</v>
      </c>
      <c r="F3" s="1" t="s">
        <v>210</v>
      </c>
      <c r="H3" s="1">
        <f t="shared" si="0"/>
        <v>10</v>
      </c>
      <c r="I3" s="1">
        <f t="shared" ref="I3:I66" si="1">IF(G3="Winner",100,IF(G3="Runner-up",70,IF(G3="2nd Runner-up",50,IF(G3="Semi",30,IF(G3="Quarter",20,0)))))</f>
        <v>0</v>
      </c>
      <c r="J3" s="1">
        <f>IFERROR(VLOOKUP(D3,Event_Master!B:E,4,FALSE),1)</f>
        <v>1.5</v>
      </c>
      <c r="K3" s="1">
        <f t="shared" ref="K3:K66" si="2">(I3*J3)</f>
        <v>0</v>
      </c>
      <c r="L3" s="1">
        <f>K3+H3</f>
        <v>10</v>
      </c>
    </row>
    <row r="4" spans="1:12">
      <c r="A4" s="8">
        <v>46359</v>
      </c>
      <c r="B4" s="14">
        <v>451509</v>
      </c>
      <c r="C4" s="15" t="s">
        <v>21</v>
      </c>
      <c r="D4" s="1" t="s">
        <v>186</v>
      </c>
      <c r="E4" s="1" t="s">
        <v>210</v>
      </c>
      <c r="F4" s="1" t="s">
        <v>210</v>
      </c>
      <c r="H4" s="1">
        <f t="shared" si="0"/>
        <v>10</v>
      </c>
      <c r="I4" s="1">
        <f t="shared" si="1"/>
        <v>0</v>
      </c>
      <c r="J4" s="1">
        <f>IFERROR(VLOOKUP(D4,Event_Master!B:E,4,FALSE),1)</f>
        <v>1.5</v>
      </c>
      <c r="K4" s="1">
        <f t="shared" si="2"/>
        <v>0</v>
      </c>
      <c r="L4" s="1">
        <f>K4+H4</f>
        <v>10</v>
      </c>
    </row>
    <row r="5" spans="1:12">
      <c r="A5" s="8">
        <v>46359</v>
      </c>
      <c r="B5" s="14">
        <v>450030</v>
      </c>
      <c r="C5" s="15" t="s">
        <v>211</v>
      </c>
      <c r="D5" s="1" t="s">
        <v>186</v>
      </c>
      <c r="E5" s="1" t="s">
        <v>210</v>
      </c>
      <c r="F5" s="1" t="s">
        <v>210</v>
      </c>
      <c r="H5" s="1">
        <f t="shared" si="0"/>
        <v>10</v>
      </c>
      <c r="I5" s="1">
        <f t="shared" si="1"/>
        <v>0</v>
      </c>
      <c r="J5" s="1">
        <f>IFERROR(VLOOKUP(D5,Event_Master!B:E,4,FALSE),1)</f>
        <v>1.5</v>
      </c>
      <c r="K5" s="1">
        <f t="shared" si="2"/>
        <v>0</v>
      </c>
      <c r="L5" s="1">
        <f>K5+H5</f>
        <v>10</v>
      </c>
    </row>
    <row r="6" spans="1:12">
      <c r="A6" s="8">
        <v>46359</v>
      </c>
      <c r="B6" s="14">
        <v>484877</v>
      </c>
      <c r="C6" s="15" t="s">
        <v>11</v>
      </c>
      <c r="D6" s="1" t="s">
        <v>186</v>
      </c>
      <c r="E6" s="1" t="s">
        <v>210</v>
      </c>
      <c r="F6" s="1" t="s">
        <v>210</v>
      </c>
      <c r="H6" s="1">
        <f t="shared" si="0"/>
        <v>10</v>
      </c>
      <c r="I6" s="1">
        <f t="shared" si="1"/>
        <v>0</v>
      </c>
      <c r="J6" s="1">
        <f>IFERROR(VLOOKUP(D6,Event_Master!B:E,4,FALSE),1)</f>
        <v>1.5</v>
      </c>
      <c r="K6" s="1">
        <f t="shared" si="2"/>
        <v>0</v>
      </c>
      <c r="L6" s="1">
        <f t="shared" ref="L6:L37" si="3">K6+H6</f>
        <v>10</v>
      </c>
    </row>
    <row r="7" spans="1:12">
      <c r="A7" s="8">
        <v>46359</v>
      </c>
      <c r="B7" s="14">
        <v>453948</v>
      </c>
      <c r="C7" s="15" t="s">
        <v>130</v>
      </c>
      <c r="D7" s="1" t="s">
        <v>186</v>
      </c>
      <c r="E7" s="1" t="s">
        <v>210</v>
      </c>
      <c r="F7" s="1" t="s">
        <v>210</v>
      </c>
      <c r="H7" s="1">
        <f t="shared" si="0"/>
        <v>10</v>
      </c>
      <c r="I7" s="1">
        <f t="shared" si="1"/>
        <v>0</v>
      </c>
      <c r="J7" s="1">
        <f>IFERROR(VLOOKUP(D7,Event_Master!B:E,4,FALSE),1)</f>
        <v>1.5</v>
      </c>
      <c r="K7" s="1">
        <f t="shared" si="2"/>
        <v>0</v>
      </c>
      <c r="L7" s="1">
        <f t="shared" si="3"/>
        <v>10</v>
      </c>
    </row>
    <row r="8" spans="1:12">
      <c r="A8" s="8">
        <v>46359</v>
      </c>
      <c r="B8" s="14">
        <v>470292</v>
      </c>
      <c r="C8" s="15" t="s">
        <v>24</v>
      </c>
      <c r="D8" s="1" t="s">
        <v>186</v>
      </c>
      <c r="E8" s="1" t="s">
        <v>210</v>
      </c>
      <c r="F8" s="1" t="s">
        <v>210</v>
      </c>
      <c r="H8" s="1">
        <f t="shared" si="0"/>
        <v>10</v>
      </c>
      <c r="I8" s="1">
        <f t="shared" si="1"/>
        <v>0</v>
      </c>
      <c r="J8" s="1">
        <f>IFERROR(VLOOKUP(D8,Event_Master!B:E,4,FALSE),1)</f>
        <v>1.5</v>
      </c>
      <c r="K8" s="1">
        <f t="shared" si="2"/>
        <v>0</v>
      </c>
      <c r="L8" s="1">
        <f t="shared" si="3"/>
        <v>10</v>
      </c>
    </row>
    <row r="9" spans="1:12">
      <c r="A9" s="8">
        <v>46359</v>
      </c>
      <c r="B9" s="14">
        <v>450224</v>
      </c>
      <c r="C9" s="15" t="s">
        <v>140</v>
      </c>
      <c r="D9" s="1" t="s">
        <v>186</v>
      </c>
      <c r="E9" s="1" t="s">
        <v>210</v>
      </c>
      <c r="F9" s="1" t="s">
        <v>210</v>
      </c>
      <c r="H9" s="1">
        <f t="shared" si="0"/>
        <v>10</v>
      </c>
      <c r="I9" s="1">
        <f t="shared" si="1"/>
        <v>0</v>
      </c>
      <c r="J9" s="1">
        <f>IFERROR(VLOOKUP(D9,Event_Master!B:E,4,FALSE),1)</f>
        <v>1.5</v>
      </c>
      <c r="K9" s="1">
        <f t="shared" si="2"/>
        <v>0</v>
      </c>
      <c r="L9" s="1">
        <f t="shared" si="3"/>
        <v>10</v>
      </c>
    </row>
    <row r="10" spans="1:12">
      <c r="A10" s="8">
        <v>46359</v>
      </c>
      <c r="B10" s="14">
        <v>458702</v>
      </c>
      <c r="C10" s="15" t="s">
        <v>109</v>
      </c>
      <c r="D10" s="1" t="s">
        <v>186</v>
      </c>
      <c r="E10" s="1" t="s">
        <v>210</v>
      </c>
      <c r="F10" s="1" t="s">
        <v>210</v>
      </c>
      <c r="G10" s="1" t="s">
        <v>196</v>
      </c>
      <c r="H10" s="1">
        <f t="shared" si="0"/>
        <v>10</v>
      </c>
      <c r="I10" s="1">
        <f t="shared" si="1"/>
        <v>100</v>
      </c>
      <c r="J10" s="1">
        <f>IFERROR(VLOOKUP(D10,Event_Master!B:E,4,FALSE),1)</f>
        <v>1.5</v>
      </c>
      <c r="K10" s="1">
        <f t="shared" si="2"/>
        <v>150</v>
      </c>
      <c r="L10" s="1">
        <f t="shared" si="3"/>
        <v>160</v>
      </c>
    </row>
    <row r="11" spans="1:12">
      <c r="A11" s="8">
        <v>46359</v>
      </c>
      <c r="B11" s="14">
        <v>416828</v>
      </c>
      <c r="C11" s="15" t="s">
        <v>39</v>
      </c>
      <c r="D11" s="1" t="s">
        <v>186</v>
      </c>
      <c r="E11" s="1" t="s">
        <v>210</v>
      </c>
      <c r="F11" s="1" t="s">
        <v>210</v>
      </c>
      <c r="H11" s="1">
        <f t="shared" si="0"/>
        <v>10</v>
      </c>
      <c r="I11" s="1">
        <f t="shared" si="1"/>
        <v>0</v>
      </c>
      <c r="J11" s="1">
        <f>IFERROR(VLOOKUP(D11,Event_Master!B:E,4,FALSE),1)</f>
        <v>1.5</v>
      </c>
      <c r="K11" s="1">
        <f t="shared" si="2"/>
        <v>0</v>
      </c>
      <c r="L11" s="1">
        <f t="shared" si="3"/>
        <v>10</v>
      </c>
    </row>
    <row r="12" spans="1:12">
      <c r="A12" s="8">
        <v>46359</v>
      </c>
      <c r="B12" s="14">
        <v>486309</v>
      </c>
      <c r="C12" s="15" t="s">
        <v>60</v>
      </c>
      <c r="D12" s="1" t="s">
        <v>186</v>
      </c>
      <c r="E12" s="1" t="s">
        <v>210</v>
      </c>
      <c r="F12" s="1" t="s">
        <v>210</v>
      </c>
      <c r="H12" s="1">
        <f t="shared" si="0"/>
        <v>10</v>
      </c>
      <c r="I12" s="1">
        <f t="shared" si="1"/>
        <v>0</v>
      </c>
      <c r="J12" s="1">
        <f>IFERROR(VLOOKUP(D12,Event_Master!B:E,4,FALSE),1)</f>
        <v>1.5</v>
      </c>
      <c r="K12" s="1">
        <f t="shared" si="2"/>
        <v>0</v>
      </c>
      <c r="L12" s="1">
        <f t="shared" si="3"/>
        <v>10</v>
      </c>
    </row>
    <row r="13" spans="1:12">
      <c r="A13" s="8">
        <v>46359</v>
      </c>
      <c r="B13" s="14">
        <v>449890</v>
      </c>
      <c r="C13" s="15" t="s">
        <v>212</v>
      </c>
      <c r="D13" s="1" t="s">
        <v>186</v>
      </c>
      <c r="E13" s="1" t="s">
        <v>210</v>
      </c>
      <c r="F13" s="1" t="s">
        <v>210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1.5</v>
      </c>
      <c r="K13" s="1">
        <f t="shared" si="2"/>
        <v>0</v>
      </c>
      <c r="L13" s="1">
        <f t="shared" si="3"/>
        <v>10</v>
      </c>
    </row>
    <row r="14" spans="1:12">
      <c r="A14" s="8">
        <v>46359</v>
      </c>
      <c r="B14" s="16">
        <v>452073</v>
      </c>
      <c r="C14" s="17" t="s">
        <v>213</v>
      </c>
      <c r="D14" s="1" t="s">
        <v>186</v>
      </c>
      <c r="E14" s="1" t="s">
        <v>210</v>
      </c>
      <c r="F14" s="1" t="s">
        <v>210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1.5</v>
      </c>
      <c r="K14" s="1">
        <f t="shared" si="2"/>
        <v>0</v>
      </c>
      <c r="L14" s="1">
        <f t="shared" si="3"/>
        <v>10</v>
      </c>
    </row>
    <row r="15" spans="1:12">
      <c r="A15" s="8">
        <v>46359</v>
      </c>
      <c r="B15" s="14">
        <v>437534</v>
      </c>
      <c r="C15" s="15" t="s">
        <v>30</v>
      </c>
      <c r="D15" s="1" t="s">
        <v>186</v>
      </c>
      <c r="E15" s="1" t="s">
        <v>210</v>
      </c>
      <c r="F15" s="1" t="s">
        <v>210</v>
      </c>
      <c r="H15" s="1">
        <f t="shared" si="0"/>
        <v>10</v>
      </c>
      <c r="I15" s="1">
        <f t="shared" si="1"/>
        <v>0</v>
      </c>
      <c r="J15" s="1">
        <f>IFERROR(VLOOKUP(D15,Event_Master!B:E,4,FALSE),1)</f>
        <v>1.5</v>
      </c>
      <c r="K15" s="1">
        <f t="shared" si="2"/>
        <v>0</v>
      </c>
      <c r="L15" s="1">
        <f t="shared" si="3"/>
        <v>10</v>
      </c>
    </row>
    <row r="16" spans="1:12">
      <c r="A16" s="8">
        <v>46359</v>
      </c>
      <c r="B16" s="14">
        <v>452991</v>
      </c>
      <c r="C16" s="15" t="s">
        <v>75</v>
      </c>
      <c r="D16" s="1" t="s">
        <v>186</v>
      </c>
      <c r="E16" s="1" t="s">
        <v>210</v>
      </c>
      <c r="F16" s="1" t="s">
        <v>210</v>
      </c>
      <c r="G16" s="1" t="s">
        <v>196</v>
      </c>
      <c r="H16" s="1">
        <f t="shared" si="0"/>
        <v>10</v>
      </c>
      <c r="I16" s="1">
        <f t="shared" si="1"/>
        <v>100</v>
      </c>
      <c r="J16" s="1">
        <f>IFERROR(VLOOKUP(D16,Event_Master!B:E,4,FALSE),1)</f>
        <v>1.5</v>
      </c>
      <c r="K16" s="1">
        <f t="shared" si="2"/>
        <v>150</v>
      </c>
      <c r="L16" s="1">
        <f t="shared" si="3"/>
        <v>160</v>
      </c>
    </row>
    <row r="17" spans="1:12">
      <c r="A17" s="8">
        <v>46359</v>
      </c>
      <c r="B17" s="14">
        <v>440620</v>
      </c>
      <c r="C17" s="15" t="s">
        <v>133</v>
      </c>
      <c r="D17" s="1" t="s">
        <v>186</v>
      </c>
      <c r="E17" s="1" t="s">
        <v>210</v>
      </c>
      <c r="F17" s="1" t="s">
        <v>210</v>
      </c>
      <c r="H17" s="1">
        <f t="shared" si="0"/>
        <v>10</v>
      </c>
      <c r="I17" s="1">
        <f t="shared" si="1"/>
        <v>0</v>
      </c>
      <c r="J17" s="1">
        <f>IFERROR(VLOOKUP(D17,Event_Master!B:E,4,FALSE),1)</f>
        <v>1.5</v>
      </c>
      <c r="K17" s="1">
        <f t="shared" si="2"/>
        <v>0</v>
      </c>
      <c r="L17" s="1">
        <f t="shared" si="3"/>
        <v>10</v>
      </c>
    </row>
    <row r="18" spans="1:12">
      <c r="A18" s="8">
        <v>46359</v>
      </c>
      <c r="B18" s="15">
        <v>476372</v>
      </c>
      <c r="C18" s="15" t="s">
        <v>214</v>
      </c>
      <c r="D18" s="1" t="s">
        <v>186</v>
      </c>
      <c r="E18" s="1" t="s">
        <v>210</v>
      </c>
      <c r="F18" s="1" t="s">
        <v>210</v>
      </c>
      <c r="H18" s="1">
        <f t="shared" si="0"/>
        <v>10</v>
      </c>
      <c r="I18" s="1">
        <f t="shared" si="1"/>
        <v>0</v>
      </c>
      <c r="J18" s="1">
        <f>IFERROR(VLOOKUP(D18,Event_Master!B:E,4,FALSE),1)</f>
        <v>1.5</v>
      </c>
      <c r="K18" s="1">
        <f t="shared" si="2"/>
        <v>0</v>
      </c>
      <c r="L18" s="1">
        <f t="shared" si="3"/>
        <v>10</v>
      </c>
    </row>
    <row r="19" spans="1:12">
      <c r="A19" s="8">
        <v>46359</v>
      </c>
      <c r="B19" s="14">
        <v>450256</v>
      </c>
      <c r="C19" s="15" t="s">
        <v>215</v>
      </c>
      <c r="D19" s="1" t="s">
        <v>186</v>
      </c>
      <c r="E19" s="1" t="s">
        <v>210</v>
      </c>
      <c r="F19" s="1" t="s">
        <v>210</v>
      </c>
      <c r="H19" s="1">
        <f t="shared" si="0"/>
        <v>10</v>
      </c>
      <c r="I19" s="1">
        <f t="shared" si="1"/>
        <v>0</v>
      </c>
      <c r="J19" s="1">
        <f>IFERROR(VLOOKUP(D19,Event_Master!B:E,4,FALSE),1)</f>
        <v>1.5</v>
      </c>
      <c r="K19" s="1">
        <f t="shared" si="2"/>
        <v>0</v>
      </c>
      <c r="L19" s="1">
        <f t="shared" si="3"/>
        <v>10</v>
      </c>
    </row>
    <row r="20" spans="1:12">
      <c r="A20" s="8">
        <v>46359</v>
      </c>
      <c r="B20" s="14">
        <v>459234</v>
      </c>
      <c r="C20" s="15" t="s">
        <v>55</v>
      </c>
      <c r="D20" s="1" t="s">
        <v>186</v>
      </c>
      <c r="E20" s="1" t="s">
        <v>210</v>
      </c>
      <c r="F20" s="1" t="s">
        <v>210</v>
      </c>
      <c r="H20" s="1">
        <f t="shared" si="0"/>
        <v>10</v>
      </c>
      <c r="I20" s="1">
        <f t="shared" si="1"/>
        <v>0</v>
      </c>
      <c r="J20" s="1">
        <f>IFERROR(VLOOKUP(D20,Event_Master!B:E,4,FALSE),1)</f>
        <v>1.5</v>
      </c>
      <c r="K20" s="1">
        <f t="shared" si="2"/>
        <v>0</v>
      </c>
      <c r="L20" s="1">
        <f t="shared" si="3"/>
        <v>10</v>
      </c>
    </row>
    <row r="21" spans="1:12">
      <c r="A21" s="8">
        <v>46359</v>
      </c>
      <c r="B21" s="14">
        <v>427154</v>
      </c>
      <c r="C21" s="15" t="s">
        <v>151</v>
      </c>
      <c r="D21" s="1" t="s">
        <v>186</v>
      </c>
      <c r="E21" s="1" t="s">
        <v>210</v>
      </c>
      <c r="F21" s="1" t="s">
        <v>210</v>
      </c>
      <c r="H21" s="1">
        <f t="shared" si="0"/>
        <v>10</v>
      </c>
      <c r="I21" s="1">
        <f t="shared" si="1"/>
        <v>0</v>
      </c>
      <c r="J21" s="1">
        <f>IFERROR(VLOOKUP(D21,Event_Master!B:E,4,FALSE),1)</f>
        <v>1.5</v>
      </c>
      <c r="K21" s="1">
        <f t="shared" si="2"/>
        <v>0</v>
      </c>
      <c r="L21" s="1">
        <f t="shared" si="3"/>
        <v>10</v>
      </c>
    </row>
    <row r="22" spans="1:12">
      <c r="A22" s="8">
        <v>46359</v>
      </c>
      <c r="B22" s="14">
        <v>420533</v>
      </c>
      <c r="C22" s="18" t="s">
        <v>7</v>
      </c>
      <c r="D22" s="1" t="s">
        <v>186</v>
      </c>
      <c r="E22" s="1" t="s">
        <v>210</v>
      </c>
      <c r="F22" s="1" t="s">
        <v>210</v>
      </c>
      <c r="H22" s="1">
        <f t="shared" si="0"/>
        <v>10</v>
      </c>
      <c r="I22" s="1">
        <f t="shared" si="1"/>
        <v>0</v>
      </c>
      <c r="J22" s="1">
        <f>IFERROR(VLOOKUP(D22,Event_Master!B:E,4,FALSE),1)</f>
        <v>1.5</v>
      </c>
      <c r="K22" s="1">
        <f t="shared" si="2"/>
        <v>0</v>
      </c>
      <c r="L22" s="1">
        <f t="shared" si="3"/>
        <v>10</v>
      </c>
    </row>
    <row r="23" spans="1:12">
      <c r="A23" s="8">
        <v>46359</v>
      </c>
      <c r="B23" s="14">
        <v>396485</v>
      </c>
      <c r="C23" s="15" t="s">
        <v>102</v>
      </c>
      <c r="D23" s="1" t="s">
        <v>186</v>
      </c>
      <c r="E23" s="1" t="s">
        <v>210</v>
      </c>
      <c r="F23" s="1" t="s">
        <v>210</v>
      </c>
      <c r="H23" s="1">
        <f t="shared" si="0"/>
        <v>10</v>
      </c>
      <c r="I23" s="1">
        <f t="shared" si="1"/>
        <v>0</v>
      </c>
      <c r="J23" s="1">
        <f>IFERROR(VLOOKUP(D23,Event_Master!B:E,4,FALSE),1)</f>
        <v>1.5</v>
      </c>
      <c r="K23" s="1">
        <f t="shared" si="2"/>
        <v>0</v>
      </c>
      <c r="L23" s="1">
        <f t="shared" si="3"/>
        <v>10</v>
      </c>
    </row>
    <row r="24" spans="1:12">
      <c r="A24" s="8">
        <v>46359</v>
      </c>
      <c r="B24" s="14">
        <v>473266</v>
      </c>
      <c r="C24" s="15" t="s">
        <v>6</v>
      </c>
      <c r="D24" s="1" t="s">
        <v>186</v>
      </c>
      <c r="E24" s="1" t="s">
        <v>210</v>
      </c>
      <c r="F24" s="1" t="s">
        <v>210</v>
      </c>
      <c r="H24" s="1">
        <f t="shared" si="0"/>
        <v>10</v>
      </c>
      <c r="I24" s="1">
        <f t="shared" si="1"/>
        <v>0</v>
      </c>
      <c r="J24" s="1">
        <f>IFERROR(VLOOKUP(D24,Event_Master!B:E,4,FALSE),1)</f>
        <v>1.5</v>
      </c>
      <c r="K24" s="1">
        <f t="shared" si="2"/>
        <v>0</v>
      </c>
      <c r="L24" s="1">
        <f t="shared" si="3"/>
        <v>10</v>
      </c>
    </row>
    <row r="25" spans="1:12">
      <c r="A25" s="8">
        <v>46359</v>
      </c>
      <c r="B25" s="14">
        <v>451567</v>
      </c>
      <c r="C25" s="15" t="s">
        <v>216</v>
      </c>
      <c r="D25" s="1" t="s">
        <v>186</v>
      </c>
      <c r="E25" s="1" t="s">
        <v>210</v>
      </c>
      <c r="F25" s="1" t="s">
        <v>210</v>
      </c>
      <c r="H25" s="1">
        <f t="shared" si="0"/>
        <v>10</v>
      </c>
      <c r="I25" s="1">
        <f t="shared" si="1"/>
        <v>0</v>
      </c>
      <c r="J25" s="1">
        <f>IFERROR(VLOOKUP(D25,Event_Master!B:E,4,FALSE),1)</f>
        <v>1.5</v>
      </c>
      <c r="K25" s="1">
        <f t="shared" si="2"/>
        <v>0</v>
      </c>
      <c r="L25" s="1">
        <f t="shared" si="3"/>
        <v>10</v>
      </c>
    </row>
    <row r="26" spans="1:12">
      <c r="A26" s="8">
        <v>46359</v>
      </c>
      <c r="B26" s="14">
        <v>365114</v>
      </c>
      <c r="C26" s="15" t="s">
        <v>4</v>
      </c>
      <c r="D26" s="1" t="s">
        <v>186</v>
      </c>
      <c r="E26" s="1" t="s">
        <v>210</v>
      </c>
      <c r="F26" s="1" t="s">
        <v>210</v>
      </c>
      <c r="H26" s="1">
        <f t="shared" si="0"/>
        <v>10</v>
      </c>
      <c r="I26" s="1">
        <f t="shared" si="1"/>
        <v>0</v>
      </c>
      <c r="J26" s="1">
        <f>IFERROR(VLOOKUP(D26,Event_Master!B:E,4,FALSE),1)</f>
        <v>1.5</v>
      </c>
      <c r="K26" s="1">
        <f t="shared" si="2"/>
        <v>0</v>
      </c>
      <c r="L26" s="1">
        <f t="shared" si="3"/>
        <v>10</v>
      </c>
    </row>
    <row r="27" spans="1:12">
      <c r="A27" s="8">
        <v>46359</v>
      </c>
      <c r="B27" s="14">
        <v>450437</v>
      </c>
      <c r="C27" s="15" t="s">
        <v>217</v>
      </c>
      <c r="D27" s="1" t="s">
        <v>186</v>
      </c>
      <c r="E27" s="1" t="s">
        <v>210</v>
      </c>
      <c r="F27" s="1" t="s">
        <v>210</v>
      </c>
      <c r="H27" s="1">
        <f t="shared" si="0"/>
        <v>10</v>
      </c>
      <c r="I27" s="1">
        <f t="shared" si="1"/>
        <v>0</v>
      </c>
      <c r="J27" s="1">
        <f>IFERROR(VLOOKUP(D27,Event_Master!B:E,4,FALSE),1)</f>
        <v>1.5</v>
      </c>
      <c r="K27" s="1">
        <f t="shared" si="2"/>
        <v>0</v>
      </c>
      <c r="L27" s="1">
        <f t="shared" si="3"/>
        <v>10</v>
      </c>
    </row>
    <row r="28" spans="1:12">
      <c r="A28" s="8">
        <v>46359</v>
      </c>
      <c r="B28" s="14">
        <v>416087</v>
      </c>
      <c r="C28" s="15" t="s">
        <v>3</v>
      </c>
      <c r="D28" s="1" t="s">
        <v>186</v>
      </c>
      <c r="E28" s="1" t="s">
        <v>210</v>
      </c>
      <c r="F28" s="1" t="s">
        <v>210</v>
      </c>
      <c r="H28" s="1">
        <f t="shared" si="0"/>
        <v>10</v>
      </c>
      <c r="I28" s="1">
        <f t="shared" si="1"/>
        <v>0</v>
      </c>
      <c r="J28" s="1">
        <f>IFERROR(VLOOKUP(D28,Event_Master!B:E,4,FALSE),1)</f>
        <v>1.5</v>
      </c>
      <c r="K28" s="1">
        <f t="shared" si="2"/>
        <v>0</v>
      </c>
      <c r="L28" s="1">
        <f t="shared" si="3"/>
        <v>10</v>
      </c>
    </row>
    <row r="29" spans="1:12">
      <c r="A29" s="8">
        <v>46359</v>
      </c>
      <c r="B29" s="18">
        <v>457430</v>
      </c>
      <c r="C29" s="18" t="s">
        <v>14</v>
      </c>
      <c r="D29" s="1" t="s">
        <v>186</v>
      </c>
      <c r="E29" s="1" t="s">
        <v>210</v>
      </c>
      <c r="F29" s="1" t="s">
        <v>210</v>
      </c>
      <c r="H29" s="1">
        <f t="shared" si="0"/>
        <v>10</v>
      </c>
      <c r="I29" s="1">
        <f t="shared" si="1"/>
        <v>0</v>
      </c>
      <c r="J29" s="1">
        <f>IFERROR(VLOOKUP(D29,Event_Master!B:E,4,FALSE),1)</f>
        <v>1.5</v>
      </c>
      <c r="K29" s="1">
        <f t="shared" si="2"/>
        <v>0</v>
      </c>
      <c r="L29" s="1">
        <f t="shared" si="3"/>
        <v>10</v>
      </c>
    </row>
    <row r="30" spans="1:12">
      <c r="A30" s="8">
        <v>46359</v>
      </c>
      <c r="B30" s="14">
        <v>435877</v>
      </c>
      <c r="C30" s="15" t="s">
        <v>218</v>
      </c>
      <c r="D30" s="1" t="s">
        <v>186</v>
      </c>
      <c r="E30" s="1" t="s">
        <v>210</v>
      </c>
      <c r="F30" s="1" t="s">
        <v>210</v>
      </c>
      <c r="H30" s="1">
        <f t="shared" si="0"/>
        <v>10</v>
      </c>
      <c r="I30" s="1">
        <f t="shared" si="1"/>
        <v>0</v>
      </c>
      <c r="J30" s="1">
        <f>IFERROR(VLOOKUP(D30,Event_Master!B:E,4,FALSE),1)</f>
        <v>1.5</v>
      </c>
      <c r="K30" s="1">
        <f t="shared" si="2"/>
        <v>0</v>
      </c>
      <c r="L30" s="1">
        <f t="shared" si="3"/>
        <v>10</v>
      </c>
    </row>
    <row r="31" spans="1:12">
      <c r="A31" s="8">
        <v>46359</v>
      </c>
      <c r="B31" s="14">
        <v>450224</v>
      </c>
      <c r="C31" s="15" t="s">
        <v>219</v>
      </c>
      <c r="D31" s="1" t="s">
        <v>186</v>
      </c>
      <c r="E31" s="1" t="s">
        <v>210</v>
      </c>
      <c r="F31" s="1" t="s">
        <v>210</v>
      </c>
      <c r="H31" s="1">
        <f t="shared" si="0"/>
        <v>10</v>
      </c>
      <c r="I31" s="1">
        <f t="shared" si="1"/>
        <v>0</v>
      </c>
      <c r="J31" s="1">
        <f>IFERROR(VLOOKUP(D31,Event_Master!B:E,4,FALSE),1)</f>
        <v>1.5</v>
      </c>
      <c r="K31" s="1">
        <f t="shared" si="2"/>
        <v>0</v>
      </c>
      <c r="L31" s="1">
        <f t="shared" si="3"/>
        <v>10</v>
      </c>
    </row>
    <row r="32" spans="1:12">
      <c r="A32" s="8">
        <v>46359</v>
      </c>
      <c r="B32" s="14">
        <v>449551</v>
      </c>
      <c r="C32" s="15" t="s">
        <v>220</v>
      </c>
      <c r="D32" s="1" t="s">
        <v>186</v>
      </c>
      <c r="E32" s="1" t="s">
        <v>210</v>
      </c>
      <c r="F32" s="1" t="s">
        <v>210</v>
      </c>
      <c r="H32" s="1">
        <f t="shared" si="0"/>
        <v>10</v>
      </c>
      <c r="I32" s="1">
        <f t="shared" si="1"/>
        <v>0</v>
      </c>
      <c r="J32" s="1">
        <f>IFERROR(VLOOKUP(D32,Event_Master!B:E,4,FALSE),1)</f>
        <v>1.5</v>
      </c>
      <c r="K32" s="1">
        <f t="shared" si="2"/>
        <v>0</v>
      </c>
      <c r="L32" s="1">
        <f t="shared" si="3"/>
        <v>10</v>
      </c>
    </row>
    <row r="33" spans="1:12">
      <c r="A33" s="8">
        <v>46359</v>
      </c>
      <c r="B33" s="14">
        <v>457795</v>
      </c>
      <c r="C33" s="15" t="s">
        <v>221</v>
      </c>
      <c r="D33" s="1" t="s">
        <v>186</v>
      </c>
      <c r="E33" s="1" t="s">
        <v>210</v>
      </c>
      <c r="F33" s="1" t="s">
        <v>210</v>
      </c>
      <c r="H33" s="1">
        <f t="shared" si="0"/>
        <v>10</v>
      </c>
      <c r="I33" s="1">
        <f t="shared" si="1"/>
        <v>0</v>
      </c>
      <c r="J33" s="1">
        <f>IFERROR(VLOOKUP(D33,Event_Master!B:E,4,FALSE),1)</f>
        <v>1.5</v>
      </c>
      <c r="K33" s="1">
        <f t="shared" si="2"/>
        <v>0</v>
      </c>
      <c r="L33" s="1">
        <f t="shared" si="3"/>
        <v>10</v>
      </c>
    </row>
    <row r="34" spans="1:12">
      <c r="A34" s="8">
        <v>46359</v>
      </c>
      <c r="B34" s="14">
        <v>468157</v>
      </c>
      <c r="C34" s="15" t="s">
        <v>123</v>
      </c>
      <c r="D34" s="1" t="s">
        <v>186</v>
      </c>
      <c r="E34" s="1" t="s">
        <v>210</v>
      </c>
      <c r="F34" s="1" t="s">
        <v>210</v>
      </c>
      <c r="H34" s="1">
        <f t="shared" si="0"/>
        <v>10</v>
      </c>
      <c r="I34" s="1">
        <f t="shared" si="1"/>
        <v>0</v>
      </c>
      <c r="J34" s="1">
        <f>IFERROR(VLOOKUP(D34,Event_Master!B:E,4,FALSE),1)</f>
        <v>1.5</v>
      </c>
      <c r="K34" s="1">
        <f t="shared" si="2"/>
        <v>0</v>
      </c>
      <c r="L34" s="1">
        <f t="shared" si="3"/>
        <v>10</v>
      </c>
    </row>
    <row r="35" spans="1:12">
      <c r="A35" s="8">
        <v>46359</v>
      </c>
      <c r="B35" s="14">
        <v>700216</v>
      </c>
      <c r="C35" s="15" t="s">
        <v>152</v>
      </c>
      <c r="D35" s="1" t="s">
        <v>186</v>
      </c>
      <c r="E35" s="1" t="s">
        <v>210</v>
      </c>
      <c r="F35" s="1" t="s">
        <v>210</v>
      </c>
      <c r="G35" s="1" t="s">
        <v>196</v>
      </c>
      <c r="H35" s="1">
        <f t="shared" si="0"/>
        <v>10</v>
      </c>
      <c r="I35" s="1">
        <f t="shared" si="1"/>
        <v>100</v>
      </c>
      <c r="J35" s="1">
        <f>IFERROR(VLOOKUP(D35,Event_Master!B:E,4,FALSE),1)</f>
        <v>1.5</v>
      </c>
      <c r="K35" s="1">
        <f t="shared" si="2"/>
        <v>150</v>
      </c>
      <c r="L35" s="1">
        <f t="shared" si="3"/>
        <v>160</v>
      </c>
    </row>
    <row r="36" spans="1:12">
      <c r="A36" s="8">
        <v>46359</v>
      </c>
      <c r="B36" s="14">
        <v>492857</v>
      </c>
      <c r="C36" s="15" t="s">
        <v>32</v>
      </c>
      <c r="D36" s="1" t="s">
        <v>186</v>
      </c>
      <c r="E36" s="1" t="s">
        <v>210</v>
      </c>
      <c r="F36" s="1" t="s">
        <v>210</v>
      </c>
      <c r="H36" s="1">
        <f t="shared" si="0"/>
        <v>10</v>
      </c>
      <c r="I36" s="1">
        <f t="shared" si="1"/>
        <v>0</v>
      </c>
      <c r="J36" s="1">
        <f>IFERROR(VLOOKUP(D36,Event_Master!B:E,4,FALSE),1)</f>
        <v>1.5</v>
      </c>
      <c r="K36" s="1">
        <f t="shared" si="2"/>
        <v>0</v>
      </c>
      <c r="L36" s="1">
        <f t="shared" si="3"/>
        <v>10</v>
      </c>
    </row>
    <row r="37" spans="1:12">
      <c r="A37" s="8">
        <v>46359</v>
      </c>
      <c r="B37" s="15">
        <v>450230</v>
      </c>
      <c r="C37" s="15" t="s">
        <v>142</v>
      </c>
      <c r="D37" s="1" t="s">
        <v>186</v>
      </c>
      <c r="E37" s="1" t="s">
        <v>210</v>
      </c>
      <c r="F37" s="1" t="s">
        <v>210</v>
      </c>
      <c r="H37" s="1">
        <f t="shared" si="0"/>
        <v>10</v>
      </c>
      <c r="I37" s="1">
        <f t="shared" si="1"/>
        <v>0</v>
      </c>
      <c r="J37" s="1">
        <f>IFERROR(VLOOKUP(D37,Event_Master!B:E,4,FALSE),1)</f>
        <v>1.5</v>
      </c>
      <c r="K37" s="1">
        <f t="shared" si="2"/>
        <v>0</v>
      </c>
      <c r="L37" s="1">
        <f t="shared" si="3"/>
        <v>10</v>
      </c>
    </row>
    <row r="38" spans="1:12">
      <c r="A38" s="8">
        <v>46359</v>
      </c>
      <c r="B38" s="14">
        <v>438957</v>
      </c>
      <c r="C38" s="15" t="s">
        <v>42</v>
      </c>
      <c r="D38" s="1" t="s">
        <v>186</v>
      </c>
      <c r="E38" s="1" t="s">
        <v>210</v>
      </c>
      <c r="F38" s="1" t="s">
        <v>210</v>
      </c>
      <c r="H38" s="1">
        <f t="shared" si="0"/>
        <v>10</v>
      </c>
      <c r="I38" s="1">
        <f t="shared" si="1"/>
        <v>0</v>
      </c>
      <c r="J38" s="1">
        <f>IFERROR(VLOOKUP(D38,Event_Master!B:E,4,FALSE),1)</f>
        <v>1.5</v>
      </c>
      <c r="K38" s="1">
        <f t="shared" si="2"/>
        <v>0</v>
      </c>
      <c r="L38" s="1">
        <f t="shared" ref="L38:L69" si="4">K38+H38</f>
        <v>10</v>
      </c>
    </row>
    <row r="39" spans="1:12">
      <c r="A39" s="8">
        <v>46359</v>
      </c>
      <c r="B39" s="15">
        <v>452076</v>
      </c>
      <c r="C39" s="15" t="s">
        <v>222</v>
      </c>
      <c r="D39" s="1" t="s">
        <v>186</v>
      </c>
      <c r="E39" s="1" t="s">
        <v>210</v>
      </c>
      <c r="F39" s="1" t="s">
        <v>210</v>
      </c>
      <c r="H39" s="1">
        <f t="shared" si="0"/>
        <v>10</v>
      </c>
      <c r="I39" s="1">
        <f t="shared" si="1"/>
        <v>0</v>
      </c>
      <c r="J39" s="1">
        <f>IFERROR(VLOOKUP(D39,Event_Master!B:E,4,FALSE),1)</f>
        <v>1.5</v>
      </c>
      <c r="K39" s="1">
        <f t="shared" si="2"/>
        <v>0</v>
      </c>
      <c r="L39" s="1">
        <f t="shared" si="4"/>
        <v>10</v>
      </c>
    </row>
    <row r="40" spans="1:12">
      <c r="A40" s="8">
        <v>46359</v>
      </c>
      <c r="B40" s="14">
        <v>452058</v>
      </c>
      <c r="C40" s="15" t="s">
        <v>71</v>
      </c>
      <c r="D40" s="1" t="s">
        <v>186</v>
      </c>
      <c r="E40" s="1" t="s">
        <v>210</v>
      </c>
      <c r="F40" s="1" t="s">
        <v>210</v>
      </c>
      <c r="H40" s="1">
        <f t="shared" si="0"/>
        <v>10</v>
      </c>
      <c r="I40" s="1">
        <f t="shared" si="1"/>
        <v>0</v>
      </c>
      <c r="J40" s="1">
        <f>IFERROR(VLOOKUP(D40,Event_Master!B:E,4,FALSE),1)</f>
        <v>1.5</v>
      </c>
      <c r="K40" s="1">
        <f t="shared" si="2"/>
        <v>0</v>
      </c>
      <c r="L40" s="1">
        <f t="shared" si="4"/>
        <v>10</v>
      </c>
    </row>
    <row r="41" spans="1:12">
      <c r="A41" s="8">
        <v>46359</v>
      </c>
      <c r="B41" s="14">
        <v>452075</v>
      </c>
      <c r="C41" s="15" t="s">
        <v>72</v>
      </c>
      <c r="D41" s="1" t="s">
        <v>186</v>
      </c>
      <c r="E41" s="1" t="s">
        <v>210</v>
      </c>
      <c r="F41" s="1" t="s">
        <v>210</v>
      </c>
      <c r="H41" s="1">
        <f t="shared" si="0"/>
        <v>10</v>
      </c>
      <c r="I41" s="1">
        <f t="shared" si="1"/>
        <v>0</v>
      </c>
      <c r="J41" s="1">
        <f>IFERROR(VLOOKUP(D41,Event_Master!B:E,4,FALSE),1)</f>
        <v>1.5</v>
      </c>
      <c r="K41" s="1">
        <f t="shared" si="2"/>
        <v>0</v>
      </c>
      <c r="L41" s="1">
        <f t="shared" si="4"/>
        <v>10</v>
      </c>
    </row>
    <row r="42" spans="1:12">
      <c r="A42" s="8">
        <v>46359</v>
      </c>
      <c r="B42" s="14">
        <v>449891</v>
      </c>
      <c r="C42" s="15" t="s">
        <v>223</v>
      </c>
      <c r="D42" s="1" t="s">
        <v>186</v>
      </c>
      <c r="E42" s="1" t="s">
        <v>210</v>
      </c>
      <c r="F42" s="1" t="s">
        <v>210</v>
      </c>
      <c r="G42" s="1" t="s">
        <v>197</v>
      </c>
      <c r="H42" s="1">
        <f t="shared" si="0"/>
        <v>10</v>
      </c>
      <c r="I42" s="1">
        <f t="shared" si="1"/>
        <v>70</v>
      </c>
      <c r="J42" s="1">
        <f>IFERROR(VLOOKUP(D42,Event_Master!B:E,4,FALSE),1)</f>
        <v>1.5</v>
      </c>
      <c r="K42" s="1">
        <f t="shared" si="2"/>
        <v>105</v>
      </c>
      <c r="L42" s="1">
        <f t="shared" si="4"/>
        <v>115</v>
      </c>
    </row>
    <row r="43" spans="1:12">
      <c r="A43" s="8">
        <v>46359</v>
      </c>
      <c r="B43" s="14">
        <v>464871</v>
      </c>
      <c r="C43" s="15" t="s">
        <v>119</v>
      </c>
      <c r="D43" s="1" t="s">
        <v>186</v>
      </c>
      <c r="E43" s="1" t="s">
        <v>210</v>
      </c>
      <c r="F43" s="1" t="s">
        <v>210</v>
      </c>
      <c r="H43" s="1">
        <f t="shared" si="0"/>
        <v>10</v>
      </c>
      <c r="I43" s="1">
        <f t="shared" si="1"/>
        <v>0</v>
      </c>
      <c r="J43" s="1">
        <f>IFERROR(VLOOKUP(D43,Event_Master!B:E,4,FALSE),1)</f>
        <v>1.5</v>
      </c>
      <c r="K43" s="1">
        <f t="shared" si="2"/>
        <v>0</v>
      </c>
      <c r="L43" s="1">
        <f t="shared" si="4"/>
        <v>10</v>
      </c>
    </row>
    <row r="44" spans="1:12">
      <c r="A44" s="8">
        <v>46359</v>
      </c>
      <c r="B44" s="18">
        <v>434518</v>
      </c>
      <c r="C44" s="18" t="s">
        <v>9</v>
      </c>
      <c r="D44" s="1" t="s">
        <v>186</v>
      </c>
      <c r="E44" s="1" t="s">
        <v>210</v>
      </c>
      <c r="F44" s="1" t="s">
        <v>210</v>
      </c>
      <c r="G44" s="1" t="s">
        <v>196</v>
      </c>
      <c r="H44" s="1">
        <f t="shared" si="0"/>
        <v>10</v>
      </c>
      <c r="I44" s="1">
        <f t="shared" si="1"/>
        <v>100</v>
      </c>
      <c r="J44" s="1">
        <f>IFERROR(VLOOKUP(D44,Event_Master!B:E,4,FALSE),1)</f>
        <v>1.5</v>
      </c>
      <c r="K44" s="1">
        <f t="shared" si="2"/>
        <v>150</v>
      </c>
      <c r="L44" s="1">
        <f t="shared" si="4"/>
        <v>160</v>
      </c>
    </row>
    <row r="45" spans="1:12">
      <c r="A45" s="8">
        <v>46359</v>
      </c>
      <c r="B45" s="15">
        <v>452056</v>
      </c>
      <c r="C45" s="15" t="s">
        <v>68</v>
      </c>
      <c r="D45" s="1" t="s">
        <v>186</v>
      </c>
      <c r="E45" s="1" t="s">
        <v>210</v>
      </c>
      <c r="F45" s="1" t="s">
        <v>210</v>
      </c>
      <c r="G45" s="1" t="s">
        <v>197</v>
      </c>
      <c r="H45" s="1">
        <f t="shared" si="0"/>
        <v>10</v>
      </c>
      <c r="I45" s="1">
        <f t="shared" si="1"/>
        <v>70</v>
      </c>
      <c r="J45" s="1">
        <f>IFERROR(VLOOKUP(D45,Event_Master!B:E,4,FALSE),1)</f>
        <v>1.5</v>
      </c>
      <c r="K45" s="1">
        <f t="shared" si="2"/>
        <v>105</v>
      </c>
      <c r="L45" s="1">
        <f t="shared" si="4"/>
        <v>115</v>
      </c>
    </row>
    <row r="46" spans="1:12">
      <c r="A46" s="8">
        <v>46359</v>
      </c>
      <c r="B46" s="18">
        <v>466445</v>
      </c>
      <c r="C46" s="18" t="s">
        <v>122</v>
      </c>
      <c r="D46" s="1" t="s">
        <v>186</v>
      </c>
      <c r="E46" s="1" t="s">
        <v>210</v>
      </c>
      <c r="F46" s="1" t="s">
        <v>210</v>
      </c>
      <c r="H46" s="1">
        <f t="shared" si="0"/>
        <v>10</v>
      </c>
      <c r="I46" s="1">
        <f t="shared" si="1"/>
        <v>0</v>
      </c>
      <c r="J46" s="1">
        <f>IFERROR(VLOOKUP(D46,Event_Master!B:E,4,FALSE),1)</f>
        <v>1.5</v>
      </c>
      <c r="K46" s="1">
        <f t="shared" si="2"/>
        <v>0</v>
      </c>
      <c r="L46" s="1">
        <f t="shared" si="4"/>
        <v>10</v>
      </c>
    </row>
    <row r="47" spans="1:12">
      <c r="A47" s="8">
        <v>46359</v>
      </c>
      <c r="B47" s="14">
        <v>451567</v>
      </c>
      <c r="C47" s="15" t="s">
        <v>216</v>
      </c>
      <c r="D47" s="1" t="s">
        <v>186</v>
      </c>
      <c r="E47" s="1" t="s">
        <v>210</v>
      </c>
      <c r="F47" s="1" t="s">
        <v>210</v>
      </c>
      <c r="H47" s="1">
        <f t="shared" si="0"/>
        <v>10</v>
      </c>
      <c r="I47" s="1">
        <f t="shared" si="1"/>
        <v>0</v>
      </c>
      <c r="J47" s="1">
        <f>IFERROR(VLOOKUP(D47,Event_Master!B:E,4,FALSE),1)</f>
        <v>1.5</v>
      </c>
      <c r="K47" s="1">
        <f t="shared" si="2"/>
        <v>0</v>
      </c>
      <c r="L47" s="1">
        <f t="shared" si="4"/>
        <v>10</v>
      </c>
    </row>
    <row r="48" spans="1:12">
      <c r="A48" s="8">
        <v>46359</v>
      </c>
      <c r="B48" s="14">
        <v>474194</v>
      </c>
      <c r="C48" s="15" t="s">
        <v>126</v>
      </c>
      <c r="D48" s="1" t="s">
        <v>186</v>
      </c>
      <c r="E48" s="1" t="s">
        <v>210</v>
      </c>
      <c r="F48" s="1" t="s">
        <v>210</v>
      </c>
      <c r="H48" s="1">
        <f t="shared" si="0"/>
        <v>10</v>
      </c>
      <c r="I48" s="1">
        <f t="shared" si="1"/>
        <v>0</v>
      </c>
      <c r="J48" s="1">
        <f>IFERROR(VLOOKUP(D48,Event_Master!B:E,4,FALSE),1)</f>
        <v>1.5</v>
      </c>
      <c r="K48" s="1">
        <f t="shared" si="2"/>
        <v>0</v>
      </c>
      <c r="L48" s="1">
        <f t="shared" si="4"/>
        <v>10</v>
      </c>
    </row>
    <row r="49" spans="1:12">
      <c r="A49" s="8">
        <v>46359</v>
      </c>
      <c r="B49" s="14">
        <v>452991</v>
      </c>
      <c r="C49" s="15" t="s">
        <v>75</v>
      </c>
      <c r="D49" s="1" t="s">
        <v>186</v>
      </c>
      <c r="E49" s="1" t="s">
        <v>210</v>
      </c>
      <c r="F49" s="1" t="s">
        <v>210</v>
      </c>
      <c r="G49" s="1" t="s">
        <v>197</v>
      </c>
      <c r="H49" s="1">
        <f t="shared" si="0"/>
        <v>10</v>
      </c>
      <c r="I49" s="1">
        <f t="shared" si="1"/>
        <v>70</v>
      </c>
      <c r="J49" s="1">
        <f>IFERROR(VLOOKUP(D49,Event_Master!B:E,4,FALSE),1)</f>
        <v>1.5</v>
      </c>
      <c r="K49" s="1">
        <f t="shared" si="2"/>
        <v>105</v>
      </c>
      <c r="L49" s="1">
        <f t="shared" si="4"/>
        <v>115</v>
      </c>
    </row>
    <row r="50" spans="1:12">
      <c r="A50" s="8">
        <v>46359</v>
      </c>
      <c r="B50" s="18">
        <v>434518</v>
      </c>
      <c r="C50" s="18" t="s">
        <v>9</v>
      </c>
      <c r="D50" s="1" t="s">
        <v>186</v>
      </c>
      <c r="E50" s="1" t="s">
        <v>210</v>
      </c>
      <c r="F50" s="1" t="s">
        <v>210</v>
      </c>
      <c r="G50" s="1" t="s">
        <v>197</v>
      </c>
      <c r="H50" s="1">
        <f t="shared" si="0"/>
        <v>10</v>
      </c>
      <c r="I50" s="1">
        <f t="shared" si="1"/>
        <v>70</v>
      </c>
      <c r="J50" s="1">
        <f>IFERROR(VLOOKUP(D50,Event_Master!B:E,4,FALSE),1)</f>
        <v>1.5</v>
      </c>
      <c r="K50" s="1">
        <f t="shared" si="2"/>
        <v>105</v>
      </c>
      <c r="L50" s="1">
        <f t="shared" si="4"/>
        <v>115</v>
      </c>
    </row>
    <row r="51" spans="1:12">
      <c r="A51" s="8">
        <v>46359</v>
      </c>
      <c r="B51" s="18">
        <v>460812</v>
      </c>
      <c r="C51" s="18" t="s">
        <v>5</v>
      </c>
      <c r="D51" s="1" t="s">
        <v>186</v>
      </c>
      <c r="E51" s="1" t="s">
        <v>210</v>
      </c>
      <c r="F51" s="1" t="s">
        <v>210</v>
      </c>
      <c r="G51" s="1" t="s">
        <v>197</v>
      </c>
      <c r="H51" s="1">
        <f t="shared" si="0"/>
        <v>10</v>
      </c>
      <c r="I51" s="1">
        <f t="shared" si="1"/>
        <v>70</v>
      </c>
      <c r="J51" s="1">
        <f>IFERROR(VLOOKUP(D51,Event_Master!B:E,4,FALSE),1)</f>
        <v>1.5</v>
      </c>
      <c r="K51" s="1">
        <f t="shared" si="2"/>
        <v>105</v>
      </c>
      <c r="L51" s="1">
        <f t="shared" si="4"/>
        <v>115</v>
      </c>
    </row>
    <row r="52" spans="1:12">
      <c r="A52" s="8">
        <v>46359</v>
      </c>
      <c r="B52" s="15">
        <v>447836</v>
      </c>
      <c r="C52" s="15" t="s">
        <v>224</v>
      </c>
      <c r="D52" s="1" t="s">
        <v>190</v>
      </c>
      <c r="E52" s="1" t="s">
        <v>210</v>
      </c>
      <c r="F52" s="1" t="s">
        <v>210</v>
      </c>
      <c r="H52" s="1">
        <f t="shared" si="0"/>
        <v>10</v>
      </c>
      <c r="I52" s="1">
        <f t="shared" si="1"/>
        <v>0</v>
      </c>
      <c r="J52" s="1">
        <f>IFERROR(VLOOKUP(D52,Event_Master!B:E,4,FALSE),1)</f>
        <v>1.5</v>
      </c>
      <c r="K52" s="1">
        <f t="shared" si="2"/>
        <v>0</v>
      </c>
      <c r="L52" s="1">
        <f t="shared" si="4"/>
        <v>10</v>
      </c>
    </row>
    <row r="53" spans="1:12">
      <c r="A53" s="8">
        <v>46359</v>
      </c>
      <c r="B53" s="15">
        <v>452799</v>
      </c>
      <c r="C53" s="15" t="s">
        <v>135</v>
      </c>
      <c r="D53" s="1" t="s">
        <v>190</v>
      </c>
      <c r="E53" s="1" t="s">
        <v>210</v>
      </c>
      <c r="F53" s="1" t="s">
        <v>210</v>
      </c>
      <c r="H53" s="1">
        <f t="shared" si="0"/>
        <v>10</v>
      </c>
      <c r="I53" s="1">
        <f t="shared" si="1"/>
        <v>0</v>
      </c>
      <c r="J53" s="1">
        <f>IFERROR(VLOOKUP(D53,Event_Master!B:E,4,FALSE),1)</f>
        <v>1.5</v>
      </c>
      <c r="K53" s="1">
        <f t="shared" si="2"/>
        <v>0</v>
      </c>
      <c r="L53" s="1">
        <f t="shared" si="4"/>
        <v>10</v>
      </c>
    </row>
    <row r="54" spans="1:12">
      <c r="A54" s="8">
        <v>46359</v>
      </c>
      <c r="B54" s="15">
        <v>458702</v>
      </c>
      <c r="C54" s="15" t="s">
        <v>109</v>
      </c>
      <c r="D54" s="1" t="s">
        <v>190</v>
      </c>
      <c r="E54" s="1" t="s">
        <v>210</v>
      </c>
      <c r="F54" s="1" t="s">
        <v>210</v>
      </c>
      <c r="H54" s="1">
        <f t="shared" si="0"/>
        <v>10</v>
      </c>
      <c r="I54" s="1">
        <f t="shared" si="1"/>
        <v>0</v>
      </c>
      <c r="J54" s="1">
        <f>IFERROR(VLOOKUP(D54,Event_Master!B:E,4,FALSE),1)</f>
        <v>1.5</v>
      </c>
      <c r="K54" s="1">
        <f t="shared" si="2"/>
        <v>0</v>
      </c>
      <c r="L54" s="1">
        <f t="shared" si="4"/>
        <v>10</v>
      </c>
    </row>
    <row r="55" spans="1:12">
      <c r="A55" s="8">
        <v>46359</v>
      </c>
      <c r="B55" s="18">
        <v>440620</v>
      </c>
      <c r="C55" s="18" t="s">
        <v>133</v>
      </c>
      <c r="D55" s="1" t="s">
        <v>190</v>
      </c>
      <c r="E55" s="1" t="s">
        <v>210</v>
      </c>
      <c r="F55" s="1" t="s">
        <v>210</v>
      </c>
      <c r="H55" s="1">
        <f t="shared" si="0"/>
        <v>10</v>
      </c>
      <c r="I55" s="1">
        <f t="shared" si="1"/>
        <v>0</v>
      </c>
      <c r="J55" s="1">
        <f>IFERROR(VLOOKUP(D55,Event_Master!B:E,4,FALSE),1)</f>
        <v>1.5</v>
      </c>
      <c r="K55" s="1">
        <f t="shared" si="2"/>
        <v>0</v>
      </c>
      <c r="L55" s="1">
        <f t="shared" si="4"/>
        <v>10</v>
      </c>
    </row>
    <row r="56" spans="1:12">
      <c r="A56" s="8">
        <v>46359</v>
      </c>
      <c r="B56" s="15">
        <v>467519</v>
      </c>
      <c r="C56" s="15" t="s">
        <v>38</v>
      </c>
      <c r="D56" s="1" t="s">
        <v>190</v>
      </c>
      <c r="E56" s="1" t="s">
        <v>210</v>
      </c>
      <c r="F56" s="1" t="s">
        <v>210</v>
      </c>
      <c r="H56" s="1">
        <f t="shared" si="0"/>
        <v>10</v>
      </c>
      <c r="I56" s="1">
        <f t="shared" si="1"/>
        <v>0</v>
      </c>
      <c r="J56" s="1">
        <f>IFERROR(VLOOKUP(D56,Event_Master!B:E,4,FALSE),1)</f>
        <v>1.5</v>
      </c>
      <c r="K56" s="1">
        <f t="shared" si="2"/>
        <v>0</v>
      </c>
      <c r="L56" s="1">
        <f t="shared" si="4"/>
        <v>10</v>
      </c>
    </row>
    <row r="57" spans="1:12">
      <c r="A57" s="8">
        <v>46359</v>
      </c>
      <c r="B57" s="15">
        <v>707131</v>
      </c>
      <c r="C57" s="15" t="s">
        <v>225</v>
      </c>
      <c r="D57" s="1" t="s">
        <v>190</v>
      </c>
      <c r="E57" s="1" t="s">
        <v>210</v>
      </c>
      <c r="F57" s="1" t="s">
        <v>210</v>
      </c>
      <c r="H57" s="1">
        <f t="shared" si="0"/>
        <v>10</v>
      </c>
      <c r="I57" s="1">
        <f t="shared" si="1"/>
        <v>0</v>
      </c>
      <c r="J57" s="1">
        <f>IFERROR(VLOOKUP(D57,Event_Master!B:E,4,FALSE),1)</f>
        <v>1.5</v>
      </c>
      <c r="K57" s="1">
        <f t="shared" si="2"/>
        <v>0</v>
      </c>
      <c r="L57" s="1">
        <f t="shared" si="4"/>
        <v>10</v>
      </c>
    </row>
    <row r="58" spans="1:12">
      <c r="A58" s="8">
        <v>46359</v>
      </c>
      <c r="B58" s="15">
        <v>450224</v>
      </c>
      <c r="C58" s="15" t="s">
        <v>140</v>
      </c>
      <c r="D58" s="1" t="s">
        <v>190</v>
      </c>
      <c r="E58" s="1" t="s">
        <v>210</v>
      </c>
      <c r="F58" s="1" t="s">
        <v>210</v>
      </c>
      <c r="H58" s="1">
        <f t="shared" si="0"/>
        <v>10</v>
      </c>
      <c r="I58" s="1">
        <f t="shared" si="1"/>
        <v>0</v>
      </c>
      <c r="J58" s="1">
        <f>IFERROR(VLOOKUP(D58,Event_Master!B:E,4,FALSE),1)</f>
        <v>1.5</v>
      </c>
      <c r="K58" s="1">
        <f t="shared" si="2"/>
        <v>0</v>
      </c>
      <c r="L58" s="1">
        <f t="shared" si="4"/>
        <v>10</v>
      </c>
    </row>
    <row r="59" spans="1:12">
      <c r="A59" s="8">
        <v>46359</v>
      </c>
      <c r="B59" s="15">
        <v>450228</v>
      </c>
      <c r="C59" s="15" t="s">
        <v>61</v>
      </c>
      <c r="D59" s="1" t="s">
        <v>190</v>
      </c>
      <c r="E59" s="1" t="s">
        <v>210</v>
      </c>
      <c r="F59" s="1" t="s">
        <v>210</v>
      </c>
      <c r="H59" s="1">
        <f t="shared" si="0"/>
        <v>10</v>
      </c>
      <c r="I59" s="1">
        <f t="shared" si="1"/>
        <v>0</v>
      </c>
      <c r="J59" s="1">
        <f>IFERROR(VLOOKUP(D59,Event_Master!B:E,4,FALSE),1)</f>
        <v>1.5</v>
      </c>
      <c r="K59" s="1">
        <f t="shared" si="2"/>
        <v>0</v>
      </c>
      <c r="L59" s="1">
        <f t="shared" si="4"/>
        <v>10</v>
      </c>
    </row>
    <row r="60" spans="1:12">
      <c r="A60" s="8">
        <v>46359</v>
      </c>
      <c r="B60" s="15">
        <v>424332</v>
      </c>
      <c r="C60" s="15" t="s">
        <v>35</v>
      </c>
      <c r="D60" s="1" t="s">
        <v>190</v>
      </c>
      <c r="E60" s="1" t="s">
        <v>210</v>
      </c>
      <c r="F60" s="1" t="s">
        <v>210</v>
      </c>
      <c r="H60" s="1">
        <f t="shared" si="0"/>
        <v>10</v>
      </c>
      <c r="I60" s="1">
        <f t="shared" si="1"/>
        <v>0</v>
      </c>
      <c r="J60" s="1">
        <f>IFERROR(VLOOKUP(D60,Event_Master!B:E,4,FALSE),1)</f>
        <v>1.5</v>
      </c>
      <c r="K60" s="1">
        <f t="shared" si="2"/>
        <v>0</v>
      </c>
      <c r="L60" s="1">
        <f t="shared" si="4"/>
        <v>10</v>
      </c>
    </row>
    <row r="61" spans="1:12">
      <c r="A61" s="8">
        <v>46359</v>
      </c>
      <c r="B61" s="15">
        <v>434518</v>
      </c>
      <c r="C61" s="15" t="s">
        <v>9</v>
      </c>
      <c r="D61" s="1" t="s">
        <v>190</v>
      </c>
      <c r="E61" s="1" t="s">
        <v>210</v>
      </c>
      <c r="F61" s="1" t="s">
        <v>210</v>
      </c>
      <c r="H61" s="1">
        <f t="shared" si="0"/>
        <v>10</v>
      </c>
      <c r="I61" s="1">
        <f t="shared" si="1"/>
        <v>0</v>
      </c>
      <c r="J61" s="1">
        <f>IFERROR(VLOOKUP(D61,Event_Master!B:E,4,FALSE),1)</f>
        <v>1.5</v>
      </c>
      <c r="K61" s="1">
        <f t="shared" si="2"/>
        <v>0</v>
      </c>
      <c r="L61" s="1">
        <f t="shared" si="4"/>
        <v>10</v>
      </c>
    </row>
    <row r="62" spans="1:12">
      <c r="A62" s="8">
        <v>46359</v>
      </c>
      <c r="B62" s="15">
        <v>450230</v>
      </c>
      <c r="C62" s="15" t="s">
        <v>226</v>
      </c>
      <c r="D62" s="1" t="s">
        <v>190</v>
      </c>
      <c r="E62" s="1" t="s">
        <v>210</v>
      </c>
      <c r="F62" s="1" t="s">
        <v>210</v>
      </c>
      <c r="H62" s="1">
        <f t="shared" si="0"/>
        <v>10</v>
      </c>
      <c r="I62" s="1">
        <f t="shared" si="1"/>
        <v>0</v>
      </c>
      <c r="J62" s="1">
        <f>IFERROR(VLOOKUP(D62,Event_Master!B:E,4,FALSE),1)</f>
        <v>1.5</v>
      </c>
      <c r="K62" s="1">
        <f t="shared" si="2"/>
        <v>0</v>
      </c>
      <c r="L62" s="1">
        <f t="shared" si="4"/>
        <v>10</v>
      </c>
    </row>
    <row r="63" spans="1:12">
      <c r="A63" s="8">
        <v>46359</v>
      </c>
      <c r="B63" s="15">
        <v>460627</v>
      </c>
      <c r="C63" s="15" t="s">
        <v>77</v>
      </c>
      <c r="D63" s="1" t="s">
        <v>190</v>
      </c>
      <c r="E63" s="1" t="s">
        <v>210</v>
      </c>
      <c r="F63" s="1" t="s">
        <v>210</v>
      </c>
      <c r="H63" s="1">
        <f t="shared" si="0"/>
        <v>10</v>
      </c>
      <c r="I63" s="1">
        <f t="shared" si="1"/>
        <v>0</v>
      </c>
      <c r="J63" s="1">
        <f>IFERROR(VLOOKUP(D63,Event_Master!B:E,4,FALSE),1)</f>
        <v>1.5</v>
      </c>
      <c r="K63" s="1">
        <f t="shared" si="2"/>
        <v>0</v>
      </c>
      <c r="L63" s="1">
        <f t="shared" si="4"/>
        <v>10</v>
      </c>
    </row>
    <row r="64" spans="1:12">
      <c r="A64" s="8">
        <v>46359</v>
      </c>
      <c r="B64" s="16">
        <v>469627</v>
      </c>
      <c r="C64" s="19" t="s">
        <v>227</v>
      </c>
      <c r="D64" s="1" t="s">
        <v>190</v>
      </c>
      <c r="E64" s="1" t="s">
        <v>210</v>
      </c>
      <c r="F64" s="1" t="s">
        <v>210</v>
      </c>
      <c r="H64" s="1">
        <f t="shared" si="0"/>
        <v>10</v>
      </c>
      <c r="I64" s="1">
        <f t="shared" si="1"/>
        <v>0</v>
      </c>
      <c r="J64" s="1">
        <f>IFERROR(VLOOKUP(D64,Event_Master!B:E,4,FALSE),1)</f>
        <v>1.5</v>
      </c>
      <c r="K64" s="1">
        <f t="shared" si="2"/>
        <v>0</v>
      </c>
      <c r="L64" s="1">
        <f t="shared" si="4"/>
        <v>10</v>
      </c>
    </row>
    <row r="65" spans="1:12">
      <c r="A65" s="8">
        <v>46359</v>
      </c>
      <c r="B65" s="15">
        <v>416828</v>
      </c>
      <c r="C65" s="15" t="s">
        <v>39</v>
      </c>
      <c r="D65" s="1" t="s">
        <v>190</v>
      </c>
      <c r="E65" s="1" t="s">
        <v>210</v>
      </c>
      <c r="F65" s="1" t="s">
        <v>210</v>
      </c>
      <c r="H65" s="1">
        <f t="shared" si="0"/>
        <v>10</v>
      </c>
      <c r="I65" s="1">
        <f t="shared" si="1"/>
        <v>0</v>
      </c>
      <c r="J65" s="1">
        <f>IFERROR(VLOOKUP(D65,Event_Master!B:E,4,FALSE),1)</f>
        <v>1.5</v>
      </c>
      <c r="K65" s="1">
        <f t="shared" si="2"/>
        <v>0</v>
      </c>
      <c r="L65" s="1">
        <f t="shared" si="4"/>
        <v>10</v>
      </c>
    </row>
    <row r="66" spans="1:12">
      <c r="A66" s="8">
        <v>46359</v>
      </c>
      <c r="B66" s="15">
        <v>474194</v>
      </c>
      <c r="C66" s="15" t="s">
        <v>126</v>
      </c>
      <c r="D66" s="1" t="s">
        <v>190</v>
      </c>
      <c r="E66" s="1" t="s">
        <v>210</v>
      </c>
      <c r="F66" s="1" t="s">
        <v>210</v>
      </c>
      <c r="H66" s="1">
        <f t="shared" ref="H66:H129" si="5">IF(F66="Yes",10,0)</f>
        <v>10</v>
      </c>
      <c r="I66" s="1">
        <f t="shared" si="1"/>
        <v>0</v>
      </c>
      <c r="J66" s="1">
        <f>IFERROR(VLOOKUP(D66,Event_Master!B:E,4,FALSE),1)</f>
        <v>1.5</v>
      </c>
      <c r="K66" s="1">
        <f t="shared" si="2"/>
        <v>0</v>
      </c>
      <c r="L66" s="1">
        <f t="shared" si="4"/>
        <v>10</v>
      </c>
    </row>
    <row r="67" spans="1:12">
      <c r="A67" s="8">
        <v>46359</v>
      </c>
      <c r="B67" s="15">
        <v>466167</v>
      </c>
      <c r="C67" s="15" t="s">
        <v>144</v>
      </c>
      <c r="D67" s="1" t="s">
        <v>190</v>
      </c>
      <c r="E67" s="1" t="s">
        <v>210</v>
      </c>
      <c r="F67" s="1" t="s">
        <v>210</v>
      </c>
      <c r="H67" s="1">
        <f t="shared" si="5"/>
        <v>10</v>
      </c>
      <c r="I67" s="1">
        <f t="shared" ref="I67:I130" si="6">IF(G67="Winner",100,IF(G67="Runner-up",70,IF(G67="2nd Runner-up",50,IF(G67="Semi",30,IF(G67="Quarter",20,0)))))</f>
        <v>0</v>
      </c>
      <c r="J67" s="1">
        <f>IFERROR(VLOOKUP(D67,Event_Master!B:E,4,FALSE),1)</f>
        <v>1.5</v>
      </c>
      <c r="K67" s="1">
        <f t="shared" ref="K67:K130" si="7">(I67*J67)</f>
        <v>0</v>
      </c>
      <c r="L67" s="1">
        <f t="shared" si="4"/>
        <v>10</v>
      </c>
    </row>
    <row r="68" spans="1:12">
      <c r="A68" s="8">
        <v>46359</v>
      </c>
      <c r="B68" s="15">
        <v>470292</v>
      </c>
      <c r="C68" s="15" t="s">
        <v>24</v>
      </c>
      <c r="D68" s="1" t="s">
        <v>190</v>
      </c>
      <c r="E68" s="1" t="s">
        <v>210</v>
      </c>
      <c r="F68" s="1" t="s">
        <v>210</v>
      </c>
      <c r="H68" s="1">
        <f t="shared" si="5"/>
        <v>10</v>
      </c>
      <c r="I68" s="1">
        <f t="shared" si="6"/>
        <v>0</v>
      </c>
      <c r="J68" s="1">
        <f>IFERROR(VLOOKUP(D68,Event_Master!B:E,4,FALSE),1)</f>
        <v>1.5</v>
      </c>
      <c r="K68" s="1">
        <f t="shared" si="7"/>
        <v>0</v>
      </c>
      <c r="L68" s="1">
        <f t="shared" si="4"/>
        <v>10</v>
      </c>
    </row>
    <row r="69" spans="1:12">
      <c r="A69" s="8">
        <v>46359</v>
      </c>
      <c r="B69" s="15">
        <v>472322</v>
      </c>
      <c r="C69" s="15" t="s">
        <v>228</v>
      </c>
      <c r="D69" s="1" t="s">
        <v>190</v>
      </c>
      <c r="E69" s="1" t="s">
        <v>210</v>
      </c>
      <c r="F69" s="1" t="s">
        <v>210</v>
      </c>
      <c r="H69" s="1">
        <f t="shared" si="5"/>
        <v>10</v>
      </c>
      <c r="I69" s="1">
        <f t="shared" si="6"/>
        <v>0</v>
      </c>
      <c r="J69" s="1">
        <f>IFERROR(VLOOKUP(D69,Event_Master!B:E,4,FALSE),1)</f>
        <v>1.5</v>
      </c>
      <c r="K69" s="1">
        <f t="shared" si="7"/>
        <v>0</v>
      </c>
      <c r="L69" s="1">
        <f t="shared" si="4"/>
        <v>10</v>
      </c>
    </row>
    <row r="70" spans="1:12">
      <c r="A70" s="8">
        <v>46359</v>
      </c>
      <c r="B70" s="15">
        <v>478084</v>
      </c>
      <c r="C70" s="15" t="s">
        <v>129</v>
      </c>
      <c r="D70" s="1" t="s">
        <v>190</v>
      </c>
      <c r="E70" s="1" t="s">
        <v>210</v>
      </c>
      <c r="F70" s="1" t="s">
        <v>210</v>
      </c>
      <c r="H70" s="1">
        <f t="shared" si="5"/>
        <v>10</v>
      </c>
      <c r="I70" s="1">
        <f t="shared" si="6"/>
        <v>0</v>
      </c>
      <c r="J70" s="1">
        <f>IFERROR(VLOOKUP(D70,Event_Master!B:E,4,FALSE),1)</f>
        <v>1.5</v>
      </c>
      <c r="K70" s="1">
        <f t="shared" si="7"/>
        <v>0</v>
      </c>
      <c r="L70" s="1">
        <f t="shared" ref="L70:L101" si="8">K70+H70</f>
        <v>10</v>
      </c>
    </row>
    <row r="71" spans="1:12">
      <c r="A71" s="8">
        <v>46359</v>
      </c>
      <c r="B71" s="14">
        <v>435877</v>
      </c>
      <c r="C71" s="15" t="s">
        <v>218</v>
      </c>
      <c r="D71" s="1" t="s">
        <v>190</v>
      </c>
      <c r="E71" s="1" t="s">
        <v>210</v>
      </c>
      <c r="F71" s="1" t="s">
        <v>210</v>
      </c>
      <c r="H71" s="1">
        <f t="shared" si="5"/>
        <v>10</v>
      </c>
      <c r="I71" s="1">
        <f t="shared" si="6"/>
        <v>0</v>
      </c>
      <c r="J71" s="1">
        <f>IFERROR(VLOOKUP(D71,Event_Master!B:E,4,FALSE),1)</f>
        <v>1.5</v>
      </c>
      <c r="K71" s="1">
        <f t="shared" si="7"/>
        <v>0</v>
      </c>
      <c r="L71" s="1">
        <f t="shared" si="8"/>
        <v>10</v>
      </c>
    </row>
    <row r="72" spans="1:12">
      <c r="A72" s="8">
        <v>46359</v>
      </c>
      <c r="B72" s="15">
        <v>710555</v>
      </c>
      <c r="C72" s="15" t="s">
        <v>161</v>
      </c>
      <c r="D72" s="1" t="s">
        <v>190</v>
      </c>
      <c r="E72" s="1" t="s">
        <v>210</v>
      </c>
      <c r="F72" s="1" t="s">
        <v>210</v>
      </c>
      <c r="H72" s="1">
        <f t="shared" si="5"/>
        <v>10</v>
      </c>
      <c r="I72" s="1">
        <f t="shared" si="6"/>
        <v>0</v>
      </c>
      <c r="J72" s="1">
        <f>IFERROR(VLOOKUP(D72,Event_Master!B:E,4,FALSE),1)</f>
        <v>1.5</v>
      </c>
      <c r="K72" s="1">
        <f t="shared" si="7"/>
        <v>0</v>
      </c>
      <c r="L72" s="1">
        <f t="shared" si="8"/>
        <v>10</v>
      </c>
    </row>
    <row r="73" spans="1:12">
      <c r="A73" s="8">
        <v>46359</v>
      </c>
      <c r="B73" s="15">
        <v>460764</v>
      </c>
      <c r="C73" s="15" t="s">
        <v>118</v>
      </c>
      <c r="D73" s="1" t="s">
        <v>190</v>
      </c>
      <c r="E73" s="1" t="s">
        <v>210</v>
      </c>
      <c r="F73" s="1" t="s">
        <v>210</v>
      </c>
      <c r="H73" s="1">
        <f t="shared" si="5"/>
        <v>10</v>
      </c>
      <c r="I73" s="1">
        <f t="shared" si="6"/>
        <v>0</v>
      </c>
      <c r="J73" s="1">
        <f>IFERROR(VLOOKUP(D73,Event_Master!B:E,4,FALSE),1)</f>
        <v>1.5</v>
      </c>
      <c r="K73" s="1">
        <f t="shared" si="7"/>
        <v>0</v>
      </c>
      <c r="L73" s="1">
        <f t="shared" si="8"/>
        <v>10</v>
      </c>
    </row>
    <row r="74" spans="1:12">
      <c r="A74" s="8">
        <v>46359</v>
      </c>
      <c r="B74" s="15">
        <v>453089</v>
      </c>
      <c r="C74" s="15" t="s">
        <v>76</v>
      </c>
      <c r="D74" s="1" t="s">
        <v>190</v>
      </c>
      <c r="E74" s="1" t="s">
        <v>210</v>
      </c>
      <c r="F74" s="1" t="s">
        <v>210</v>
      </c>
      <c r="H74" s="1">
        <f t="shared" si="5"/>
        <v>10</v>
      </c>
      <c r="I74" s="1">
        <f t="shared" si="6"/>
        <v>0</v>
      </c>
      <c r="J74" s="1">
        <f>IFERROR(VLOOKUP(D74,Event_Master!B:E,4,FALSE),1)</f>
        <v>1.5</v>
      </c>
      <c r="K74" s="1">
        <f t="shared" si="7"/>
        <v>0</v>
      </c>
      <c r="L74" s="1">
        <f t="shared" si="8"/>
        <v>10</v>
      </c>
    </row>
    <row r="75" spans="1:12">
      <c r="A75" s="8">
        <v>46359</v>
      </c>
      <c r="B75" s="15">
        <v>446300</v>
      </c>
      <c r="C75" s="15" t="s">
        <v>54</v>
      </c>
      <c r="D75" s="1" t="s">
        <v>190</v>
      </c>
      <c r="E75" s="1" t="s">
        <v>210</v>
      </c>
      <c r="F75" s="1" t="s">
        <v>210</v>
      </c>
      <c r="H75" s="1">
        <f t="shared" si="5"/>
        <v>10</v>
      </c>
      <c r="I75" s="1">
        <f t="shared" si="6"/>
        <v>0</v>
      </c>
      <c r="J75" s="1">
        <f>IFERROR(VLOOKUP(D75,Event_Master!B:E,4,FALSE),1)</f>
        <v>1.5</v>
      </c>
      <c r="K75" s="1">
        <f t="shared" si="7"/>
        <v>0</v>
      </c>
      <c r="L75" s="1">
        <f t="shared" si="8"/>
        <v>10</v>
      </c>
    </row>
    <row r="76" spans="1:12">
      <c r="A76" s="8">
        <v>46359</v>
      </c>
      <c r="B76" s="15">
        <v>452991</v>
      </c>
      <c r="C76" s="15" t="s">
        <v>229</v>
      </c>
      <c r="D76" s="1" t="s">
        <v>190</v>
      </c>
      <c r="E76" s="1" t="s">
        <v>210</v>
      </c>
      <c r="F76" s="1" t="s">
        <v>210</v>
      </c>
      <c r="H76" s="1">
        <f t="shared" si="5"/>
        <v>10</v>
      </c>
      <c r="I76" s="1">
        <f t="shared" si="6"/>
        <v>0</v>
      </c>
      <c r="J76" s="1">
        <f>IFERROR(VLOOKUP(D76,Event_Master!B:E,4,FALSE),1)</f>
        <v>1.5</v>
      </c>
      <c r="K76" s="1">
        <f t="shared" si="7"/>
        <v>0</v>
      </c>
      <c r="L76" s="1">
        <f t="shared" si="8"/>
        <v>10</v>
      </c>
    </row>
    <row r="77" spans="1:12">
      <c r="A77" s="8">
        <v>46359</v>
      </c>
      <c r="B77" s="15">
        <v>710013</v>
      </c>
      <c r="C77" s="15" t="s">
        <v>160</v>
      </c>
      <c r="D77" s="1" t="s">
        <v>190</v>
      </c>
      <c r="E77" s="1" t="s">
        <v>210</v>
      </c>
      <c r="F77" s="1" t="s">
        <v>210</v>
      </c>
      <c r="H77" s="1">
        <f t="shared" si="5"/>
        <v>10</v>
      </c>
      <c r="I77" s="1">
        <f t="shared" si="6"/>
        <v>0</v>
      </c>
      <c r="J77" s="1">
        <f>IFERROR(VLOOKUP(D77,Event_Master!B:E,4,FALSE),1)</f>
        <v>1.5</v>
      </c>
      <c r="K77" s="1">
        <f t="shared" si="7"/>
        <v>0</v>
      </c>
      <c r="L77" s="1">
        <f t="shared" si="8"/>
        <v>10</v>
      </c>
    </row>
    <row r="78" spans="1:12">
      <c r="A78" s="8">
        <v>46359</v>
      </c>
      <c r="B78" s="15">
        <v>452075</v>
      </c>
      <c r="C78" s="15" t="s">
        <v>72</v>
      </c>
      <c r="D78" s="1" t="s">
        <v>190</v>
      </c>
      <c r="E78" s="1" t="s">
        <v>210</v>
      </c>
      <c r="F78" s="1" t="s">
        <v>210</v>
      </c>
      <c r="H78" s="1">
        <f t="shared" si="5"/>
        <v>10</v>
      </c>
      <c r="I78" s="1">
        <f t="shared" si="6"/>
        <v>0</v>
      </c>
      <c r="J78" s="1">
        <f>IFERROR(VLOOKUP(D78,Event_Master!B:E,4,FALSE),1)</f>
        <v>1.5</v>
      </c>
      <c r="K78" s="1">
        <f t="shared" si="7"/>
        <v>0</v>
      </c>
      <c r="L78" s="1">
        <f t="shared" si="8"/>
        <v>10</v>
      </c>
    </row>
    <row r="79" spans="1:12">
      <c r="A79" s="8">
        <v>46359</v>
      </c>
      <c r="B79" s="15">
        <v>452115</v>
      </c>
      <c r="C79" s="15" t="s">
        <v>230</v>
      </c>
      <c r="D79" s="1" t="s">
        <v>190</v>
      </c>
      <c r="E79" s="1" t="s">
        <v>210</v>
      </c>
      <c r="F79" s="1" t="s">
        <v>210</v>
      </c>
      <c r="H79" s="1">
        <f t="shared" si="5"/>
        <v>10</v>
      </c>
      <c r="I79" s="1">
        <f t="shared" si="6"/>
        <v>0</v>
      </c>
      <c r="J79" s="1">
        <f>IFERROR(VLOOKUP(D79,Event_Master!B:E,4,FALSE),1)</f>
        <v>1.5</v>
      </c>
      <c r="K79" s="1">
        <f t="shared" si="7"/>
        <v>0</v>
      </c>
      <c r="L79" s="1">
        <f t="shared" si="8"/>
        <v>10</v>
      </c>
    </row>
    <row r="80" spans="1:12">
      <c r="A80" s="8">
        <v>46359</v>
      </c>
      <c r="B80" s="15">
        <v>452057</v>
      </c>
      <c r="C80" s="15" t="s">
        <v>231</v>
      </c>
      <c r="D80" s="1" t="s">
        <v>190</v>
      </c>
      <c r="E80" s="1" t="s">
        <v>210</v>
      </c>
      <c r="F80" s="1" t="s">
        <v>210</v>
      </c>
      <c r="H80" s="1">
        <f t="shared" si="5"/>
        <v>10</v>
      </c>
      <c r="I80" s="1">
        <f t="shared" si="6"/>
        <v>0</v>
      </c>
      <c r="J80" s="1">
        <f>IFERROR(VLOOKUP(D80,Event_Master!B:E,4,FALSE),1)</f>
        <v>1.5</v>
      </c>
      <c r="K80" s="1">
        <f t="shared" si="7"/>
        <v>0</v>
      </c>
      <c r="L80" s="1">
        <f t="shared" si="8"/>
        <v>10</v>
      </c>
    </row>
    <row r="81" spans="1:12">
      <c r="A81" s="8">
        <v>46359</v>
      </c>
      <c r="B81" s="15">
        <v>408262</v>
      </c>
      <c r="C81" s="15" t="s">
        <v>20</v>
      </c>
      <c r="D81" s="1" t="s">
        <v>190</v>
      </c>
      <c r="E81" s="1" t="s">
        <v>210</v>
      </c>
      <c r="F81" s="1" t="s">
        <v>210</v>
      </c>
      <c r="G81" s="1" t="s">
        <v>196</v>
      </c>
      <c r="H81" s="1">
        <f t="shared" si="5"/>
        <v>10</v>
      </c>
      <c r="I81" s="1">
        <f t="shared" si="6"/>
        <v>100</v>
      </c>
      <c r="J81" s="1">
        <f>IFERROR(VLOOKUP(D81,Event_Master!B:E,4,FALSE),1)</f>
        <v>1.5</v>
      </c>
      <c r="K81" s="1">
        <f t="shared" si="7"/>
        <v>150</v>
      </c>
      <c r="L81" s="1">
        <f t="shared" si="8"/>
        <v>160</v>
      </c>
    </row>
    <row r="82" spans="1:12">
      <c r="A82" s="8">
        <v>46359</v>
      </c>
      <c r="B82" s="15">
        <v>700216</v>
      </c>
      <c r="C82" s="15" t="s">
        <v>152</v>
      </c>
      <c r="D82" s="1" t="s">
        <v>190</v>
      </c>
      <c r="E82" s="1" t="s">
        <v>210</v>
      </c>
      <c r="F82" s="1" t="s">
        <v>210</v>
      </c>
      <c r="G82" s="1" t="s">
        <v>196</v>
      </c>
      <c r="H82" s="1">
        <f t="shared" si="5"/>
        <v>10</v>
      </c>
      <c r="I82" s="1">
        <f t="shared" si="6"/>
        <v>100</v>
      </c>
      <c r="J82" s="1">
        <f>IFERROR(VLOOKUP(D82,Event_Master!B:E,4,FALSE),1)</f>
        <v>1.5</v>
      </c>
      <c r="K82" s="1">
        <f t="shared" si="7"/>
        <v>150</v>
      </c>
      <c r="L82" s="1">
        <f t="shared" si="8"/>
        <v>160</v>
      </c>
    </row>
    <row r="83" spans="1:12">
      <c r="A83" s="8">
        <v>46359</v>
      </c>
      <c r="B83" s="15">
        <v>463660</v>
      </c>
      <c r="C83" s="15" t="s">
        <v>10</v>
      </c>
      <c r="D83" s="1" t="s">
        <v>190</v>
      </c>
      <c r="E83" s="1" t="s">
        <v>210</v>
      </c>
      <c r="F83" s="1" t="s">
        <v>210</v>
      </c>
      <c r="G83" s="1" t="s">
        <v>196</v>
      </c>
      <c r="H83" s="1">
        <f t="shared" si="5"/>
        <v>10</v>
      </c>
      <c r="I83" s="1">
        <f t="shared" si="6"/>
        <v>100</v>
      </c>
      <c r="J83" s="1">
        <f>IFERROR(VLOOKUP(D83,Event_Master!B:E,4,FALSE),1)</f>
        <v>1.5</v>
      </c>
      <c r="K83" s="1">
        <f t="shared" si="7"/>
        <v>150</v>
      </c>
      <c r="L83" s="1">
        <f t="shared" si="8"/>
        <v>160</v>
      </c>
    </row>
    <row r="84" spans="1:12">
      <c r="A84" s="8">
        <v>46359</v>
      </c>
      <c r="B84" s="15">
        <v>457157</v>
      </c>
      <c r="C84" s="15" t="s">
        <v>114</v>
      </c>
      <c r="D84" s="1" t="s">
        <v>190</v>
      </c>
      <c r="E84" s="1" t="s">
        <v>210</v>
      </c>
      <c r="F84" s="1" t="s">
        <v>210</v>
      </c>
      <c r="G84" s="1" t="s">
        <v>196</v>
      </c>
      <c r="H84" s="1">
        <f t="shared" si="5"/>
        <v>10</v>
      </c>
      <c r="I84" s="1">
        <f t="shared" si="6"/>
        <v>100</v>
      </c>
      <c r="J84" s="1">
        <f>IFERROR(VLOOKUP(D84,Event_Master!B:E,4,FALSE),1)</f>
        <v>1.5</v>
      </c>
      <c r="K84" s="1">
        <f t="shared" si="7"/>
        <v>150</v>
      </c>
      <c r="L84" s="1">
        <f t="shared" si="8"/>
        <v>160</v>
      </c>
    </row>
    <row r="85" spans="1:12">
      <c r="A85" s="8">
        <v>46359</v>
      </c>
      <c r="B85" s="15">
        <v>468536</v>
      </c>
      <c r="C85" s="15" t="s">
        <v>89</v>
      </c>
      <c r="D85" s="1" t="s">
        <v>190</v>
      </c>
      <c r="E85" s="1" t="s">
        <v>210</v>
      </c>
      <c r="F85" s="1" t="s">
        <v>210</v>
      </c>
      <c r="G85" s="1" t="s">
        <v>196</v>
      </c>
      <c r="H85" s="1">
        <f t="shared" si="5"/>
        <v>10</v>
      </c>
      <c r="I85" s="1">
        <f t="shared" si="6"/>
        <v>100</v>
      </c>
      <c r="J85" s="1">
        <f>IFERROR(VLOOKUP(D85,Event_Master!B:E,4,FALSE),1)</f>
        <v>1.5</v>
      </c>
      <c r="K85" s="1">
        <f t="shared" si="7"/>
        <v>150</v>
      </c>
      <c r="L85" s="1">
        <f t="shared" si="8"/>
        <v>160</v>
      </c>
    </row>
    <row r="86" spans="1:12">
      <c r="A86" s="8">
        <v>46359</v>
      </c>
      <c r="B86" s="15">
        <v>486309</v>
      </c>
      <c r="C86" s="15" t="s">
        <v>60</v>
      </c>
      <c r="D86" s="1" t="s">
        <v>190</v>
      </c>
      <c r="E86" s="1" t="s">
        <v>210</v>
      </c>
      <c r="F86" s="1" t="s">
        <v>210</v>
      </c>
      <c r="G86" s="1" t="s">
        <v>196</v>
      </c>
      <c r="H86" s="1">
        <f t="shared" si="5"/>
        <v>10</v>
      </c>
      <c r="I86" s="1">
        <f t="shared" si="6"/>
        <v>100</v>
      </c>
      <c r="J86" s="1">
        <f>IFERROR(VLOOKUP(D86,Event_Master!B:E,4,FALSE),1)</f>
        <v>1.5</v>
      </c>
      <c r="K86" s="1">
        <f t="shared" si="7"/>
        <v>150</v>
      </c>
      <c r="L86" s="1">
        <f t="shared" si="8"/>
        <v>160</v>
      </c>
    </row>
    <row r="87" spans="1:12">
      <c r="A87" s="8">
        <v>46359</v>
      </c>
      <c r="B87" s="15">
        <v>449890</v>
      </c>
      <c r="C87" s="15" t="s">
        <v>212</v>
      </c>
      <c r="D87" s="1" t="s">
        <v>190</v>
      </c>
      <c r="E87" s="1" t="s">
        <v>210</v>
      </c>
      <c r="F87" s="1" t="s">
        <v>210</v>
      </c>
      <c r="G87" s="1" t="s">
        <v>196</v>
      </c>
      <c r="H87" s="1">
        <f t="shared" si="5"/>
        <v>10</v>
      </c>
      <c r="I87" s="1">
        <f t="shared" si="6"/>
        <v>100</v>
      </c>
      <c r="J87" s="1">
        <f>IFERROR(VLOOKUP(D87,Event_Master!B:E,4,FALSE),1)</f>
        <v>1.5</v>
      </c>
      <c r="K87" s="1">
        <f t="shared" si="7"/>
        <v>150</v>
      </c>
      <c r="L87" s="1">
        <f t="shared" si="8"/>
        <v>160</v>
      </c>
    </row>
    <row r="88" spans="1:12">
      <c r="A88" s="8">
        <v>46359</v>
      </c>
      <c r="B88" s="15">
        <v>459234</v>
      </c>
      <c r="C88" s="15" t="s">
        <v>55</v>
      </c>
      <c r="D88" s="1" t="s">
        <v>190</v>
      </c>
      <c r="E88" s="1" t="s">
        <v>210</v>
      </c>
      <c r="F88" s="1" t="s">
        <v>210</v>
      </c>
      <c r="G88" s="1" t="s">
        <v>196</v>
      </c>
      <c r="H88" s="1">
        <f t="shared" si="5"/>
        <v>10</v>
      </c>
      <c r="I88" s="1">
        <f t="shared" si="6"/>
        <v>100</v>
      </c>
      <c r="J88" s="1">
        <f>IFERROR(VLOOKUP(D88,Event_Master!B:E,4,FALSE),1)</f>
        <v>1.5</v>
      </c>
      <c r="K88" s="1">
        <f t="shared" si="7"/>
        <v>150</v>
      </c>
      <c r="L88" s="1">
        <f t="shared" si="8"/>
        <v>160</v>
      </c>
    </row>
    <row r="89" spans="1:12">
      <c r="A89" s="8">
        <v>46359</v>
      </c>
      <c r="B89" s="15">
        <v>410040</v>
      </c>
      <c r="C89" s="15" t="s">
        <v>13</v>
      </c>
      <c r="D89" s="1" t="s">
        <v>190</v>
      </c>
      <c r="E89" s="1" t="s">
        <v>210</v>
      </c>
      <c r="F89" s="1" t="s">
        <v>210</v>
      </c>
      <c r="H89" s="1">
        <f t="shared" si="5"/>
        <v>10</v>
      </c>
      <c r="I89" s="1">
        <f t="shared" si="6"/>
        <v>0</v>
      </c>
      <c r="J89" s="1">
        <f>IFERROR(VLOOKUP(D89,Event_Master!B:E,4,FALSE),1)</f>
        <v>1.5</v>
      </c>
      <c r="K89" s="1">
        <f t="shared" si="7"/>
        <v>0</v>
      </c>
      <c r="L89" s="1">
        <f t="shared" si="8"/>
        <v>10</v>
      </c>
    </row>
    <row r="90" spans="1:12">
      <c r="A90" s="8">
        <v>46359</v>
      </c>
      <c r="B90" s="15">
        <v>450225</v>
      </c>
      <c r="C90" s="15" t="s">
        <v>59</v>
      </c>
      <c r="D90" s="1" t="s">
        <v>190</v>
      </c>
      <c r="E90" s="1" t="s">
        <v>210</v>
      </c>
      <c r="F90" s="1" t="s">
        <v>210</v>
      </c>
      <c r="H90" s="1">
        <f t="shared" si="5"/>
        <v>10</v>
      </c>
      <c r="I90" s="1">
        <f t="shared" si="6"/>
        <v>0</v>
      </c>
      <c r="J90" s="1">
        <f>IFERROR(VLOOKUP(D90,Event_Master!B:E,4,FALSE),1)</f>
        <v>1.5</v>
      </c>
      <c r="K90" s="1">
        <f t="shared" si="7"/>
        <v>0</v>
      </c>
      <c r="L90" s="1">
        <f t="shared" si="8"/>
        <v>10</v>
      </c>
    </row>
    <row r="91" spans="1:12">
      <c r="A91" s="8">
        <v>46359</v>
      </c>
      <c r="B91" s="15">
        <v>450030</v>
      </c>
      <c r="C91" s="15" t="s">
        <v>211</v>
      </c>
      <c r="D91" s="1" t="s">
        <v>190</v>
      </c>
      <c r="E91" s="1" t="s">
        <v>210</v>
      </c>
      <c r="F91" s="1" t="s">
        <v>210</v>
      </c>
      <c r="H91" s="1">
        <f t="shared" si="5"/>
        <v>10</v>
      </c>
      <c r="I91" s="1">
        <f t="shared" si="6"/>
        <v>0</v>
      </c>
      <c r="J91" s="1">
        <f>IFERROR(VLOOKUP(D91,Event_Master!B:E,4,FALSE),1)</f>
        <v>1.5</v>
      </c>
      <c r="K91" s="1">
        <f t="shared" si="7"/>
        <v>0</v>
      </c>
      <c r="L91" s="1">
        <f t="shared" si="8"/>
        <v>10</v>
      </c>
    </row>
    <row r="92" spans="1:12">
      <c r="A92" s="8">
        <v>46359</v>
      </c>
      <c r="B92" s="16">
        <v>457430</v>
      </c>
      <c r="C92" s="19" t="s">
        <v>232</v>
      </c>
      <c r="D92" s="1" t="s">
        <v>190</v>
      </c>
      <c r="E92" s="1" t="s">
        <v>210</v>
      </c>
      <c r="F92" s="1" t="s">
        <v>210</v>
      </c>
      <c r="H92" s="1">
        <f t="shared" si="5"/>
        <v>10</v>
      </c>
      <c r="I92" s="1">
        <f t="shared" si="6"/>
        <v>0</v>
      </c>
      <c r="J92" s="1">
        <f>IFERROR(VLOOKUP(D92,Event_Master!B:E,4,FALSE),1)</f>
        <v>1.5</v>
      </c>
      <c r="K92" s="1">
        <f t="shared" si="7"/>
        <v>0</v>
      </c>
      <c r="L92" s="1">
        <f t="shared" si="8"/>
        <v>10</v>
      </c>
    </row>
    <row r="93" spans="1:12">
      <c r="A93" s="8">
        <v>46359</v>
      </c>
      <c r="B93" s="15">
        <v>460628</v>
      </c>
      <c r="C93" s="15" t="s">
        <v>78</v>
      </c>
      <c r="D93" s="1" t="s">
        <v>190</v>
      </c>
      <c r="E93" s="1" t="s">
        <v>210</v>
      </c>
      <c r="F93" s="1" t="s">
        <v>210</v>
      </c>
      <c r="H93" s="1">
        <f t="shared" si="5"/>
        <v>10</v>
      </c>
      <c r="I93" s="1">
        <f t="shared" si="6"/>
        <v>0</v>
      </c>
      <c r="J93" s="1">
        <f>IFERROR(VLOOKUP(D93,Event_Master!B:E,4,FALSE),1)</f>
        <v>1.5</v>
      </c>
      <c r="K93" s="1">
        <f t="shared" si="7"/>
        <v>0</v>
      </c>
      <c r="L93" s="1">
        <f t="shared" si="8"/>
        <v>10</v>
      </c>
    </row>
    <row r="94" spans="1:12">
      <c r="A94" s="8">
        <v>46359</v>
      </c>
      <c r="B94" s="15">
        <v>452076</v>
      </c>
      <c r="C94" s="15" t="s">
        <v>145</v>
      </c>
      <c r="D94" s="1" t="s">
        <v>190</v>
      </c>
      <c r="E94" s="1" t="s">
        <v>210</v>
      </c>
      <c r="F94" s="1" t="s">
        <v>210</v>
      </c>
      <c r="H94" s="1">
        <f t="shared" si="5"/>
        <v>10</v>
      </c>
      <c r="I94" s="1">
        <f t="shared" si="6"/>
        <v>0</v>
      </c>
      <c r="J94" s="1">
        <f>IFERROR(VLOOKUP(D94,Event_Master!B:E,4,FALSE),1)</f>
        <v>1.5</v>
      </c>
      <c r="K94" s="1">
        <f t="shared" si="7"/>
        <v>0</v>
      </c>
      <c r="L94" s="1">
        <f t="shared" si="8"/>
        <v>10</v>
      </c>
    </row>
    <row r="95" spans="1:12">
      <c r="A95" s="8">
        <v>46359</v>
      </c>
      <c r="B95" s="15">
        <v>448882</v>
      </c>
      <c r="C95" s="15" t="s">
        <v>47</v>
      </c>
      <c r="D95" s="1" t="s">
        <v>190</v>
      </c>
      <c r="E95" s="1" t="s">
        <v>210</v>
      </c>
      <c r="F95" s="1" t="s">
        <v>210</v>
      </c>
      <c r="G95" s="1" t="s">
        <v>197</v>
      </c>
      <c r="H95" s="1">
        <f t="shared" si="5"/>
        <v>10</v>
      </c>
      <c r="I95" s="1">
        <f t="shared" si="6"/>
        <v>70</v>
      </c>
      <c r="J95" s="1">
        <f>IFERROR(VLOOKUP(D95,Event_Master!B:E,4,FALSE),1)</f>
        <v>1.5</v>
      </c>
      <c r="K95" s="1">
        <f t="shared" si="7"/>
        <v>105</v>
      </c>
      <c r="L95" s="1">
        <f t="shared" si="8"/>
        <v>115</v>
      </c>
    </row>
    <row r="96" spans="1:12">
      <c r="A96" s="8">
        <v>46359</v>
      </c>
      <c r="B96" s="15">
        <v>468887</v>
      </c>
      <c r="C96" s="15" t="s">
        <v>146</v>
      </c>
      <c r="D96" s="1" t="s">
        <v>190</v>
      </c>
      <c r="E96" s="1" t="s">
        <v>210</v>
      </c>
      <c r="F96" s="1" t="s">
        <v>210</v>
      </c>
      <c r="G96" s="1" t="s">
        <v>197</v>
      </c>
      <c r="H96" s="1">
        <f t="shared" si="5"/>
        <v>10</v>
      </c>
      <c r="I96" s="1">
        <f t="shared" si="6"/>
        <v>70</v>
      </c>
      <c r="J96" s="1">
        <f>IFERROR(VLOOKUP(D96,Event_Master!B:E,4,FALSE),1)</f>
        <v>1.5</v>
      </c>
      <c r="K96" s="1">
        <f t="shared" si="7"/>
        <v>105</v>
      </c>
      <c r="L96" s="1">
        <f t="shared" si="8"/>
        <v>115</v>
      </c>
    </row>
    <row r="97" spans="1:12">
      <c r="A97" s="8">
        <v>46359</v>
      </c>
      <c r="B97" s="15">
        <v>452056</v>
      </c>
      <c r="C97" s="15" t="s">
        <v>68</v>
      </c>
      <c r="D97" s="1" t="s">
        <v>190</v>
      </c>
      <c r="E97" s="1" t="s">
        <v>210</v>
      </c>
      <c r="F97" s="1" t="s">
        <v>210</v>
      </c>
      <c r="G97" s="1" t="s">
        <v>197</v>
      </c>
      <c r="H97" s="1">
        <f t="shared" si="5"/>
        <v>10</v>
      </c>
      <c r="I97" s="1">
        <f t="shared" si="6"/>
        <v>70</v>
      </c>
      <c r="J97" s="1">
        <f>IFERROR(VLOOKUP(D97,Event_Master!B:E,4,FALSE),1)</f>
        <v>1.5</v>
      </c>
      <c r="K97" s="1">
        <f t="shared" si="7"/>
        <v>105</v>
      </c>
      <c r="L97" s="1">
        <f t="shared" si="8"/>
        <v>115</v>
      </c>
    </row>
    <row r="98" spans="1:12">
      <c r="A98" s="8">
        <v>46359</v>
      </c>
      <c r="B98" s="15">
        <v>430977</v>
      </c>
      <c r="C98" s="15" t="s">
        <v>40</v>
      </c>
      <c r="D98" s="1" t="s">
        <v>190</v>
      </c>
      <c r="E98" s="1" t="s">
        <v>210</v>
      </c>
      <c r="F98" s="1" t="s">
        <v>210</v>
      </c>
      <c r="G98" s="1" t="s">
        <v>197</v>
      </c>
      <c r="H98" s="1">
        <f t="shared" si="5"/>
        <v>10</v>
      </c>
      <c r="I98" s="1">
        <f t="shared" si="6"/>
        <v>70</v>
      </c>
      <c r="J98" s="1">
        <f>IFERROR(VLOOKUP(D98,Event_Master!B:E,4,FALSE),1)</f>
        <v>1.5</v>
      </c>
      <c r="K98" s="1">
        <f t="shared" si="7"/>
        <v>105</v>
      </c>
      <c r="L98" s="1">
        <f t="shared" si="8"/>
        <v>115</v>
      </c>
    </row>
    <row r="99" spans="1:12">
      <c r="A99" s="8">
        <v>46359</v>
      </c>
      <c r="B99" s="15">
        <v>464500</v>
      </c>
      <c r="C99" s="15" t="s">
        <v>31</v>
      </c>
      <c r="D99" s="1" t="s">
        <v>190</v>
      </c>
      <c r="E99" s="1" t="s">
        <v>210</v>
      </c>
      <c r="F99" s="1" t="s">
        <v>210</v>
      </c>
      <c r="G99" s="1" t="s">
        <v>197</v>
      </c>
      <c r="H99" s="1">
        <f t="shared" si="5"/>
        <v>10</v>
      </c>
      <c r="I99" s="1">
        <f t="shared" si="6"/>
        <v>70</v>
      </c>
      <c r="J99" s="1">
        <f>IFERROR(VLOOKUP(D99,Event_Master!B:E,4,FALSE),1)</f>
        <v>1.5</v>
      </c>
      <c r="K99" s="1">
        <f t="shared" si="7"/>
        <v>105</v>
      </c>
      <c r="L99" s="1">
        <f t="shared" si="8"/>
        <v>115</v>
      </c>
    </row>
    <row r="100" spans="1:12">
      <c r="A100" s="8">
        <v>46359</v>
      </c>
      <c r="B100" s="15">
        <v>427154</v>
      </c>
      <c r="C100" s="15" t="s">
        <v>151</v>
      </c>
      <c r="D100" s="1" t="s">
        <v>190</v>
      </c>
      <c r="E100" s="1" t="s">
        <v>210</v>
      </c>
      <c r="F100" s="1" t="s">
        <v>210</v>
      </c>
      <c r="G100" s="1" t="s">
        <v>197</v>
      </c>
      <c r="H100" s="1">
        <f t="shared" si="5"/>
        <v>10</v>
      </c>
      <c r="I100" s="1">
        <f t="shared" si="6"/>
        <v>70</v>
      </c>
      <c r="J100" s="1">
        <f>IFERROR(VLOOKUP(D100,Event_Master!B:E,4,FALSE),1)</f>
        <v>1.5</v>
      </c>
      <c r="K100" s="1">
        <f t="shared" si="7"/>
        <v>105</v>
      </c>
      <c r="L100" s="1">
        <f t="shared" si="8"/>
        <v>115</v>
      </c>
    </row>
    <row r="101" spans="1:12">
      <c r="A101" s="8">
        <v>46359</v>
      </c>
      <c r="B101" s="15">
        <v>451858</v>
      </c>
      <c r="C101" s="15" t="s">
        <v>66</v>
      </c>
      <c r="D101" s="1" t="s">
        <v>190</v>
      </c>
      <c r="E101" s="1" t="s">
        <v>210</v>
      </c>
      <c r="F101" s="1" t="s">
        <v>210</v>
      </c>
      <c r="G101" s="1" t="s">
        <v>197</v>
      </c>
      <c r="H101" s="1">
        <f t="shared" si="5"/>
        <v>10</v>
      </c>
      <c r="I101" s="1">
        <f t="shared" si="6"/>
        <v>70</v>
      </c>
      <c r="J101" s="1">
        <f>IFERROR(VLOOKUP(D101,Event_Master!B:E,4,FALSE),1)</f>
        <v>1.5</v>
      </c>
      <c r="K101" s="1">
        <f t="shared" si="7"/>
        <v>105</v>
      </c>
      <c r="L101" s="1">
        <f t="shared" si="8"/>
        <v>115</v>
      </c>
    </row>
    <row r="102" spans="1:12">
      <c r="A102" s="8">
        <v>46359</v>
      </c>
      <c r="B102" s="15">
        <v>454456</v>
      </c>
      <c r="C102" s="15" t="s">
        <v>53</v>
      </c>
      <c r="D102" s="1" t="s">
        <v>190</v>
      </c>
      <c r="E102" s="1" t="s">
        <v>210</v>
      </c>
      <c r="F102" s="1" t="s">
        <v>210</v>
      </c>
      <c r="G102" s="1" t="s">
        <v>197</v>
      </c>
      <c r="H102" s="1">
        <f t="shared" si="5"/>
        <v>10</v>
      </c>
      <c r="I102" s="1">
        <f t="shared" si="6"/>
        <v>70</v>
      </c>
      <c r="J102" s="1">
        <f>IFERROR(VLOOKUP(D102,Event_Master!B:E,4,FALSE),1)</f>
        <v>1.5</v>
      </c>
      <c r="K102" s="1">
        <f t="shared" si="7"/>
        <v>105</v>
      </c>
      <c r="L102" s="1">
        <f t="shared" ref="L102:L133" si="9">K102+H102</f>
        <v>115</v>
      </c>
    </row>
    <row r="103" spans="1:12">
      <c r="A103" s="8">
        <v>46359</v>
      </c>
      <c r="B103" s="20">
        <v>430977</v>
      </c>
      <c r="C103" s="20" t="s">
        <v>40</v>
      </c>
      <c r="D103" s="1" t="s">
        <v>185</v>
      </c>
      <c r="E103" s="1" t="s">
        <v>210</v>
      </c>
      <c r="F103" s="1" t="s">
        <v>210</v>
      </c>
      <c r="H103" s="1">
        <f t="shared" si="5"/>
        <v>10</v>
      </c>
      <c r="I103" s="1">
        <f t="shared" si="6"/>
        <v>0</v>
      </c>
      <c r="J103" s="1">
        <f>IFERROR(VLOOKUP(D103,Event_Master!B:E,4,FALSE),1)</f>
        <v>1.5</v>
      </c>
      <c r="K103" s="1">
        <f t="shared" si="7"/>
        <v>0</v>
      </c>
      <c r="L103" s="1">
        <f t="shared" si="9"/>
        <v>10</v>
      </c>
    </row>
    <row r="104" spans="1:12">
      <c r="A104" s="8">
        <v>46359</v>
      </c>
      <c r="B104" s="20">
        <v>408262</v>
      </c>
      <c r="C104" s="20" t="s">
        <v>20</v>
      </c>
      <c r="D104" s="1" t="s">
        <v>185</v>
      </c>
      <c r="E104" s="1" t="s">
        <v>210</v>
      </c>
      <c r="F104" s="1" t="s">
        <v>210</v>
      </c>
      <c r="H104" s="1">
        <f t="shared" si="5"/>
        <v>10</v>
      </c>
      <c r="I104" s="1">
        <f t="shared" si="6"/>
        <v>0</v>
      </c>
      <c r="J104" s="1">
        <f>IFERROR(VLOOKUP(D104,Event_Master!B:E,4,FALSE),1)</f>
        <v>1.5</v>
      </c>
      <c r="K104" s="1">
        <f t="shared" si="7"/>
        <v>0</v>
      </c>
      <c r="L104" s="1">
        <f t="shared" si="9"/>
        <v>10</v>
      </c>
    </row>
    <row r="105" spans="1:12">
      <c r="A105" s="8">
        <v>46359</v>
      </c>
      <c r="B105" s="20">
        <v>449890</v>
      </c>
      <c r="C105" s="20" t="s">
        <v>212</v>
      </c>
      <c r="D105" s="1" t="s">
        <v>185</v>
      </c>
      <c r="E105" s="1" t="s">
        <v>210</v>
      </c>
      <c r="F105" s="1" t="s">
        <v>210</v>
      </c>
      <c r="H105" s="1">
        <f t="shared" si="5"/>
        <v>10</v>
      </c>
      <c r="I105" s="1">
        <f t="shared" si="6"/>
        <v>0</v>
      </c>
      <c r="J105" s="1">
        <f>IFERROR(VLOOKUP(D105,Event_Master!B:E,4,FALSE),1)</f>
        <v>1.5</v>
      </c>
      <c r="K105" s="1">
        <f t="shared" si="7"/>
        <v>0</v>
      </c>
      <c r="L105" s="1">
        <f t="shared" si="9"/>
        <v>10</v>
      </c>
    </row>
    <row r="106" spans="1:12">
      <c r="A106" s="8">
        <v>46359</v>
      </c>
      <c r="B106" s="20">
        <v>452058</v>
      </c>
      <c r="C106" s="20" t="s">
        <v>71</v>
      </c>
      <c r="D106" s="1" t="s">
        <v>185</v>
      </c>
      <c r="E106" s="1" t="s">
        <v>210</v>
      </c>
      <c r="F106" s="1" t="s">
        <v>210</v>
      </c>
      <c r="H106" s="1">
        <f t="shared" si="5"/>
        <v>10</v>
      </c>
      <c r="I106" s="1">
        <f t="shared" si="6"/>
        <v>0</v>
      </c>
      <c r="J106" s="1">
        <f>IFERROR(VLOOKUP(D106,Event_Master!B:E,4,FALSE),1)</f>
        <v>1.5</v>
      </c>
      <c r="K106" s="1">
        <f t="shared" si="7"/>
        <v>0</v>
      </c>
      <c r="L106" s="1">
        <f t="shared" si="9"/>
        <v>10</v>
      </c>
    </row>
    <row r="107" spans="1:12">
      <c r="A107" s="8">
        <v>46359</v>
      </c>
      <c r="B107" s="20">
        <v>478270</v>
      </c>
      <c r="C107" s="20" t="s">
        <v>233</v>
      </c>
      <c r="D107" s="1" t="s">
        <v>185</v>
      </c>
      <c r="E107" s="1" t="s">
        <v>210</v>
      </c>
      <c r="F107" s="1" t="s">
        <v>210</v>
      </c>
      <c r="H107" s="1">
        <f t="shared" si="5"/>
        <v>10</v>
      </c>
      <c r="I107" s="1">
        <f t="shared" si="6"/>
        <v>0</v>
      </c>
      <c r="J107" s="1">
        <f>IFERROR(VLOOKUP(D107,Event_Master!B:E,4,FALSE),1)</f>
        <v>1.5</v>
      </c>
      <c r="K107" s="1">
        <f t="shared" si="7"/>
        <v>0</v>
      </c>
      <c r="L107" s="1">
        <f t="shared" si="9"/>
        <v>10</v>
      </c>
    </row>
    <row r="108" spans="1:12">
      <c r="A108" s="8">
        <v>46359</v>
      </c>
      <c r="B108" s="20">
        <v>458702</v>
      </c>
      <c r="C108" s="20" t="s">
        <v>109</v>
      </c>
      <c r="D108" s="1" t="s">
        <v>185</v>
      </c>
      <c r="E108" s="1" t="s">
        <v>210</v>
      </c>
      <c r="F108" s="1" t="s">
        <v>210</v>
      </c>
      <c r="H108" s="1">
        <f t="shared" si="5"/>
        <v>10</v>
      </c>
      <c r="I108" s="1">
        <f t="shared" si="6"/>
        <v>0</v>
      </c>
      <c r="J108" s="1">
        <f>IFERROR(VLOOKUP(D108,Event_Master!B:E,4,FALSE),1)</f>
        <v>1.5</v>
      </c>
      <c r="K108" s="1">
        <f t="shared" si="7"/>
        <v>0</v>
      </c>
      <c r="L108" s="1">
        <f t="shared" si="9"/>
        <v>10</v>
      </c>
    </row>
    <row r="109" spans="1:12">
      <c r="A109" s="8">
        <v>46359</v>
      </c>
      <c r="B109" s="20">
        <v>473266</v>
      </c>
      <c r="C109" s="20" t="s">
        <v>6</v>
      </c>
      <c r="D109" s="1" t="s">
        <v>185</v>
      </c>
      <c r="E109" s="1" t="s">
        <v>210</v>
      </c>
      <c r="F109" s="1" t="s">
        <v>210</v>
      </c>
      <c r="H109" s="1">
        <f t="shared" si="5"/>
        <v>10</v>
      </c>
      <c r="I109" s="1">
        <f t="shared" si="6"/>
        <v>0</v>
      </c>
      <c r="J109" s="1">
        <f>IFERROR(VLOOKUP(D109,Event_Master!B:E,4,FALSE),1)</f>
        <v>1.5</v>
      </c>
      <c r="K109" s="1">
        <f t="shared" si="7"/>
        <v>0</v>
      </c>
      <c r="L109" s="1">
        <f t="shared" si="9"/>
        <v>10</v>
      </c>
    </row>
    <row r="110" spans="1:12">
      <c r="A110" s="8">
        <v>46359</v>
      </c>
      <c r="B110" s="20">
        <v>450256</v>
      </c>
      <c r="C110" s="20" t="s">
        <v>215</v>
      </c>
      <c r="D110" s="1" t="s">
        <v>185</v>
      </c>
      <c r="E110" s="1" t="s">
        <v>210</v>
      </c>
      <c r="F110" s="1" t="s">
        <v>210</v>
      </c>
      <c r="H110" s="1">
        <f t="shared" si="5"/>
        <v>10</v>
      </c>
      <c r="I110" s="1">
        <f t="shared" si="6"/>
        <v>0</v>
      </c>
      <c r="J110" s="1">
        <f>IFERROR(VLOOKUP(D110,Event_Master!B:E,4,FALSE),1)</f>
        <v>1.5</v>
      </c>
      <c r="K110" s="1">
        <f t="shared" si="7"/>
        <v>0</v>
      </c>
      <c r="L110" s="1">
        <f t="shared" si="9"/>
        <v>10</v>
      </c>
    </row>
    <row r="111" spans="1:12">
      <c r="A111" s="8">
        <v>46359</v>
      </c>
      <c r="B111" s="20">
        <v>396485</v>
      </c>
      <c r="C111" s="20" t="s">
        <v>102</v>
      </c>
      <c r="D111" s="1" t="s">
        <v>185</v>
      </c>
      <c r="E111" s="1" t="s">
        <v>210</v>
      </c>
      <c r="F111" s="1" t="s">
        <v>210</v>
      </c>
      <c r="G111" s="1" t="s">
        <v>196</v>
      </c>
      <c r="H111" s="1">
        <f t="shared" si="5"/>
        <v>10</v>
      </c>
      <c r="I111" s="1">
        <f t="shared" si="6"/>
        <v>100</v>
      </c>
      <c r="J111" s="1">
        <f>IFERROR(VLOOKUP(D111,Event_Master!B:E,4,FALSE),1)</f>
        <v>1.5</v>
      </c>
      <c r="K111" s="1">
        <f t="shared" si="7"/>
        <v>150</v>
      </c>
      <c r="L111" s="1">
        <f t="shared" si="9"/>
        <v>160</v>
      </c>
    </row>
    <row r="112" spans="1:12">
      <c r="A112" s="8">
        <v>46359</v>
      </c>
      <c r="B112" s="20">
        <v>440620</v>
      </c>
      <c r="C112" s="20" t="s">
        <v>133</v>
      </c>
      <c r="D112" s="1" t="s">
        <v>185</v>
      </c>
      <c r="E112" s="1" t="s">
        <v>210</v>
      </c>
      <c r="F112" s="1" t="s">
        <v>210</v>
      </c>
      <c r="H112" s="1">
        <f t="shared" si="5"/>
        <v>10</v>
      </c>
      <c r="I112" s="1">
        <f t="shared" si="6"/>
        <v>0</v>
      </c>
      <c r="J112" s="1">
        <f>IFERROR(VLOOKUP(D112,Event_Master!B:E,4,FALSE),1)</f>
        <v>1.5</v>
      </c>
      <c r="K112" s="1">
        <f t="shared" si="7"/>
        <v>0</v>
      </c>
      <c r="L112" s="1">
        <f t="shared" si="9"/>
        <v>10</v>
      </c>
    </row>
    <row r="113" spans="1:12">
      <c r="A113" s="8">
        <v>46359</v>
      </c>
      <c r="B113" s="20">
        <v>450224</v>
      </c>
      <c r="C113" s="20" t="s">
        <v>140</v>
      </c>
      <c r="D113" s="1" t="s">
        <v>185</v>
      </c>
      <c r="E113" s="1" t="s">
        <v>210</v>
      </c>
      <c r="F113" s="1" t="s">
        <v>210</v>
      </c>
      <c r="H113" s="1">
        <f t="shared" si="5"/>
        <v>10</v>
      </c>
      <c r="I113" s="1">
        <f t="shared" si="6"/>
        <v>0</v>
      </c>
      <c r="J113" s="1">
        <f>IFERROR(VLOOKUP(D113,Event_Master!B:E,4,FALSE),1)</f>
        <v>1.5</v>
      </c>
      <c r="K113" s="1">
        <f t="shared" si="7"/>
        <v>0</v>
      </c>
      <c r="L113" s="1">
        <f t="shared" si="9"/>
        <v>10</v>
      </c>
    </row>
    <row r="114" spans="1:12">
      <c r="A114" s="8">
        <v>46359</v>
      </c>
      <c r="B114" s="20">
        <v>476372</v>
      </c>
      <c r="C114" s="20" t="s">
        <v>128</v>
      </c>
      <c r="D114" s="1" t="s">
        <v>185</v>
      </c>
      <c r="E114" s="1" t="s">
        <v>210</v>
      </c>
      <c r="F114" s="1" t="s">
        <v>210</v>
      </c>
      <c r="H114" s="1">
        <f t="shared" si="5"/>
        <v>10</v>
      </c>
      <c r="I114" s="1">
        <f t="shared" si="6"/>
        <v>0</v>
      </c>
      <c r="J114" s="1">
        <f>IFERROR(VLOOKUP(D114,Event_Master!B:E,4,FALSE),1)</f>
        <v>1.5</v>
      </c>
      <c r="K114" s="1">
        <f t="shared" si="7"/>
        <v>0</v>
      </c>
      <c r="L114" s="1">
        <f t="shared" si="9"/>
        <v>10</v>
      </c>
    </row>
    <row r="115" spans="1:12">
      <c r="A115" s="8">
        <v>46359</v>
      </c>
      <c r="B115" s="20">
        <v>434518</v>
      </c>
      <c r="C115" s="20" t="s">
        <v>9</v>
      </c>
      <c r="D115" s="1" t="s">
        <v>185</v>
      </c>
      <c r="E115" s="1" t="s">
        <v>210</v>
      </c>
      <c r="F115" s="1" t="s">
        <v>210</v>
      </c>
      <c r="H115" s="1">
        <f t="shared" si="5"/>
        <v>10</v>
      </c>
      <c r="I115" s="1">
        <f t="shared" si="6"/>
        <v>0</v>
      </c>
      <c r="J115" s="1">
        <f>IFERROR(VLOOKUP(D115,Event_Master!B:E,4,FALSE),1)</f>
        <v>1.5</v>
      </c>
      <c r="K115" s="1">
        <f t="shared" si="7"/>
        <v>0</v>
      </c>
      <c r="L115" s="1">
        <f t="shared" si="9"/>
        <v>10</v>
      </c>
    </row>
    <row r="116" spans="1:12">
      <c r="A116" s="8">
        <v>46359</v>
      </c>
      <c r="B116" s="20">
        <v>450030</v>
      </c>
      <c r="C116" s="20" t="s">
        <v>211</v>
      </c>
      <c r="D116" s="1" t="s">
        <v>185</v>
      </c>
      <c r="E116" s="1" t="s">
        <v>210</v>
      </c>
      <c r="F116" s="1" t="s">
        <v>210</v>
      </c>
      <c r="H116" s="1">
        <f t="shared" si="5"/>
        <v>10</v>
      </c>
      <c r="I116" s="1">
        <f t="shared" si="6"/>
        <v>0</v>
      </c>
      <c r="J116" s="1">
        <f>IFERROR(VLOOKUP(D116,Event_Master!B:E,4,FALSE),1)</f>
        <v>1.5</v>
      </c>
      <c r="K116" s="1">
        <f t="shared" si="7"/>
        <v>0</v>
      </c>
      <c r="L116" s="1">
        <f t="shared" si="9"/>
        <v>10</v>
      </c>
    </row>
    <row r="117" spans="1:12">
      <c r="A117" s="8">
        <v>46359</v>
      </c>
      <c r="B117" s="16">
        <v>457430</v>
      </c>
      <c r="C117" s="20" t="s">
        <v>14</v>
      </c>
      <c r="D117" s="1" t="s">
        <v>185</v>
      </c>
      <c r="E117" s="1" t="s">
        <v>210</v>
      </c>
      <c r="F117" s="1" t="s">
        <v>210</v>
      </c>
      <c r="H117" s="1">
        <f t="shared" si="5"/>
        <v>10</v>
      </c>
      <c r="I117" s="1">
        <f t="shared" si="6"/>
        <v>0</v>
      </c>
      <c r="J117" s="1">
        <f>IFERROR(VLOOKUP(D117,Event_Master!B:E,4,FALSE),1)</f>
        <v>1.5</v>
      </c>
      <c r="K117" s="1">
        <f t="shared" si="7"/>
        <v>0</v>
      </c>
      <c r="L117" s="1">
        <f t="shared" si="9"/>
        <v>10</v>
      </c>
    </row>
    <row r="118" spans="1:12">
      <c r="A118" s="8">
        <v>46359</v>
      </c>
      <c r="B118" s="20">
        <v>452799</v>
      </c>
      <c r="C118" s="20" t="s">
        <v>135</v>
      </c>
      <c r="D118" s="1" t="s">
        <v>185</v>
      </c>
      <c r="E118" s="1" t="s">
        <v>210</v>
      </c>
      <c r="F118" s="1" t="s">
        <v>210</v>
      </c>
      <c r="H118" s="1">
        <f t="shared" si="5"/>
        <v>10</v>
      </c>
      <c r="I118" s="1">
        <f t="shared" si="6"/>
        <v>0</v>
      </c>
      <c r="J118" s="1">
        <f>IFERROR(VLOOKUP(D118,Event_Master!B:E,4,FALSE),1)</f>
        <v>1.5</v>
      </c>
      <c r="K118" s="1">
        <f t="shared" si="7"/>
        <v>0</v>
      </c>
      <c r="L118" s="1">
        <f t="shared" si="9"/>
        <v>10</v>
      </c>
    </row>
    <row r="119" spans="1:12">
      <c r="A119" s="8">
        <v>46359</v>
      </c>
      <c r="B119" s="20">
        <v>460692</v>
      </c>
      <c r="C119" s="20" t="s">
        <v>131</v>
      </c>
      <c r="D119" s="1" t="s">
        <v>185</v>
      </c>
      <c r="E119" s="1" t="s">
        <v>210</v>
      </c>
      <c r="F119" s="1" t="s">
        <v>210</v>
      </c>
      <c r="H119" s="1">
        <f t="shared" si="5"/>
        <v>10</v>
      </c>
      <c r="I119" s="1">
        <f t="shared" si="6"/>
        <v>0</v>
      </c>
      <c r="J119" s="1">
        <f>IFERROR(VLOOKUP(D119,Event_Master!B:E,4,FALSE),1)</f>
        <v>1.5</v>
      </c>
      <c r="K119" s="1">
        <f t="shared" si="7"/>
        <v>0</v>
      </c>
      <c r="L119" s="1">
        <f t="shared" si="9"/>
        <v>10</v>
      </c>
    </row>
    <row r="120" spans="1:12">
      <c r="A120" s="8">
        <v>46359</v>
      </c>
      <c r="B120" s="20">
        <v>468224</v>
      </c>
      <c r="C120" s="20" t="s">
        <v>234</v>
      </c>
      <c r="D120" s="1" t="s">
        <v>185</v>
      </c>
      <c r="E120" s="1" t="s">
        <v>210</v>
      </c>
      <c r="F120" s="1" t="s">
        <v>210</v>
      </c>
      <c r="H120" s="1">
        <f t="shared" si="5"/>
        <v>10</v>
      </c>
      <c r="I120" s="1">
        <f t="shared" si="6"/>
        <v>0</v>
      </c>
      <c r="J120" s="1">
        <f>IFERROR(VLOOKUP(D120,Event_Master!B:E,4,FALSE),1)</f>
        <v>1.5</v>
      </c>
      <c r="K120" s="1">
        <f t="shared" si="7"/>
        <v>0</v>
      </c>
      <c r="L120" s="1">
        <f t="shared" si="9"/>
        <v>10</v>
      </c>
    </row>
    <row r="121" spans="1:12">
      <c r="A121" s="8">
        <v>46359</v>
      </c>
      <c r="B121" s="20">
        <v>440317</v>
      </c>
      <c r="C121" s="20" t="s">
        <v>235</v>
      </c>
      <c r="D121" s="1" t="s">
        <v>185</v>
      </c>
      <c r="E121" s="1" t="s">
        <v>210</v>
      </c>
      <c r="F121" s="1" t="s">
        <v>210</v>
      </c>
      <c r="H121" s="1">
        <f t="shared" si="5"/>
        <v>10</v>
      </c>
      <c r="I121" s="1">
        <f t="shared" si="6"/>
        <v>0</v>
      </c>
      <c r="J121" s="1">
        <f>IFERROR(VLOOKUP(D121,Event_Master!B:E,4,FALSE),1)</f>
        <v>1.5</v>
      </c>
      <c r="K121" s="1">
        <f t="shared" si="7"/>
        <v>0</v>
      </c>
      <c r="L121" s="1">
        <f t="shared" si="9"/>
        <v>10</v>
      </c>
    </row>
    <row r="122" spans="1:12">
      <c r="A122" s="8">
        <v>46359</v>
      </c>
      <c r="B122" s="20">
        <v>438864</v>
      </c>
      <c r="C122" s="20" t="s">
        <v>136</v>
      </c>
      <c r="D122" s="1" t="s">
        <v>185</v>
      </c>
      <c r="E122" s="1" t="s">
        <v>210</v>
      </c>
      <c r="F122" s="1" t="s">
        <v>210</v>
      </c>
      <c r="H122" s="1">
        <f t="shared" si="5"/>
        <v>10</v>
      </c>
      <c r="I122" s="1">
        <f t="shared" si="6"/>
        <v>0</v>
      </c>
      <c r="J122" s="1">
        <f>IFERROR(VLOOKUP(D122,Event_Master!B:E,4,FALSE),1)</f>
        <v>1.5</v>
      </c>
      <c r="K122" s="1">
        <f t="shared" si="7"/>
        <v>0</v>
      </c>
      <c r="L122" s="1">
        <f t="shared" si="9"/>
        <v>10</v>
      </c>
    </row>
    <row r="123" spans="1:12">
      <c r="A123" s="8">
        <v>46359</v>
      </c>
      <c r="B123" s="20">
        <v>427154</v>
      </c>
      <c r="C123" s="20" t="s">
        <v>151</v>
      </c>
      <c r="D123" s="1" t="s">
        <v>185</v>
      </c>
      <c r="E123" s="1" t="s">
        <v>210</v>
      </c>
      <c r="F123" s="1" t="s">
        <v>210</v>
      </c>
      <c r="G123" s="1" t="s">
        <v>197</v>
      </c>
      <c r="H123" s="1">
        <f t="shared" si="5"/>
        <v>10</v>
      </c>
      <c r="I123" s="1">
        <f t="shared" si="6"/>
        <v>70</v>
      </c>
      <c r="J123" s="1">
        <f>IFERROR(VLOOKUP(D123,Event_Master!B:E,4,FALSE),1)</f>
        <v>1.5</v>
      </c>
      <c r="K123" s="1">
        <f t="shared" si="7"/>
        <v>105</v>
      </c>
      <c r="L123" s="1">
        <f t="shared" si="9"/>
        <v>115</v>
      </c>
    </row>
    <row r="124" spans="1:12">
      <c r="A124" s="8">
        <v>46359</v>
      </c>
      <c r="B124" s="20">
        <v>474194</v>
      </c>
      <c r="C124" s="20" t="s">
        <v>126</v>
      </c>
      <c r="D124" s="1" t="s">
        <v>185</v>
      </c>
      <c r="E124" s="1" t="s">
        <v>210</v>
      </c>
      <c r="F124" s="1" t="s">
        <v>210</v>
      </c>
      <c r="H124" s="1">
        <f t="shared" si="5"/>
        <v>10</v>
      </c>
      <c r="I124" s="1">
        <f t="shared" si="6"/>
        <v>0</v>
      </c>
      <c r="J124" s="1">
        <f>IFERROR(VLOOKUP(D124,Event_Master!B:E,4,FALSE),1)</f>
        <v>1.5</v>
      </c>
      <c r="K124" s="1">
        <f t="shared" si="7"/>
        <v>0</v>
      </c>
      <c r="L124" s="1">
        <f t="shared" si="9"/>
        <v>10</v>
      </c>
    </row>
    <row r="125" spans="1:12">
      <c r="A125" s="8">
        <v>46359</v>
      </c>
      <c r="B125" s="20">
        <v>432865</v>
      </c>
      <c r="C125" s="20" t="s">
        <v>103</v>
      </c>
      <c r="D125" s="1" t="s">
        <v>185</v>
      </c>
      <c r="E125" s="1" t="s">
        <v>210</v>
      </c>
      <c r="F125" s="1" t="s">
        <v>210</v>
      </c>
      <c r="G125" s="1" t="s">
        <v>196</v>
      </c>
      <c r="H125" s="1">
        <f t="shared" si="5"/>
        <v>10</v>
      </c>
      <c r="I125" s="1">
        <f t="shared" si="6"/>
        <v>100</v>
      </c>
      <c r="J125" s="1">
        <f>IFERROR(VLOOKUP(D125,Event_Master!B:E,4,FALSE),1)</f>
        <v>1.5</v>
      </c>
      <c r="K125" s="1">
        <f t="shared" si="7"/>
        <v>150</v>
      </c>
      <c r="L125" s="1">
        <f t="shared" si="9"/>
        <v>160</v>
      </c>
    </row>
    <row r="126" spans="1:12">
      <c r="A126" s="8">
        <v>46359</v>
      </c>
      <c r="B126" s="20">
        <v>457157</v>
      </c>
      <c r="C126" s="20" t="s">
        <v>114</v>
      </c>
      <c r="D126" s="1" t="s">
        <v>185</v>
      </c>
      <c r="E126" s="1" t="s">
        <v>210</v>
      </c>
      <c r="F126" s="1" t="s">
        <v>210</v>
      </c>
      <c r="H126" s="1">
        <f t="shared" si="5"/>
        <v>10</v>
      </c>
      <c r="I126" s="1">
        <f t="shared" si="6"/>
        <v>0</v>
      </c>
      <c r="J126" s="1">
        <f>IFERROR(VLOOKUP(D126,Event_Master!B:E,4,FALSE),1)</f>
        <v>1.5</v>
      </c>
      <c r="K126" s="1">
        <f t="shared" si="7"/>
        <v>0</v>
      </c>
      <c r="L126" s="1">
        <f t="shared" si="9"/>
        <v>10</v>
      </c>
    </row>
    <row r="127" spans="1:12">
      <c r="A127" s="8">
        <v>46359</v>
      </c>
      <c r="B127" s="20">
        <v>438679</v>
      </c>
      <c r="C127" s="20" t="s">
        <v>46</v>
      </c>
      <c r="D127" s="1" t="s">
        <v>185</v>
      </c>
      <c r="E127" s="1" t="s">
        <v>210</v>
      </c>
      <c r="F127" s="1" t="s">
        <v>210</v>
      </c>
      <c r="G127" s="1" t="s">
        <v>197</v>
      </c>
      <c r="H127" s="1">
        <f t="shared" si="5"/>
        <v>10</v>
      </c>
      <c r="I127" s="1">
        <f t="shared" si="6"/>
        <v>70</v>
      </c>
      <c r="J127" s="1">
        <f>IFERROR(VLOOKUP(D127,Event_Master!B:E,4,FALSE),1)</f>
        <v>1.5</v>
      </c>
      <c r="K127" s="1">
        <f t="shared" si="7"/>
        <v>105</v>
      </c>
      <c r="L127" s="1">
        <f t="shared" si="9"/>
        <v>115</v>
      </c>
    </row>
    <row r="128" spans="1:12">
      <c r="A128" s="8">
        <v>46359</v>
      </c>
      <c r="B128" s="20">
        <v>450228</v>
      </c>
      <c r="C128" s="20" t="s">
        <v>61</v>
      </c>
      <c r="D128" s="1" t="s">
        <v>185</v>
      </c>
      <c r="E128" s="1" t="s">
        <v>210</v>
      </c>
      <c r="F128" s="1" t="s">
        <v>210</v>
      </c>
      <c r="H128" s="1">
        <f t="shared" si="5"/>
        <v>10</v>
      </c>
      <c r="I128" s="1">
        <f t="shared" si="6"/>
        <v>0</v>
      </c>
      <c r="J128" s="1">
        <f>IFERROR(VLOOKUP(D128,Event_Master!B:E,4,FALSE),1)</f>
        <v>1.5</v>
      </c>
      <c r="K128" s="1">
        <f t="shared" si="7"/>
        <v>0</v>
      </c>
      <c r="L128" s="1">
        <f t="shared" si="9"/>
        <v>10</v>
      </c>
    </row>
    <row r="129" spans="1:12">
      <c r="A129" s="8">
        <v>46359</v>
      </c>
      <c r="B129" s="20">
        <v>450437</v>
      </c>
      <c r="C129" s="20" t="s">
        <v>217</v>
      </c>
      <c r="D129" s="1" t="s">
        <v>185</v>
      </c>
      <c r="E129" s="1" t="s">
        <v>210</v>
      </c>
      <c r="F129" s="1" t="s">
        <v>210</v>
      </c>
      <c r="H129" s="1">
        <f t="shared" si="5"/>
        <v>10</v>
      </c>
      <c r="I129" s="1">
        <f t="shared" si="6"/>
        <v>0</v>
      </c>
      <c r="J129" s="1">
        <f>IFERROR(VLOOKUP(D129,Event_Master!B:E,4,FALSE),1)</f>
        <v>1.5</v>
      </c>
      <c r="K129" s="1">
        <f t="shared" si="7"/>
        <v>0</v>
      </c>
      <c r="L129" s="1">
        <f t="shared" si="9"/>
        <v>10</v>
      </c>
    </row>
    <row r="130" spans="1:12">
      <c r="A130" s="8">
        <v>46359</v>
      </c>
      <c r="B130" s="20">
        <v>468536</v>
      </c>
      <c r="C130" s="20" t="s">
        <v>89</v>
      </c>
      <c r="D130" s="1" t="s">
        <v>185</v>
      </c>
      <c r="E130" s="1" t="s">
        <v>210</v>
      </c>
      <c r="F130" s="1" t="s">
        <v>210</v>
      </c>
      <c r="H130" s="1">
        <f t="shared" ref="H130:H193" si="10">IF(F130="Yes",10,0)</f>
        <v>10</v>
      </c>
      <c r="I130" s="1">
        <f t="shared" si="6"/>
        <v>0</v>
      </c>
      <c r="J130" s="1">
        <f>IFERROR(VLOOKUP(D130,Event_Master!B:E,4,FALSE),1)</f>
        <v>1.5</v>
      </c>
      <c r="K130" s="1">
        <f t="shared" si="7"/>
        <v>0</v>
      </c>
      <c r="L130" s="1">
        <f t="shared" si="9"/>
        <v>10</v>
      </c>
    </row>
    <row r="131" spans="1:12">
      <c r="A131" s="8">
        <v>46359</v>
      </c>
      <c r="B131" s="20">
        <v>437534</v>
      </c>
      <c r="C131" s="20" t="s">
        <v>30</v>
      </c>
      <c r="D131" s="1" t="s">
        <v>185</v>
      </c>
      <c r="E131" s="1" t="s">
        <v>210</v>
      </c>
      <c r="F131" s="1" t="s">
        <v>210</v>
      </c>
      <c r="H131" s="1">
        <f t="shared" si="10"/>
        <v>10</v>
      </c>
      <c r="I131" s="1">
        <f t="shared" ref="I131:I194" si="11">IF(G131="Winner",100,IF(G131="Runner-up",70,IF(G131="2nd Runner-up",50,IF(G131="Semi",30,IF(G131="Quarter",20,0)))))</f>
        <v>0</v>
      </c>
      <c r="J131" s="1">
        <f>IFERROR(VLOOKUP(D131,Event_Master!B:E,4,FALSE),1)</f>
        <v>1.5</v>
      </c>
      <c r="K131" s="1">
        <f t="shared" ref="K131:K194" si="12">(I131*J131)</f>
        <v>0</v>
      </c>
      <c r="L131" s="1">
        <f t="shared" si="9"/>
        <v>10</v>
      </c>
    </row>
    <row r="132" spans="1:12">
      <c r="A132" s="8">
        <v>46359</v>
      </c>
      <c r="B132" s="20">
        <v>460764</v>
      </c>
      <c r="C132" s="20" t="s">
        <v>118</v>
      </c>
      <c r="D132" s="1" t="s">
        <v>185</v>
      </c>
      <c r="E132" s="1" t="s">
        <v>210</v>
      </c>
      <c r="F132" s="1" t="s">
        <v>210</v>
      </c>
      <c r="H132" s="1">
        <f t="shared" si="10"/>
        <v>10</v>
      </c>
      <c r="I132" s="1">
        <f t="shared" si="11"/>
        <v>0</v>
      </c>
      <c r="J132" s="1">
        <f>IFERROR(VLOOKUP(D132,Event_Master!B:E,4,FALSE),1)</f>
        <v>1.5</v>
      </c>
      <c r="K132" s="1">
        <f t="shared" si="12"/>
        <v>0</v>
      </c>
      <c r="L132" s="1">
        <f t="shared" si="9"/>
        <v>10</v>
      </c>
    </row>
    <row r="133" spans="1:12">
      <c r="A133" s="8">
        <v>46359</v>
      </c>
      <c r="B133" s="20">
        <v>427154</v>
      </c>
      <c r="C133" s="20" t="s">
        <v>151</v>
      </c>
      <c r="D133" s="1" t="s">
        <v>185</v>
      </c>
      <c r="E133" s="1" t="s">
        <v>210</v>
      </c>
      <c r="F133" s="1" t="s">
        <v>210</v>
      </c>
      <c r="G133" s="1" t="s">
        <v>196</v>
      </c>
      <c r="H133" s="1">
        <f t="shared" si="10"/>
        <v>10</v>
      </c>
      <c r="I133" s="1">
        <f t="shared" si="11"/>
        <v>100</v>
      </c>
      <c r="J133" s="1">
        <f>IFERROR(VLOOKUP(D133,Event_Master!B:E,4,FALSE),1)</f>
        <v>1.5</v>
      </c>
      <c r="K133" s="1">
        <f t="shared" si="12"/>
        <v>150</v>
      </c>
      <c r="L133" s="1">
        <f t="shared" si="9"/>
        <v>160</v>
      </c>
    </row>
    <row r="134" spans="1:12">
      <c r="A134" s="8">
        <v>46359</v>
      </c>
      <c r="B134" s="20">
        <v>432865</v>
      </c>
      <c r="C134" s="20" t="s">
        <v>103</v>
      </c>
      <c r="D134" s="1" t="s">
        <v>185</v>
      </c>
      <c r="E134" s="1" t="s">
        <v>210</v>
      </c>
      <c r="F134" s="1" t="s">
        <v>210</v>
      </c>
      <c r="G134" s="1" t="s">
        <v>197</v>
      </c>
      <c r="H134" s="1">
        <f t="shared" si="10"/>
        <v>10</v>
      </c>
      <c r="I134" s="1">
        <f t="shared" si="11"/>
        <v>70</v>
      </c>
      <c r="J134" s="1">
        <f>IFERROR(VLOOKUP(D134,Event_Master!B:E,4,FALSE),1)</f>
        <v>1.5</v>
      </c>
      <c r="K134" s="1">
        <f t="shared" si="12"/>
        <v>105</v>
      </c>
      <c r="L134" s="1">
        <f t="shared" ref="L134:L165" si="13">K134+H134</f>
        <v>115</v>
      </c>
    </row>
    <row r="135" spans="1:12">
      <c r="A135" s="8">
        <v>46359</v>
      </c>
      <c r="B135" s="20">
        <v>476372</v>
      </c>
      <c r="C135" s="20" t="s">
        <v>128</v>
      </c>
      <c r="D135" s="1" t="s">
        <v>181</v>
      </c>
      <c r="E135" s="1" t="s">
        <v>210</v>
      </c>
      <c r="F135" s="1" t="s">
        <v>210</v>
      </c>
      <c r="H135" s="1">
        <f t="shared" si="10"/>
        <v>10</v>
      </c>
      <c r="I135" s="1">
        <f t="shared" si="11"/>
        <v>0</v>
      </c>
      <c r="J135" s="1">
        <f>IFERROR(VLOOKUP(D135,Event_Master!B:E,4,FALSE),1)</f>
        <v>1.3</v>
      </c>
      <c r="K135" s="1">
        <f t="shared" si="12"/>
        <v>0</v>
      </c>
      <c r="L135" s="1">
        <f t="shared" si="13"/>
        <v>10</v>
      </c>
    </row>
    <row r="136" spans="1:12">
      <c r="A136" s="8">
        <v>46359</v>
      </c>
      <c r="B136" s="20">
        <v>468157</v>
      </c>
      <c r="C136" s="20" t="s">
        <v>123</v>
      </c>
      <c r="D136" s="1" t="s">
        <v>181</v>
      </c>
      <c r="E136" s="1" t="s">
        <v>210</v>
      </c>
      <c r="F136" s="1" t="s">
        <v>210</v>
      </c>
      <c r="H136" s="1">
        <f t="shared" si="10"/>
        <v>10</v>
      </c>
      <c r="I136" s="1">
        <f t="shared" si="11"/>
        <v>0</v>
      </c>
      <c r="J136" s="1">
        <f>IFERROR(VLOOKUP(D136,Event_Master!B:E,4,FALSE),1)</f>
        <v>1.3</v>
      </c>
      <c r="K136" s="1">
        <f t="shared" si="12"/>
        <v>0</v>
      </c>
      <c r="L136" s="1">
        <f t="shared" si="13"/>
        <v>10</v>
      </c>
    </row>
    <row r="137" spans="1:12">
      <c r="A137" s="8">
        <v>46359</v>
      </c>
      <c r="B137" s="20">
        <v>460627</v>
      </c>
      <c r="C137" s="20" t="s">
        <v>77</v>
      </c>
      <c r="D137" s="1" t="s">
        <v>181</v>
      </c>
      <c r="E137" s="1" t="s">
        <v>210</v>
      </c>
      <c r="F137" s="1" t="s">
        <v>210</v>
      </c>
      <c r="H137" s="1">
        <f t="shared" si="10"/>
        <v>10</v>
      </c>
      <c r="I137" s="1">
        <f t="shared" si="11"/>
        <v>0</v>
      </c>
      <c r="J137" s="1">
        <f>IFERROR(VLOOKUP(D137,Event_Master!B:E,4,FALSE),1)</f>
        <v>1.3</v>
      </c>
      <c r="K137" s="1">
        <f t="shared" si="12"/>
        <v>0</v>
      </c>
      <c r="L137" s="1">
        <f t="shared" si="13"/>
        <v>10</v>
      </c>
    </row>
    <row r="138" spans="1:12">
      <c r="A138" s="8">
        <v>46359</v>
      </c>
      <c r="B138" s="20">
        <v>473266</v>
      </c>
      <c r="C138" s="20" t="s">
        <v>6</v>
      </c>
      <c r="D138" s="1" t="s">
        <v>181</v>
      </c>
      <c r="E138" s="1" t="s">
        <v>210</v>
      </c>
      <c r="F138" s="1" t="s">
        <v>210</v>
      </c>
      <c r="H138" s="1">
        <f t="shared" si="10"/>
        <v>10</v>
      </c>
      <c r="I138" s="1">
        <f t="shared" si="11"/>
        <v>0</v>
      </c>
      <c r="J138" s="1">
        <f>IFERROR(VLOOKUP(D138,Event_Master!B:E,4,FALSE),1)</f>
        <v>1.3</v>
      </c>
      <c r="K138" s="1">
        <f t="shared" si="12"/>
        <v>0</v>
      </c>
      <c r="L138" s="1">
        <f t="shared" si="13"/>
        <v>10</v>
      </c>
    </row>
    <row r="139" spans="1:12">
      <c r="A139" s="8">
        <v>46359</v>
      </c>
      <c r="B139" s="20">
        <v>438864</v>
      </c>
      <c r="C139" s="20" t="s">
        <v>136</v>
      </c>
      <c r="D139" s="1" t="s">
        <v>181</v>
      </c>
      <c r="E139" s="1" t="s">
        <v>210</v>
      </c>
      <c r="F139" s="1" t="s">
        <v>210</v>
      </c>
      <c r="H139" s="1">
        <f t="shared" si="10"/>
        <v>10</v>
      </c>
      <c r="I139" s="1">
        <f t="shared" si="11"/>
        <v>0</v>
      </c>
      <c r="J139" s="1">
        <f>IFERROR(VLOOKUP(D139,Event_Master!B:E,4,FALSE),1)</f>
        <v>1.3</v>
      </c>
      <c r="K139" s="1">
        <f t="shared" si="12"/>
        <v>0</v>
      </c>
      <c r="L139" s="1">
        <f t="shared" si="13"/>
        <v>10</v>
      </c>
    </row>
    <row r="140" spans="1:12">
      <c r="A140" s="8">
        <v>46359</v>
      </c>
      <c r="B140" s="21">
        <v>708792</v>
      </c>
      <c r="C140" s="18" t="s">
        <v>158</v>
      </c>
      <c r="D140" s="1" t="s">
        <v>181</v>
      </c>
      <c r="E140" s="1" t="s">
        <v>210</v>
      </c>
      <c r="F140" s="1" t="s">
        <v>210</v>
      </c>
      <c r="H140" s="1">
        <f t="shared" si="10"/>
        <v>10</v>
      </c>
      <c r="I140" s="1">
        <f t="shared" si="11"/>
        <v>0</v>
      </c>
      <c r="J140" s="1">
        <f>IFERROR(VLOOKUP(D140,Event_Master!B:E,4,FALSE),1)</f>
        <v>1.3</v>
      </c>
      <c r="K140" s="1">
        <f t="shared" si="12"/>
        <v>0</v>
      </c>
      <c r="L140" s="1">
        <f t="shared" si="13"/>
        <v>10</v>
      </c>
    </row>
    <row r="141" spans="1:12" ht="24">
      <c r="A141" s="8">
        <v>46359</v>
      </c>
      <c r="B141" s="20">
        <v>420533</v>
      </c>
      <c r="C141" s="20" t="s">
        <v>236</v>
      </c>
      <c r="D141" s="1" t="s">
        <v>181</v>
      </c>
      <c r="E141" s="1" t="s">
        <v>210</v>
      </c>
      <c r="F141" s="1" t="s">
        <v>210</v>
      </c>
      <c r="H141" s="1">
        <f t="shared" si="10"/>
        <v>10</v>
      </c>
      <c r="I141" s="1">
        <f t="shared" si="11"/>
        <v>0</v>
      </c>
      <c r="J141" s="1">
        <f>IFERROR(VLOOKUP(D141,Event_Master!B:E,4,FALSE),1)</f>
        <v>1.3</v>
      </c>
      <c r="K141" s="1">
        <f t="shared" si="12"/>
        <v>0</v>
      </c>
      <c r="L141" s="1">
        <f t="shared" si="13"/>
        <v>10</v>
      </c>
    </row>
    <row r="142" spans="1:12">
      <c r="A142" s="8">
        <v>46359</v>
      </c>
      <c r="B142" s="20">
        <v>437534</v>
      </c>
      <c r="C142" s="20" t="s">
        <v>30</v>
      </c>
      <c r="D142" s="1" t="s">
        <v>181</v>
      </c>
      <c r="E142" s="1" t="s">
        <v>210</v>
      </c>
      <c r="F142" s="1" t="s">
        <v>210</v>
      </c>
      <c r="H142" s="1">
        <f t="shared" si="10"/>
        <v>10</v>
      </c>
      <c r="I142" s="1">
        <f t="shared" si="11"/>
        <v>0</v>
      </c>
      <c r="J142" s="1">
        <f>IFERROR(VLOOKUP(D142,Event_Master!B:E,4,FALSE),1)</f>
        <v>1.3</v>
      </c>
      <c r="K142" s="1">
        <f t="shared" si="12"/>
        <v>0</v>
      </c>
      <c r="L142" s="1">
        <f t="shared" si="13"/>
        <v>10</v>
      </c>
    </row>
    <row r="143" spans="1:12">
      <c r="A143" s="8">
        <v>46359</v>
      </c>
      <c r="B143" s="21">
        <v>457430</v>
      </c>
      <c r="C143" s="20" t="s">
        <v>14</v>
      </c>
      <c r="D143" s="1" t="s">
        <v>181</v>
      </c>
      <c r="E143" s="1" t="s">
        <v>210</v>
      </c>
      <c r="F143" s="1" t="s">
        <v>210</v>
      </c>
      <c r="H143" s="1">
        <f t="shared" si="10"/>
        <v>10</v>
      </c>
      <c r="I143" s="1">
        <f t="shared" si="11"/>
        <v>0</v>
      </c>
      <c r="J143" s="1">
        <f>IFERROR(VLOOKUP(D143,Event_Master!B:E,4,FALSE),1)</f>
        <v>1.3</v>
      </c>
      <c r="K143" s="1">
        <f t="shared" si="12"/>
        <v>0</v>
      </c>
      <c r="L143" s="1">
        <f t="shared" si="13"/>
        <v>10</v>
      </c>
    </row>
    <row r="144" spans="1:12">
      <c r="A144" s="8">
        <v>46359</v>
      </c>
      <c r="B144" s="20">
        <v>484877</v>
      </c>
      <c r="C144" s="20" t="s">
        <v>11</v>
      </c>
      <c r="D144" s="1" t="s">
        <v>181</v>
      </c>
      <c r="E144" s="1" t="s">
        <v>210</v>
      </c>
      <c r="F144" s="1" t="s">
        <v>210</v>
      </c>
      <c r="H144" s="1">
        <f t="shared" si="10"/>
        <v>10</v>
      </c>
      <c r="I144" s="1">
        <f t="shared" si="11"/>
        <v>0</v>
      </c>
      <c r="J144" s="1">
        <f>IFERROR(VLOOKUP(D144,Event_Master!B:E,4,FALSE),1)</f>
        <v>1.3</v>
      </c>
      <c r="K144" s="1">
        <f t="shared" si="12"/>
        <v>0</v>
      </c>
      <c r="L144" s="1">
        <f t="shared" si="13"/>
        <v>10</v>
      </c>
    </row>
    <row r="145" spans="1:12">
      <c r="A145" s="8">
        <v>46359</v>
      </c>
      <c r="B145" s="20">
        <v>452059</v>
      </c>
      <c r="C145" s="20" t="s">
        <v>143</v>
      </c>
      <c r="D145" s="1" t="s">
        <v>181</v>
      </c>
      <c r="E145" s="1" t="s">
        <v>210</v>
      </c>
      <c r="F145" s="1" t="s">
        <v>210</v>
      </c>
      <c r="H145" s="1">
        <f t="shared" si="10"/>
        <v>10</v>
      </c>
      <c r="I145" s="1">
        <f t="shared" si="11"/>
        <v>0</v>
      </c>
      <c r="J145" s="1">
        <f>IFERROR(VLOOKUP(D145,Event_Master!B:E,4,FALSE),1)</f>
        <v>1.3</v>
      </c>
      <c r="K145" s="1">
        <f t="shared" si="12"/>
        <v>0</v>
      </c>
      <c r="L145" s="1">
        <f t="shared" si="13"/>
        <v>10</v>
      </c>
    </row>
    <row r="146" spans="1:12">
      <c r="A146" s="8">
        <v>46359</v>
      </c>
      <c r="B146" s="20">
        <v>450256</v>
      </c>
      <c r="C146" s="20" t="s">
        <v>215</v>
      </c>
      <c r="D146" s="1" t="s">
        <v>181</v>
      </c>
      <c r="E146" s="1" t="s">
        <v>210</v>
      </c>
      <c r="F146" s="1" t="s">
        <v>210</v>
      </c>
      <c r="H146" s="1">
        <f t="shared" si="10"/>
        <v>10</v>
      </c>
      <c r="I146" s="1">
        <f t="shared" si="11"/>
        <v>0</v>
      </c>
      <c r="J146" s="1">
        <f>IFERROR(VLOOKUP(D146,Event_Master!B:E,4,FALSE),1)</f>
        <v>1.3</v>
      </c>
      <c r="K146" s="1">
        <f t="shared" si="12"/>
        <v>0</v>
      </c>
      <c r="L146" s="1">
        <f t="shared" si="13"/>
        <v>10</v>
      </c>
    </row>
    <row r="147" spans="1:12">
      <c r="A147" s="8">
        <v>46359</v>
      </c>
      <c r="B147" s="20">
        <v>465181</v>
      </c>
      <c r="C147" s="20" t="s">
        <v>8</v>
      </c>
      <c r="D147" s="1" t="s">
        <v>181</v>
      </c>
      <c r="E147" s="1" t="s">
        <v>210</v>
      </c>
      <c r="F147" s="1" t="s">
        <v>210</v>
      </c>
      <c r="H147" s="1">
        <f t="shared" si="10"/>
        <v>10</v>
      </c>
      <c r="I147" s="1">
        <f t="shared" si="11"/>
        <v>0</v>
      </c>
      <c r="J147" s="1">
        <f>IFERROR(VLOOKUP(D147,Event_Master!B:E,4,FALSE),1)</f>
        <v>1.3</v>
      </c>
      <c r="K147" s="1">
        <f t="shared" si="12"/>
        <v>0</v>
      </c>
      <c r="L147" s="1">
        <f t="shared" si="13"/>
        <v>10</v>
      </c>
    </row>
    <row r="148" spans="1:12">
      <c r="A148" s="8">
        <v>46359</v>
      </c>
      <c r="B148" s="20">
        <v>700216</v>
      </c>
      <c r="C148" s="20" t="s">
        <v>152</v>
      </c>
      <c r="D148" s="1" t="s">
        <v>181</v>
      </c>
      <c r="E148" s="1" t="s">
        <v>210</v>
      </c>
      <c r="F148" s="1" t="s">
        <v>210</v>
      </c>
      <c r="H148" s="1">
        <f t="shared" si="10"/>
        <v>10</v>
      </c>
      <c r="I148" s="1">
        <f t="shared" si="11"/>
        <v>0</v>
      </c>
      <c r="J148" s="1">
        <f>IFERROR(VLOOKUP(D148,Event_Master!B:E,4,FALSE),1)</f>
        <v>1.3</v>
      </c>
      <c r="K148" s="1">
        <f t="shared" si="12"/>
        <v>0</v>
      </c>
      <c r="L148" s="1">
        <f t="shared" si="13"/>
        <v>10</v>
      </c>
    </row>
    <row r="149" spans="1:12">
      <c r="A149" s="8">
        <v>46359</v>
      </c>
      <c r="B149" s="20">
        <v>434518</v>
      </c>
      <c r="C149" s="20" t="s">
        <v>9</v>
      </c>
      <c r="D149" s="1" t="s">
        <v>181</v>
      </c>
      <c r="E149" s="1" t="s">
        <v>210</v>
      </c>
      <c r="F149" s="1" t="s">
        <v>210</v>
      </c>
      <c r="H149" s="1">
        <f t="shared" si="10"/>
        <v>10</v>
      </c>
      <c r="I149" s="1">
        <f t="shared" si="11"/>
        <v>0</v>
      </c>
      <c r="J149" s="1">
        <f>IFERROR(VLOOKUP(D149,Event_Master!B:E,4,FALSE),1)</f>
        <v>1.3</v>
      </c>
      <c r="K149" s="1">
        <f t="shared" si="12"/>
        <v>0</v>
      </c>
      <c r="L149" s="1">
        <f t="shared" si="13"/>
        <v>10</v>
      </c>
    </row>
    <row r="150" spans="1:12">
      <c r="A150" s="8">
        <v>46359</v>
      </c>
      <c r="B150" s="20">
        <v>465255</v>
      </c>
      <c r="C150" s="20" t="s">
        <v>86</v>
      </c>
      <c r="D150" s="1" t="s">
        <v>181</v>
      </c>
      <c r="E150" s="1" t="s">
        <v>210</v>
      </c>
      <c r="F150" s="1" t="s">
        <v>210</v>
      </c>
      <c r="H150" s="1">
        <f t="shared" si="10"/>
        <v>10</v>
      </c>
      <c r="I150" s="1">
        <f t="shared" si="11"/>
        <v>0</v>
      </c>
      <c r="J150" s="1">
        <f>IFERROR(VLOOKUP(D150,Event_Master!B:E,4,FALSE),1)</f>
        <v>1.3</v>
      </c>
      <c r="K150" s="1">
        <f t="shared" si="12"/>
        <v>0</v>
      </c>
      <c r="L150" s="1">
        <f t="shared" si="13"/>
        <v>10</v>
      </c>
    </row>
    <row r="151" spans="1:12">
      <c r="A151" s="8">
        <v>46359</v>
      </c>
      <c r="B151" s="20">
        <v>430977</v>
      </c>
      <c r="C151" s="20" t="s">
        <v>237</v>
      </c>
      <c r="D151" s="1" t="s">
        <v>181</v>
      </c>
      <c r="E151" s="1" t="s">
        <v>210</v>
      </c>
      <c r="F151" s="1" t="s">
        <v>210</v>
      </c>
      <c r="H151" s="1">
        <f t="shared" si="10"/>
        <v>10</v>
      </c>
      <c r="I151" s="1">
        <f t="shared" si="11"/>
        <v>0</v>
      </c>
      <c r="J151" s="1">
        <f>IFERROR(VLOOKUP(D151,Event_Master!B:E,4,FALSE),1)</f>
        <v>1.3</v>
      </c>
      <c r="K151" s="1">
        <f t="shared" si="12"/>
        <v>0</v>
      </c>
      <c r="L151" s="1">
        <f t="shared" si="13"/>
        <v>10</v>
      </c>
    </row>
    <row r="152" spans="1:12">
      <c r="A152" s="8">
        <v>46359</v>
      </c>
      <c r="B152" s="20">
        <v>438679</v>
      </c>
      <c r="C152" s="20" t="s">
        <v>46</v>
      </c>
      <c r="D152" s="1" t="s">
        <v>181</v>
      </c>
      <c r="E152" s="1" t="s">
        <v>210</v>
      </c>
      <c r="F152" s="1" t="s">
        <v>210</v>
      </c>
      <c r="H152" s="1">
        <f t="shared" si="10"/>
        <v>10</v>
      </c>
      <c r="I152" s="1">
        <f t="shared" si="11"/>
        <v>0</v>
      </c>
      <c r="J152" s="1">
        <f>IFERROR(VLOOKUP(D152,Event_Master!B:E,4,FALSE),1)</f>
        <v>1.3</v>
      </c>
      <c r="K152" s="1">
        <f t="shared" si="12"/>
        <v>0</v>
      </c>
      <c r="L152" s="1">
        <f t="shared" si="13"/>
        <v>10</v>
      </c>
    </row>
    <row r="153" spans="1:12">
      <c r="A153" s="8">
        <v>46359</v>
      </c>
      <c r="B153" s="20">
        <v>396485</v>
      </c>
      <c r="C153" s="20" t="s">
        <v>102</v>
      </c>
      <c r="D153" s="1" t="s">
        <v>181</v>
      </c>
      <c r="E153" s="1" t="s">
        <v>210</v>
      </c>
      <c r="F153" s="1" t="s">
        <v>210</v>
      </c>
      <c r="H153" s="1">
        <f t="shared" si="10"/>
        <v>10</v>
      </c>
      <c r="I153" s="1">
        <f t="shared" si="11"/>
        <v>0</v>
      </c>
      <c r="J153" s="1">
        <f>IFERROR(VLOOKUP(D153,Event_Master!B:E,4,FALSE),1)</f>
        <v>1.3</v>
      </c>
      <c r="K153" s="1">
        <f t="shared" si="12"/>
        <v>0</v>
      </c>
      <c r="L153" s="1">
        <f t="shared" si="13"/>
        <v>10</v>
      </c>
    </row>
    <row r="154" spans="1:12">
      <c r="A154" s="8">
        <v>46359</v>
      </c>
      <c r="B154" s="20">
        <v>452058</v>
      </c>
      <c r="C154" s="20" t="s">
        <v>71</v>
      </c>
      <c r="D154" s="1" t="s">
        <v>181</v>
      </c>
      <c r="E154" s="1" t="s">
        <v>210</v>
      </c>
      <c r="F154" s="1" t="s">
        <v>210</v>
      </c>
      <c r="H154" s="1">
        <f t="shared" si="10"/>
        <v>10</v>
      </c>
      <c r="I154" s="1">
        <f t="shared" si="11"/>
        <v>0</v>
      </c>
      <c r="J154" s="1">
        <f>IFERROR(VLOOKUP(D154,Event_Master!B:E,4,FALSE),1)</f>
        <v>1.3</v>
      </c>
      <c r="K154" s="1">
        <f t="shared" si="12"/>
        <v>0</v>
      </c>
      <c r="L154" s="1">
        <f t="shared" si="13"/>
        <v>10</v>
      </c>
    </row>
    <row r="155" spans="1:12">
      <c r="A155" s="8">
        <v>46359</v>
      </c>
      <c r="B155" s="20">
        <v>450437</v>
      </c>
      <c r="C155" s="20" t="s">
        <v>238</v>
      </c>
      <c r="D155" s="1" t="s">
        <v>181</v>
      </c>
      <c r="E155" s="1" t="s">
        <v>210</v>
      </c>
      <c r="F155" s="1" t="s">
        <v>210</v>
      </c>
      <c r="H155" s="1">
        <f t="shared" si="10"/>
        <v>10</v>
      </c>
      <c r="I155" s="1">
        <f t="shared" si="11"/>
        <v>0</v>
      </c>
      <c r="J155" s="1">
        <f>IFERROR(VLOOKUP(D155,Event_Master!B:E,4,FALSE),1)</f>
        <v>1.3</v>
      </c>
      <c r="K155" s="1">
        <f t="shared" si="12"/>
        <v>0</v>
      </c>
      <c r="L155" s="1">
        <f t="shared" si="13"/>
        <v>10</v>
      </c>
    </row>
    <row r="156" spans="1:12">
      <c r="A156" s="8">
        <v>46359</v>
      </c>
      <c r="B156" s="20">
        <v>478270</v>
      </c>
      <c r="C156" s="20" t="s">
        <v>239</v>
      </c>
      <c r="D156" s="1" t="s">
        <v>181</v>
      </c>
      <c r="E156" s="1" t="s">
        <v>210</v>
      </c>
      <c r="F156" s="1" t="s">
        <v>210</v>
      </c>
      <c r="G156" s="1" t="s">
        <v>198</v>
      </c>
      <c r="H156" s="1">
        <f t="shared" si="10"/>
        <v>10</v>
      </c>
      <c r="I156" s="1">
        <f t="shared" si="11"/>
        <v>50</v>
      </c>
      <c r="J156" s="1">
        <f>IFERROR(VLOOKUP(D156,Event_Master!B:E,4,FALSE),1)</f>
        <v>1.3</v>
      </c>
      <c r="K156" s="1">
        <f t="shared" si="12"/>
        <v>65</v>
      </c>
      <c r="L156" s="1">
        <f t="shared" si="13"/>
        <v>75</v>
      </c>
    </row>
    <row r="157" spans="1:12">
      <c r="A157" s="8">
        <v>46359</v>
      </c>
      <c r="B157" s="20">
        <v>449890</v>
      </c>
      <c r="C157" s="20" t="s">
        <v>212</v>
      </c>
      <c r="D157" s="1" t="s">
        <v>181</v>
      </c>
      <c r="E157" s="1" t="s">
        <v>210</v>
      </c>
      <c r="F157" s="1" t="s">
        <v>210</v>
      </c>
      <c r="G157" s="1" t="s">
        <v>196</v>
      </c>
      <c r="H157" s="1">
        <f t="shared" si="10"/>
        <v>10</v>
      </c>
      <c r="I157" s="1">
        <f t="shared" si="11"/>
        <v>100</v>
      </c>
      <c r="J157" s="1">
        <f>IFERROR(VLOOKUP(D157,Event_Master!B:E,4,FALSE),1)</f>
        <v>1.3</v>
      </c>
      <c r="K157" s="1">
        <f t="shared" si="12"/>
        <v>130</v>
      </c>
      <c r="L157" s="1">
        <f t="shared" si="13"/>
        <v>140</v>
      </c>
    </row>
    <row r="158" spans="1:12">
      <c r="A158" s="8">
        <v>46359</v>
      </c>
      <c r="B158" s="20">
        <v>468456</v>
      </c>
      <c r="C158" s="20" t="s">
        <v>90</v>
      </c>
      <c r="D158" s="1" t="s">
        <v>181</v>
      </c>
      <c r="E158" s="1" t="s">
        <v>210</v>
      </c>
      <c r="F158" s="1" t="s">
        <v>210</v>
      </c>
      <c r="H158" s="1">
        <f t="shared" si="10"/>
        <v>10</v>
      </c>
      <c r="I158" s="1">
        <f t="shared" si="11"/>
        <v>0</v>
      </c>
      <c r="J158" s="1">
        <f>IFERROR(VLOOKUP(D158,Event_Master!B:E,4,FALSE),1)</f>
        <v>1.3</v>
      </c>
      <c r="K158" s="1">
        <f t="shared" si="12"/>
        <v>0</v>
      </c>
      <c r="L158" s="1">
        <f t="shared" si="13"/>
        <v>10</v>
      </c>
    </row>
    <row r="159" spans="1:12">
      <c r="A159" s="8">
        <v>46359</v>
      </c>
      <c r="B159" s="21">
        <v>452073</v>
      </c>
      <c r="C159" s="20" t="s">
        <v>64</v>
      </c>
      <c r="D159" s="1" t="s">
        <v>181</v>
      </c>
      <c r="E159" s="1" t="s">
        <v>210</v>
      </c>
      <c r="F159" s="1" t="s">
        <v>210</v>
      </c>
      <c r="H159" s="1">
        <f t="shared" si="10"/>
        <v>10</v>
      </c>
      <c r="I159" s="1">
        <f t="shared" si="11"/>
        <v>0</v>
      </c>
      <c r="J159" s="1">
        <f>IFERROR(VLOOKUP(D159,Event_Master!B:E,4,FALSE),1)</f>
        <v>1.3</v>
      </c>
      <c r="K159" s="1">
        <f t="shared" si="12"/>
        <v>0</v>
      </c>
      <c r="L159" s="1">
        <f t="shared" si="13"/>
        <v>10</v>
      </c>
    </row>
    <row r="160" spans="1:12">
      <c r="A160" s="8">
        <v>46359</v>
      </c>
      <c r="B160" s="20">
        <v>706306</v>
      </c>
      <c r="C160" s="20" t="s">
        <v>155</v>
      </c>
      <c r="D160" s="1" t="s">
        <v>181</v>
      </c>
      <c r="E160" s="1" t="s">
        <v>210</v>
      </c>
      <c r="F160" s="1" t="s">
        <v>210</v>
      </c>
      <c r="H160" s="1">
        <f t="shared" si="10"/>
        <v>10</v>
      </c>
      <c r="I160" s="1">
        <f t="shared" si="11"/>
        <v>0</v>
      </c>
      <c r="J160" s="1">
        <f>IFERROR(VLOOKUP(D160,Event_Master!B:E,4,FALSE),1)</f>
        <v>1.3</v>
      </c>
      <c r="K160" s="1">
        <f t="shared" si="12"/>
        <v>0</v>
      </c>
      <c r="L160" s="1">
        <f t="shared" si="13"/>
        <v>10</v>
      </c>
    </row>
    <row r="161" spans="1:12">
      <c r="A161" s="8">
        <v>46359</v>
      </c>
      <c r="B161" s="20">
        <v>449551</v>
      </c>
      <c r="C161" s="20" t="s">
        <v>134</v>
      </c>
      <c r="D161" s="1" t="s">
        <v>181</v>
      </c>
      <c r="E161" s="1" t="s">
        <v>210</v>
      </c>
      <c r="F161" s="1" t="s">
        <v>210</v>
      </c>
      <c r="H161" s="1">
        <f t="shared" si="10"/>
        <v>10</v>
      </c>
      <c r="I161" s="1">
        <f t="shared" si="11"/>
        <v>0</v>
      </c>
      <c r="J161" s="1">
        <f>IFERROR(VLOOKUP(D161,Event_Master!B:E,4,FALSE),1)</f>
        <v>1.3</v>
      </c>
      <c r="K161" s="1">
        <f t="shared" si="12"/>
        <v>0</v>
      </c>
      <c r="L161" s="1">
        <f t="shared" si="13"/>
        <v>10</v>
      </c>
    </row>
    <row r="162" spans="1:12">
      <c r="A162" s="8">
        <v>46359</v>
      </c>
      <c r="B162" s="20">
        <v>452799</v>
      </c>
      <c r="C162" s="20" t="s">
        <v>135</v>
      </c>
      <c r="D162" s="1" t="s">
        <v>181</v>
      </c>
      <c r="E162" s="1" t="s">
        <v>210</v>
      </c>
      <c r="F162" s="1" t="s">
        <v>210</v>
      </c>
      <c r="H162" s="1">
        <f t="shared" si="10"/>
        <v>10</v>
      </c>
      <c r="I162" s="1">
        <f t="shared" si="11"/>
        <v>0</v>
      </c>
      <c r="J162" s="1">
        <f>IFERROR(VLOOKUP(D162,Event_Master!B:E,4,FALSE),1)</f>
        <v>1.3</v>
      </c>
      <c r="K162" s="1">
        <f t="shared" si="12"/>
        <v>0</v>
      </c>
      <c r="L162" s="1">
        <f t="shared" si="13"/>
        <v>10</v>
      </c>
    </row>
    <row r="163" spans="1:12">
      <c r="A163" s="8">
        <v>46359</v>
      </c>
      <c r="B163" s="20">
        <v>453949</v>
      </c>
      <c r="C163" s="20" t="s">
        <v>48</v>
      </c>
      <c r="D163" s="1" t="s">
        <v>181</v>
      </c>
      <c r="E163" s="1" t="s">
        <v>210</v>
      </c>
      <c r="F163" s="1" t="s">
        <v>210</v>
      </c>
      <c r="H163" s="1">
        <f t="shared" si="10"/>
        <v>10</v>
      </c>
      <c r="I163" s="1">
        <f t="shared" si="11"/>
        <v>0</v>
      </c>
      <c r="J163" s="1">
        <f>IFERROR(VLOOKUP(D163,Event_Master!B:E,4,FALSE),1)</f>
        <v>1.3</v>
      </c>
      <c r="K163" s="1">
        <f t="shared" si="12"/>
        <v>0</v>
      </c>
      <c r="L163" s="1">
        <f t="shared" si="13"/>
        <v>10</v>
      </c>
    </row>
    <row r="164" spans="1:12">
      <c r="A164" s="8">
        <v>46359</v>
      </c>
      <c r="B164" s="20">
        <v>436468</v>
      </c>
      <c r="C164" s="20" t="s">
        <v>41</v>
      </c>
      <c r="D164" s="1" t="s">
        <v>181</v>
      </c>
      <c r="E164" s="1" t="s">
        <v>210</v>
      </c>
      <c r="F164" s="1" t="s">
        <v>210</v>
      </c>
      <c r="H164" s="1">
        <f t="shared" si="10"/>
        <v>10</v>
      </c>
      <c r="I164" s="1">
        <f t="shared" si="11"/>
        <v>0</v>
      </c>
      <c r="J164" s="1">
        <f>IFERROR(VLOOKUP(D164,Event_Master!B:E,4,FALSE),1)</f>
        <v>1.3</v>
      </c>
      <c r="K164" s="1">
        <f t="shared" si="12"/>
        <v>0</v>
      </c>
      <c r="L164" s="1">
        <f t="shared" si="13"/>
        <v>10</v>
      </c>
    </row>
    <row r="165" spans="1:12">
      <c r="A165" s="8">
        <v>46359</v>
      </c>
      <c r="B165" s="20">
        <v>458702</v>
      </c>
      <c r="C165" s="20" t="s">
        <v>240</v>
      </c>
      <c r="D165" s="1" t="s">
        <v>181</v>
      </c>
      <c r="E165" s="1" t="s">
        <v>210</v>
      </c>
      <c r="F165" s="1" t="s">
        <v>210</v>
      </c>
      <c r="H165" s="1">
        <f t="shared" si="10"/>
        <v>10</v>
      </c>
      <c r="I165" s="1">
        <f t="shared" si="11"/>
        <v>0</v>
      </c>
      <c r="J165" s="1">
        <f>IFERROR(VLOOKUP(D165,Event_Master!B:E,4,FALSE),1)</f>
        <v>1.3</v>
      </c>
      <c r="K165" s="1">
        <f t="shared" si="12"/>
        <v>0</v>
      </c>
      <c r="L165" s="1">
        <f t="shared" si="13"/>
        <v>10</v>
      </c>
    </row>
    <row r="166" spans="1:12">
      <c r="A166" s="8">
        <v>46359</v>
      </c>
      <c r="B166" s="20">
        <v>486309</v>
      </c>
      <c r="C166" s="20" t="s">
        <v>60</v>
      </c>
      <c r="D166" s="1" t="s">
        <v>181</v>
      </c>
      <c r="E166" s="1" t="s">
        <v>210</v>
      </c>
      <c r="F166" s="1" t="s">
        <v>210</v>
      </c>
      <c r="H166" s="1">
        <f t="shared" si="10"/>
        <v>10</v>
      </c>
      <c r="I166" s="1">
        <f t="shared" si="11"/>
        <v>0</v>
      </c>
      <c r="J166" s="1">
        <f>IFERROR(VLOOKUP(D166,Event_Master!B:E,4,FALSE),1)</f>
        <v>1.3</v>
      </c>
      <c r="K166" s="1">
        <f t="shared" si="12"/>
        <v>0</v>
      </c>
      <c r="L166" s="1">
        <f t="shared" ref="L166:L200" si="14">K166+H166</f>
        <v>10</v>
      </c>
    </row>
    <row r="167" spans="1:12">
      <c r="A167" s="8">
        <v>46359</v>
      </c>
      <c r="B167" s="20">
        <v>452075</v>
      </c>
      <c r="C167" s="20" t="s">
        <v>72</v>
      </c>
      <c r="D167" s="1" t="s">
        <v>181</v>
      </c>
      <c r="E167" s="1" t="s">
        <v>210</v>
      </c>
      <c r="F167" s="1" t="s">
        <v>210</v>
      </c>
      <c r="H167" s="1">
        <f t="shared" si="10"/>
        <v>10</v>
      </c>
      <c r="I167" s="1">
        <f t="shared" si="11"/>
        <v>0</v>
      </c>
      <c r="J167" s="1">
        <f>IFERROR(VLOOKUP(D167,Event_Master!B:E,4,FALSE),1)</f>
        <v>1.3</v>
      </c>
      <c r="K167" s="1">
        <f t="shared" si="12"/>
        <v>0</v>
      </c>
      <c r="L167" s="1">
        <f t="shared" si="14"/>
        <v>10</v>
      </c>
    </row>
    <row r="168" spans="1:12">
      <c r="A168" s="8">
        <v>46359</v>
      </c>
      <c r="B168" s="20">
        <v>452056</v>
      </c>
      <c r="C168" s="20" t="s">
        <v>241</v>
      </c>
      <c r="D168" s="1" t="s">
        <v>181</v>
      </c>
      <c r="E168" s="1" t="s">
        <v>210</v>
      </c>
      <c r="F168" s="1" t="s">
        <v>210</v>
      </c>
      <c r="H168" s="1">
        <f t="shared" si="10"/>
        <v>10</v>
      </c>
      <c r="I168" s="1">
        <f t="shared" si="11"/>
        <v>0</v>
      </c>
      <c r="J168" s="1">
        <f>IFERROR(VLOOKUP(D168,Event_Master!B:E,4,FALSE),1)</f>
        <v>1.3</v>
      </c>
      <c r="K168" s="1">
        <f t="shared" si="12"/>
        <v>0</v>
      </c>
      <c r="L168" s="1">
        <f t="shared" si="14"/>
        <v>10</v>
      </c>
    </row>
    <row r="169" spans="1:12">
      <c r="A169" s="8">
        <v>46359</v>
      </c>
      <c r="B169" s="20">
        <v>456091</v>
      </c>
      <c r="C169" s="20" t="s">
        <v>242</v>
      </c>
      <c r="D169" s="1" t="s">
        <v>181</v>
      </c>
      <c r="E169" s="1" t="s">
        <v>210</v>
      </c>
      <c r="F169" s="1" t="s">
        <v>210</v>
      </c>
      <c r="G169" s="1" t="s">
        <v>197</v>
      </c>
      <c r="H169" s="1">
        <f t="shared" si="10"/>
        <v>10</v>
      </c>
      <c r="I169" s="1">
        <f t="shared" si="11"/>
        <v>70</v>
      </c>
      <c r="J169" s="1">
        <f>IFERROR(VLOOKUP(D169,Event_Master!B:E,4,FALSE),1)</f>
        <v>1.3</v>
      </c>
      <c r="K169" s="1">
        <f t="shared" si="12"/>
        <v>91</v>
      </c>
      <c r="L169" s="1">
        <f t="shared" si="14"/>
        <v>101</v>
      </c>
    </row>
    <row r="170" spans="1:12">
      <c r="A170" s="8">
        <v>46359</v>
      </c>
      <c r="B170" s="20">
        <v>466167</v>
      </c>
      <c r="C170" s="20" t="s">
        <v>243</v>
      </c>
      <c r="D170" s="1" t="s">
        <v>181</v>
      </c>
      <c r="E170" s="1" t="s">
        <v>210</v>
      </c>
      <c r="F170" s="1" t="s">
        <v>210</v>
      </c>
      <c r="H170" s="1">
        <f t="shared" si="10"/>
        <v>10</v>
      </c>
      <c r="I170" s="1">
        <f t="shared" si="11"/>
        <v>0</v>
      </c>
      <c r="J170" s="1">
        <f>IFERROR(VLOOKUP(D170,Event_Master!B:E,4,FALSE),1)</f>
        <v>1.3</v>
      </c>
      <c r="K170" s="1">
        <f t="shared" si="12"/>
        <v>0</v>
      </c>
      <c r="L170" s="1">
        <f t="shared" si="14"/>
        <v>10</v>
      </c>
    </row>
    <row r="171" spans="1:12">
      <c r="A171" s="8">
        <v>46359</v>
      </c>
      <c r="B171" s="20">
        <v>464500</v>
      </c>
      <c r="C171" s="20" t="s">
        <v>31</v>
      </c>
      <c r="D171" s="1" t="s">
        <v>181</v>
      </c>
      <c r="E171" s="1" t="s">
        <v>210</v>
      </c>
      <c r="F171" s="1" t="s">
        <v>210</v>
      </c>
      <c r="H171" s="1">
        <f t="shared" si="10"/>
        <v>10</v>
      </c>
      <c r="I171" s="1">
        <f t="shared" si="11"/>
        <v>0</v>
      </c>
      <c r="J171" s="1">
        <f>IFERROR(VLOOKUP(D171,Event_Master!B:E,4,FALSE),1)</f>
        <v>1.3</v>
      </c>
      <c r="K171" s="1">
        <f t="shared" si="12"/>
        <v>0</v>
      </c>
      <c r="L171" s="1">
        <f t="shared" si="14"/>
        <v>10</v>
      </c>
    </row>
    <row r="172" spans="1:12">
      <c r="A172" s="8">
        <v>46359</v>
      </c>
      <c r="B172" s="20">
        <v>478308</v>
      </c>
      <c r="C172" s="20" t="s">
        <v>244</v>
      </c>
      <c r="D172" s="1" t="s">
        <v>181</v>
      </c>
      <c r="E172" s="1" t="s">
        <v>210</v>
      </c>
      <c r="F172" s="1" t="s">
        <v>210</v>
      </c>
      <c r="H172" s="1">
        <f t="shared" si="10"/>
        <v>10</v>
      </c>
      <c r="I172" s="1">
        <f t="shared" si="11"/>
        <v>0</v>
      </c>
      <c r="J172" s="1">
        <f>IFERROR(VLOOKUP(D172,Event_Master!B:E,4,FALSE),1)</f>
        <v>1.3</v>
      </c>
      <c r="K172" s="1">
        <f t="shared" si="12"/>
        <v>0</v>
      </c>
      <c r="L172" s="1">
        <f t="shared" si="14"/>
        <v>10</v>
      </c>
    </row>
    <row r="173" spans="1:12">
      <c r="A173" s="8">
        <v>46359</v>
      </c>
      <c r="B173" s="20">
        <v>427154</v>
      </c>
      <c r="C173" s="20" t="s">
        <v>151</v>
      </c>
      <c r="D173" s="1" t="s">
        <v>181</v>
      </c>
      <c r="E173" s="1" t="s">
        <v>210</v>
      </c>
      <c r="F173" s="1" t="s">
        <v>210</v>
      </c>
      <c r="H173" s="1">
        <f t="shared" si="10"/>
        <v>10</v>
      </c>
      <c r="I173" s="1">
        <f t="shared" si="11"/>
        <v>0</v>
      </c>
      <c r="J173" s="1">
        <f>IFERROR(VLOOKUP(D173,Event_Master!B:E,4,FALSE),1)</f>
        <v>1.3</v>
      </c>
      <c r="K173" s="1">
        <f t="shared" si="12"/>
        <v>0</v>
      </c>
      <c r="L173" s="1">
        <f t="shared" si="14"/>
        <v>10</v>
      </c>
    </row>
    <row r="174" spans="1:12">
      <c r="A174" s="8">
        <v>46359</v>
      </c>
      <c r="B174" s="20">
        <v>410040</v>
      </c>
      <c r="C174" s="20" t="s">
        <v>13</v>
      </c>
      <c r="D174" s="1" t="s">
        <v>181</v>
      </c>
      <c r="E174" s="1" t="s">
        <v>210</v>
      </c>
      <c r="F174" s="1" t="s">
        <v>210</v>
      </c>
      <c r="H174" s="1">
        <f t="shared" si="10"/>
        <v>10</v>
      </c>
      <c r="I174" s="1">
        <f t="shared" si="11"/>
        <v>0</v>
      </c>
      <c r="J174" s="1">
        <f>IFERROR(VLOOKUP(D174,Event_Master!B:E,4,FALSE),1)</f>
        <v>1.3</v>
      </c>
      <c r="K174" s="1">
        <f t="shared" si="12"/>
        <v>0</v>
      </c>
      <c r="L174" s="1">
        <f t="shared" si="14"/>
        <v>10</v>
      </c>
    </row>
    <row r="175" spans="1:12">
      <c r="A175" s="8">
        <v>46359</v>
      </c>
      <c r="B175" s="20">
        <v>423859</v>
      </c>
      <c r="C175" s="20" t="s">
        <v>245</v>
      </c>
      <c r="D175" s="1" t="s">
        <v>181</v>
      </c>
      <c r="E175" s="1" t="s">
        <v>210</v>
      </c>
      <c r="F175" s="1" t="s">
        <v>210</v>
      </c>
      <c r="H175" s="1">
        <f t="shared" si="10"/>
        <v>10</v>
      </c>
      <c r="I175" s="1">
        <f t="shared" si="11"/>
        <v>0</v>
      </c>
      <c r="J175" s="1">
        <f>IFERROR(VLOOKUP(D175,Event_Master!B:E,4,FALSE),1)</f>
        <v>1.3</v>
      </c>
      <c r="K175" s="1">
        <f t="shared" si="12"/>
        <v>0</v>
      </c>
      <c r="L175" s="1">
        <f t="shared" si="14"/>
        <v>10</v>
      </c>
    </row>
    <row r="176" spans="1:12">
      <c r="A176" s="8">
        <v>46359</v>
      </c>
      <c r="B176" s="20">
        <v>712428</v>
      </c>
      <c r="C176" s="20" t="s">
        <v>246</v>
      </c>
      <c r="D176" s="1" t="s">
        <v>181</v>
      </c>
      <c r="E176" s="1" t="s">
        <v>210</v>
      </c>
      <c r="F176" s="1" t="s">
        <v>210</v>
      </c>
      <c r="H176" s="1">
        <f t="shared" si="10"/>
        <v>10</v>
      </c>
      <c r="I176" s="1">
        <f t="shared" si="11"/>
        <v>0</v>
      </c>
      <c r="J176" s="1">
        <f>IFERROR(VLOOKUP(D176,Event_Master!B:E,4,FALSE),1)</f>
        <v>1.3</v>
      </c>
      <c r="K176" s="1">
        <f t="shared" si="12"/>
        <v>0</v>
      </c>
      <c r="L176" s="1">
        <f t="shared" si="14"/>
        <v>10</v>
      </c>
    </row>
    <row r="177" spans="1:12">
      <c r="A177" s="8">
        <v>46359</v>
      </c>
      <c r="B177" s="20">
        <v>465254</v>
      </c>
      <c r="C177" s="20" t="s">
        <v>247</v>
      </c>
      <c r="D177" s="1" t="s">
        <v>181</v>
      </c>
      <c r="E177" s="1" t="s">
        <v>210</v>
      </c>
      <c r="F177" s="1" t="s">
        <v>210</v>
      </c>
      <c r="H177" s="1">
        <f t="shared" si="10"/>
        <v>10</v>
      </c>
      <c r="I177" s="1">
        <f t="shared" si="11"/>
        <v>0</v>
      </c>
      <c r="J177" s="1">
        <f>IFERROR(VLOOKUP(D177,Event_Master!B:E,4,FALSE),1)</f>
        <v>1.3</v>
      </c>
      <c r="K177" s="1">
        <f t="shared" si="12"/>
        <v>0</v>
      </c>
      <c r="L177" s="1">
        <f t="shared" si="14"/>
        <v>10</v>
      </c>
    </row>
    <row r="178" spans="1:12">
      <c r="A178" s="8">
        <v>46359</v>
      </c>
      <c r="B178" s="20">
        <v>464500</v>
      </c>
      <c r="C178" s="20" t="s">
        <v>31</v>
      </c>
      <c r="D178" s="1" t="s">
        <v>187</v>
      </c>
      <c r="E178" s="1" t="s">
        <v>210</v>
      </c>
      <c r="F178" s="1" t="s">
        <v>210</v>
      </c>
      <c r="H178" s="1">
        <f t="shared" si="10"/>
        <v>10</v>
      </c>
      <c r="I178" s="1">
        <f t="shared" si="11"/>
        <v>0</v>
      </c>
      <c r="J178" s="1">
        <f>IFERROR(VLOOKUP(D178,Event_Master!B:E,4,FALSE),1)</f>
        <v>1.5</v>
      </c>
      <c r="K178" s="1">
        <f t="shared" si="12"/>
        <v>0</v>
      </c>
      <c r="L178" s="1">
        <f t="shared" si="14"/>
        <v>10</v>
      </c>
    </row>
    <row r="179" spans="1:12">
      <c r="A179" s="8">
        <v>46359</v>
      </c>
      <c r="B179" s="20">
        <v>448882</v>
      </c>
      <c r="C179" s="20" t="s">
        <v>47</v>
      </c>
      <c r="D179" s="1" t="s">
        <v>187</v>
      </c>
      <c r="E179" s="1" t="s">
        <v>210</v>
      </c>
      <c r="F179" s="1" t="s">
        <v>210</v>
      </c>
      <c r="G179" s="1" t="s">
        <v>197</v>
      </c>
      <c r="H179" s="1">
        <f t="shared" si="10"/>
        <v>10</v>
      </c>
      <c r="I179" s="1">
        <f t="shared" si="11"/>
        <v>70</v>
      </c>
      <c r="J179" s="1">
        <f>IFERROR(VLOOKUP(D179,Event_Master!B:E,4,FALSE),1)</f>
        <v>1.5</v>
      </c>
      <c r="K179" s="1">
        <f t="shared" si="12"/>
        <v>105</v>
      </c>
      <c r="L179" s="1">
        <f t="shared" si="14"/>
        <v>115</v>
      </c>
    </row>
    <row r="180" spans="1:12">
      <c r="A180" s="8">
        <v>46359</v>
      </c>
      <c r="B180" s="20">
        <v>464188</v>
      </c>
      <c r="C180" s="20" t="s">
        <v>23</v>
      </c>
      <c r="D180" s="1" t="s">
        <v>187</v>
      </c>
      <c r="E180" s="1" t="s">
        <v>210</v>
      </c>
      <c r="F180" s="1" t="s">
        <v>210</v>
      </c>
      <c r="G180" s="1" t="s">
        <v>196</v>
      </c>
      <c r="H180" s="1">
        <f t="shared" si="10"/>
        <v>10</v>
      </c>
      <c r="I180" s="1">
        <f t="shared" si="11"/>
        <v>100</v>
      </c>
      <c r="J180" s="1">
        <f>IFERROR(VLOOKUP(D180,Event_Master!B:E,4,FALSE),1)</f>
        <v>1.5</v>
      </c>
      <c r="K180" s="1">
        <f t="shared" si="12"/>
        <v>150</v>
      </c>
      <c r="L180" s="1">
        <f t="shared" si="14"/>
        <v>160</v>
      </c>
    </row>
    <row r="181" spans="1:12">
      <c r="A181" s="8">
        <v>46359</v>
      </c>
      <c r="B181" s="20">
        <v>424332</v>
      </c>
      <c r="C181" s="20" t="s">
        <v>35</v>
      </c>
      <c r="D181" s="1" t="s">
        <v>187</v>
      </c>
      <c r="E181" s="1" t="s">
        <v>210</v>
      </c>
      <c r="F181" s="1" t="s">
        <v>210</v>
      </c>
      <c r="H181" s="1">
        <f t="shared" si="10"/>
        <v>10</v>
      </c>
      <c r="I181" s="1">
        <f t="shared" si="11"/>
        <v>0</v>
      </c>
      <c r="J181" s="1">
        <f>IFERROR(VLOOKUP(D181,Event_Master!B:E,4,FALSE),1)</f>
        <v>1.5</v>
      </c>
      <c r="K181" s="1">
        <f t="shared" si="12"/>
        <v>0</v>
      </c>
      <c r="L181" s="1">
        <f t="shared" si="14"/>
        <v>10</v>
      </c>
    </row>
    <row r="182" spans="1:12">
      <c r="A182" s="8">
        <v>46359</v>
      </c>
      <c r="B182" s="20">
        <v>410040</v>
      </c>
      <c r="C182" s="20" t="s">
        <v>13</v>
      </c>
      <c r="D182" s="1" t="s">
        <v>187</v>
      </c>
      <c r="E182" s="1" t="s">
        <v>210</v>
      </c>
      <c r="F182" s="1" t="s">
        <v>210</v>
      </c>
      <c r="H182" s="1">
        <f t="shared" si="10"/>
        <v>10</v>
      </c>
      <c r="I182" s="1">
        <f t="shared" si="11"/>
        <v>0</v>
      </c>
      <c r="J182" s="1">
        <f>IFERROR(VLOOKUP(D182,Event_Master!B:E,4,FALSE),1)</f>
        <v>1.5</v>
      </c>
      <c r="K182" s="1">
        <f t="shared" si="12"/>
        <v>0</v>
      </c>
      <c r="L182" s="1">
        <f t="shared" si="14"/>
        <v>10</v>
      </c>
    </row>
    <row r="183" spans="1:12">
      <c r="A183" s="8">
        <v>46359</v>
      </c>
      <c r="B183" s="20">
        <v>432865</v>
      </c>
      <c r="C183" s="20" t="s">
        <v>103</v>
      </c>
      <c r="D183" s="1" t="s">
        <v>187</v>
      </c>
      <c r="E183" s="1" t="s">
        <v>210</v>
      </c>
      <c r="F183" s="1" t="s">
        <v>210</v>
      </c>
      <c r="H183" s="1">
        <f t="shared" si="10"/>
        <v>10</v>
      </c>
      <c r="I183" s="1">
        <f t="shared" si="11"/>
        <v>0</v>
      </c>
      <c r="J183" s="1">
        <f>IFERROR(VLOOKUP(D183,Event_Master!B:E,4,FALSE),1)</f>
        <v>1.5</v>
      </c>
      <c r="K183" s="1">
        <f t="shared" si="12"/>
        <v>0</v>
      </c>
      <c r="L183" s="1">
        <f t="shared" si="14"/>
        <v>10</v>
      </c>
    </row>
    <row r="184" spans="1:12">
      <c r="A184" s="8">
        <v>46359</v>
      </c>
      <c r="B184" s="20">
        <v>430977</v>
      </c>
      <c r="C184" s="20" t="s">
        <v>40</v>
      </c>
      <c r="D184" s="1" t="s">
        <v>187</v>
      </c>
      <c r="E184" s="1" t="s">
        <v>210</v>
      </c>
      <c r="F184" s="1" t="s">
        <v>210</v>
      </c>
      <c r="H184" s="1">
        <f t="shared" si="10"/>
        <v>10</v>
      </c>
      <c r="I184" s="1">
        <f t="shared" si="11"/>
        <v>0</v>
      </c>
      <c r="J184" s="1">
        <f>IFERROR(VLOOKUP(D184,Event_Master!B:E,4,FALSE),1)</f>
        <v>1.5</v>
      </c>
      <c r="K184" s="1">
        <f t="shared" si="12"/>
        <v>0</v>
      </c>
      <c r="L184" s="1">
        <f t="shared" si="14"/>
        <v>10</v>
      </c>
    </row>
    <row r="185" spans="1:12">
      <c r="A185" s="8">
        <v>46359</v>
      </c>
      <c r="B185" s="20">
        <v>478270</v>
      </c>
      <c r="C185" s="20" t="s">
        <v>248</v>
      </c>
      <c r="D185" s="1" t="s">
        <v>187</v>
      </c>
      <c r="E185" s="1" t="s">
        <v>210</v>
      </c>
      <c r="F185" s="1" t="s">
        <v>210</v>
      </c>
      <c r="G185" s="1" t="s">
        <v>197</v>
      </c>
      <c r="H185" s="1">
        <f t="shared" si="10"/>
        <v>10</v>
      </c>
      <c r="I185" s="1">
        <f t="shared" si="11"/>
        <v>70</v>
      </c>
      <c r="J185" s="1">
        <f>IFERROR(VLOOKUP(D185,Event_Master!B:E,4,FALSE),1)</f>
        <v>1.5</v>
      </c>
      <c r="K185" s="1">
        <f t="shared" si="12"/>
        <v>105</v>
      </c>
      <c r="L185" s="1">
        <f t="shared" si="14"/>
        <v>115</v>
      </c>
    </row>
    <row r="186" spans="1:12">
      <c r="A186" s="8">
        <v>46359</v>
      </c>
      <c r="B186" s="20">
        <v>440620</v>
      </c>
      <c r="C186" s="20" t="s">
        <v>133</v>
      </c>
      <c r="D186" s="1" t="s">
        <v>187</v>
      </c>
      <c r="E186" s="1" t="s">
        <v>210</v>
      </c>
      <c r="F186" s="1" t="s">
        <v>210</v>
      </c>
      <c r="G186" s="1" t="s">
        <v>196</v>
      </c>
      <c r="H186" s="1">
        <f t="shared" si="10"/>
        <v>10</v>
      </c>
      <c r="I186" s="1">
        <f t="shared" si="11"/>
        <v>100</v>
      </c>
      <c r="J186" s="1">
        <f>IFERROR(VLOOKUP(D186,Event_Master!B:E,4,FALSE),1)</f>
        <v>1.5</v>
      </c>
      <c r="K186" s="1">
        <f t="shared" si="12"/>
        <v>150</v>
      </c>
      <c r="L186" s="1">
        <f t="shared" si="14"/>
        <v>160</v>
      </c>
    </row>
    <row r="187" spans="1:12">
      <c r="A187" s="8">
        <v>46359</v>
      </c>
      <c r="B187" s="20">
        <v>463660</v>
      </c>
      <c r="C187" s="20" t="s">
        <v>10</v>
      </c>
      <c r="D187" s="1" t="s">
        <v>187</v>
      </c>
      <c r="E187" s="1" t="s">
        <v>210</v>
      </c>
      <c r="F187" s="1" t="s">
        <v>210</v>
      </c>
      <c r="H187" s="1">
        <f t="shared" si="10"/>
        <v>10</v>
      </c>
      <c r="I187" s="1">
        <f t="shared" si="11"/>
        <v>0</v>
      </c>
      <c r="J187" s="1">
        <f>IFERROR(VLOOKUP(D187,Event_Master!B:E,4,FALSE),1)</f>
        <v>1.5</v>
      </c>
      <c r="K187" s="1">
        <f t="shared" si="12"/>
        <v>0</v>
      </c>
      <c r="L187" s="1">
        <f t="shared" si="14"/>
        <v>10</v>
      </c>
    </row>
    <row r="188" spans="1:12">
      <c r="A188" s="8">
        <v>46359</v>
      </c>
      <c r="B188" s="20">
        <v>416828</v>
      </c>
      <c r="C188" s="20" t="s">
        <v>39</v>
      </c>
      <c r="D188" s="1" t="s">
        <v>187</v>
      </c>
      <c r="E188" s="1" t="s">
        <v>210</v>
      </c>
      <c r="F188" s="1" t="s">
        <v>210</v>
      </c>
      <c r="H188" s="1">
        <f t="shared" si="10"/>
        <v>10</v>
      </c>
      <c r="I188" s="1">
        <f t="shared" si="11"/>
        <v>0</v>
      </c>
      <c r="J188" s="1">
        <f>IFERROR(VLOOKUP(D188,Event_Master!B:E,4,FALSE),1)</f>
        <v>1.5</v>
      </c>
      <c r="K188" s="1">
        <f t="shared" si="12"/>
        <v>0</v>
      </c>
      <c r="L188" s="1">
        <f t="shared" si="14"/>
        <v>10</v>
      </c>
    </row>
    <row r="189" spans="1:12">
      <c r="A189" s="8">
        <v>46359</v>
      </c>
      <c r="B189" s="20">
        <v>427154</v>
      </c>
      <c r="C189" s="20" t="s">
        <v>151</v>
      </c>
      <c r="D189" s="1" t="s">
        <v>187</v>
      </c>
      <c r="E189" s="1" t="s">
        <v>210</v>
      </c>
      <c r="F189" s="1" t="s">
        <v>210</v>
      </c>
      <c r="H189" s="1">
        <f t="shared" si="10"/>
        <v>10</v>
      </c>
      <c r="I189" s="1">
        <f t="shared" si="11"/>
        <v>0</v>
      </c>
      <c r="J189" s="1">
        <f>IFERROR(VLOOKUP(D189,Event_Master!B:E,4,FALSE),1)</f>
        <v>1.5</v>
      </c>
      <c r="K189" s="1">
        <f t="shared" si="12"/>
        <v>0</v>
      </c>
      <c r="L189" s="1">
        <f t="shared" si="14"/>
        <v>10</v>
      </c>
    </row>
    <row r="190" spans="1:12">
      <c r="A190" s="8">
        <v>46359</v>
      </c>
      <c r="B190" s="20">
        <v>447836</v>
      </c>
      <c r="C190" s="20" t="s">
        <v>104</v>
      </c>
      <c r="D190" s="1" t="s">
        <v>187</v>
      </c>
      <c r="E190" s="1" t="s">
        <v>210</v>
      </c>
      <c r="F190" s="1" t="s">
        <v>210</v>
      </c>
      <c r="G190" s="1" t="s">
        <v>197</v>
      </c>
      <c r="H190" s="1">
        <f t="shared" si="10"/>
        <v>10</v>
      </c>
      <c r="I190" s="1">
        <f t="shared" si="11"/>
        <v>70</v>
      </c>
      <c r="J190" s="1">
        <f>IFERROR(VLOOKUP(D190,Event_Master!B:E,4,FALSE),1)</f>
        <v>1.5</v>
      </c>
      <c r="K190" s="1">
        <f t="shared" si="12"/>
        <v>105</v>
      </c>
      <c r="L190" s="1">
        <f t="shared" si="14"/>
        <v>115</v>
      </c>
    </row>
    <row r="191" spans="1:12">
      <c r="A191" s="8">
        <v>46359</v>
      </c>
      <c r="B191" s="20">
        <v>451509</v>
      </c>
      <c r="C191" s="20" t="s">
        <v>21</v>
      </c>
      <c r="D191" s="1" t="s">
        <v>187</v>
      </c>
      <c r="E191" s="1" t="s">
        <v>210</v>
      </c>
      <c r="F191" s="1" t="s">
        <v>210</v>
      </c>
      <c r="H191" s="1">
        <f t="shared" si="10"/>
        <v>10</v>
      </c>
      <c r="I191" s="1">
        <f t="shared" si="11"/>
        <v>0</v>
      </c>
      <c r="J191" s="1">
        <f>IFERROR(VLOOKUP(D191,Event_Master!B:E,4,FALSE),1)</f>
        <v>1.5</v>
      </c>
      <c r="K191" s="1">
        <f t="shared" si="12"/>
        <v>0</v>
      </c>
      <c r="L191" s="1">
        <f t="shared" si="14"/>
        <v>10</v>
      </c>
    </row>
    <row r="192" spans="1:12">
      <c r="A192" s="8">
        <v>46359</v>
      </c>
      <c r="B192" s="20">
        <v>451513</v>
      </c>
      <c r="C192" s="20" t="s">
        <v>50</v>
      </c>
      <c r="D192" s="1" t="s">
        <v>187</v>
      </c>
      <c r="E192" s="1" t="s">
        <v>210</v>
      </c>
      <c r="F192" s="1" t="s">
        <v>210</v>
      </c>
      <c r="H192" s="1">
        <f t="shared" si="10"/>
        <v>10</v>
      </c>
      <c r="I192" s="1">
        <f t="shared" si="11"/>
        <v>0</v>
      </c>
      <c r="J192" s="1">
        <f>IFERROR(VLOOKUP(D192,Event_Master!B:E,4,FALSE),1)</f>
        <v>1.5</v>
      </c>
      <c r="K192" s="1">
        <f t="shared" si="12"/>
        <v>0</v>
      </c>
      <c r="L192" s="1">
        <f t="shared" si="14"/>
        <v>10</v>
      </c>
    </row>
    <row r="193" spans="1:12">
      <c r="A193" s="8">
        <v>46359</v>
      </c>
      <c r="B193" s="20">
        <v>470292</v>
      </c>
      <c r="C193" s="20" t="s">
        <v>24</v>
      </c>
      <c r="D193" s="1" t="s">
        <v>187</v>
      </c>
      <c r="E193" s="1" t="s">
        <v>210</v>
      </c>
      <c r="F193" s="1" t="s">
        <v>210</v>
      </c>
      <c r="H193" s="1">
        <f t="shared" si="10"/>
        <v>10</v>
      </c>
      <c r="I193" s="1">
        <f t="shared" si="11"/>
        <v>0</v>
      </c>
      <c r="J193" s="1">
        <f>IFERROR(VLOOKUP(D193,Event_Master!B:E,4,FALSE),1)</f>
        <v>1.5</v>
      </c>
      <c r="K193" s="1">
        <f t="shared" si="12"/>
        <v>0</v>
      </c>
      <c r="L193" s="1">
        <f t="shared" si="14"/>
        <v>10</v>
      </c>
    </row>
    <row r="194" spans="1:12">
      <c r="A194" s="8">
        <v>46359</v>
      </c>
      <c r="B194" s="20">
        <v>437534</v>
      </c>
      <c r="C194" s="20" t="s">
        <v>30</v>
      </c>
      <c r="D194" s="1" t="s">
        <v>187</v>
      </c>
      <c r="E194" s="1" t="s">
        <v>210</v>
      </c>
      <c r="F194" s="1" t="s">
        <v>210</v>
      </c>
      <c r="H194" s="1">
        <f t="shared" ref="H194:H200" si="15">IF(F194="Yes",10,0)</f>
        <v>10</v>
      </c>
      <c r="I194" s="1">
        <f t="shared" si="11"/>
        <v>0</v>
      </c>
      <c r="J194" s="1">
        <f>IFERROR(VLOOKUP(D194,Event_Master!B:E,4,FALSE),1)</f>
        <v>1.5</v>
      </c>
      <c r="K194" s="1">
        <f t="shared" si="12"/>
        <v>0</v>
      </c>
      <c r="L194" s="1">
        <f t="shared" si="14"/>
        <v>10</v>
      </c>
    </row>
    <row r="195" spans="1:12">
      <c r="A195" s="8">
        <v>46359</v>
      </c>
      <c r="B195" s="20">
        <v>438679</v>
      </c>
      <c r="C195" s="20" t="s">
        <v>46</v>
      </c>
      <c r="D195" s="1" t="s">
        <v>187</v>
      </c>
      <c r="E195" s="1" t="s">
        <v>210</v>
      </c>
      <c r="F195" s="1" t="s">
        <v>210</v>
      </c>
      <c r="H195" s="1">
        <f t="shared" si="15"/>
        <v>10</v>
      </c>
      <c r="I195" s="1">
        <f t="shared" ref="I195:I200" si="16">IF(G195="Winner",100,IF(G195="Runner-up",70,IF(G195="2nd Runner-up",50,IF(G195="Semi",30,IF(G195="Quarter",20,0)))))</f>
        <v>0</v>
      </c>
      <c r="J195" s="1">
        <f>IFERROR(VLOOKUP(D195,Event_Master!B:E,4,FALSE),1)</f>
        <v>1.5</v>
      </c>
      <c r="K195" s="1">
        <f t="shared" ref="K195:K200" si="17">(I195*J195)</f>
        <v>0</v>
      </c>
      <c r="L195" s="1">
        <f t="shared" si="14"/>
        <v>10</v>
      </c>
    </row>
    <row r="196" spans="1:12">
      <c r="A196" s="8">
        <v>46359</v>
      </c>
      <c r="B196" s="20">
        <v>700216</v>
      </c>
      <c r="C196" s="20" t="s">
        <v>152</v>
      </c>
      <c r="D196" s="1" t="s">
        <v>187</v>
      </c>
      <c r="E196" s="1" t="s">
        <v>210</v>
      </c>
      <c r="F196" s="1" t="s">
        <v>210</v>
      </c>
      <c r="H196" s="1">
        <f t="shared" si="15"/>
        <v>10</v>
      </c>
      <c r="I196" s="1">
        <f t="shared" si="16"/>
        <v>0</v>
      </c>
      <c r="J196" s="1">
        <f>IFERROR(VLOOKUP(D196,Event_Master!B:E,4,FALSE),1)</f>
        <v>1.5</v>
      </c>
      <c r="K196" s="1">
        <f t="shared" si="17"/>
        <v>0</v>
      </c>
      <c r="L196" s="1">
        <f t="shared" si="14"/>
        <v>10</v>
      </c>
    </row>
    <row r="197" spans="1:12">
      <c r="A197" s="8">
        <v>46359</v>
      </c>
      <c r="B197" s="20">
        <v>452059</v>
      </c>
      <c r="C197" s="20" t="s">
        <v>143</v>
      </c>
      <c r="D197" s="1" t="s">
        <v>187</v>
      </c>
      <c r="E197" s="1" t="s">
        <v>210</v>
      </c>
      <c r="F197" s="1" t="s">
        <v>210</v>
      </c>
      <c r="H197" s="1">
        <f t="shared" si="15"/>
        <v>10</v>
      </c>
      <c r="I197" s="1">
        <f t="shared" si="16"/>
        <v>0</v>
      </c>
      <c r="J197" s="1">
        <f>IFERROR(VLOOKUP(D197,Event_Master!B:E,4,FALSE),1)</f>
        <v>1.5</v>
      </c>
      <c r="K197" s="1">
        <f t="shared" si="17"/>
        <v>0</v>
      </c>
      <c r="L197" s="1">
        <f t="shared" si="14"/>
        <v>10</v>
      </c>
    </row>
    <row r="198" spans="1:12">
      <c r="A198" s="8">
        <v>46359</v>
      </c>
      <c r="B198" s="20">
        <v>468157</v>
      </c>
      <c r="C198" s="20" t="s">
        <v>123</v>
      </c>
      <c r="D198" s="1" t="s">
        <v>187</v>
      </c>
      <c r="E198" s="1" t="s">
        <v>210</v>
      </c>
      <c r="F198" s="1" t="s">
        <v>210</v>
      </c>
      <c r="G198" s="1" t="s">
        <v>197</v>
      </c>
      <c r="H198" s="1">
        <f t="shared" si="15"/>
        <v>10</v>
      </c>
      <c r="I198" s="1">
        <f t="shared" si="16"/>
        <v>70</v>
      </c>
      <c r="J198" s="1">
        <f>IFERROR(VLOOKUP(D198,Event_Master!B:E,4,FALSE),1)</f>
        <v>1.5</v>
      </c>
      <c r="K198" s="1">
        <f t="shared" si="17"/>
        <v>105</v>
      </c>
      <c r="L198" s="1">
        <f t="shared" si="14"/>
        <v>115</v>
      </c>
    </row>
    <row r="199" spans="1:12">
      <c r="A199" s="8">
        <v>46359</v>
      </c>
      <c r="B199" s="20">
        <v>450437</v>
      </c>
      <c r="C199" s="20" t="s">
        <v>217</v>
      </c>
      <c r="D199" s="1" t="s">
        <v>187</v>
      </c>
      <c r="E199" s="1" t="s">
        <v>210</v>
      </c>
      <c r="F199" s="1" t="s">
        <v>210</v>
      </c>
      <c r="G199" s="1" t="s">
        <v>196</v>
      </c>
      <c r="H199" s="1">
        <f t="shared" si="15"/>
        <v>10</v>
      </c>
      <c r="I199" s="1">
        <f t="shared" si="16"/>
        <v>100</v>
      </c>
      <c r="J199" s="1">
        <f>IFERROR(VLOOKUP(D199,Event_Master!B:E,4,FALSE),1)</f>
        <v>1.5</v>
      </c>
      <c r="K199" s="1">
        <f t="shared" si="17"/>
        <v>150</v>
      </c>
      <c r="L199" s="1">
        <f t="shared" si="14"/>
        <v>160</v>
      </c>
    </row>
    <row r="200" spans="1:12">
      <c r="A200" s="8">
        <v>46359</v>
      </c>
      <c r="B200" s="20">
        <v>710013</v>
      </c>
      <c r="C200" s="20" t="s">
        <v>160</v>
      </c>
      <c r="D200" s="1" t="s">
        <v>187</v>
      </c>
      <c r="E200" s="1" t="s">
        <v>210</v>
      </c>
      <c r="F200" s="1" t="s">
        <v>210</v>
      </c>
      <c r="H200" s="1">
        <f t="shared" si="15"/>
        <v>10</v>
      </c>
      <c r="I200" s="1">
        <f t="shared" si="16"/>
        <v>0</v>
      </c>
      <c r="J200" s="1">
        <f>IFERROR(VLOOKUP(D200,Event_Master!B:E,4,FALSE),1)</f>
        <v>1.5</v>
      </c>
      <c r="K200" s="1">
        <f t="shared" si="17"/>
        <v>0</v>
      </c>
      <c r="L200" s="1">
        <f t="shared" si="14"/>
        <v>10</v>
      </c>
    </row>
    <row r="201" spans="1:12">
      <c r="A201" s="8">
        <v>46359</v>
      </c>
      <c r="B201" s="20">
        <v>473266</v>
      </c>
      <c r="C201" s="20" t="s">
        <v>249</v>
      </c>
      <c r="D201" s="1" t="s">
        <v>187</v>
      </c>
      <c r="E201" s="1" t="s">
        <v>210</v>
      </c>
      <c r="F201" s="1" t="s">
        <v>210</v>
      </c>
    </row>
    <row r="202" spans="1:12">
      <c r="A202" s="8">
        <v>46359</v>
      </c>
      <c r="B202" s="20">
        <v>706181</v>
      </c>
      <c r="C202" s="20" t="s">
        <v>250</v>
      </c>
      <c r="D202" s="1" t="s">
        <v>187</v>
      </c>
      <c r="E202" s="1" t="s">
        <v>210</v>
      </c>
      <c r="F202" s="1" t="s">
        <v>210</v>
      </c>
    </row>
    <row r="203" spans="1:12">
      <c r="A203" s="8">
        <v>46359</v>
      </c>
      <c r="B203" s="20">
        <v>465181</v>
      </c>
      <c r="C203" s="20" t="s">
        <v>8</v>
      </c>
      <c r="D203" s="1" t="s">
        <v>187</v>
      </c>
      <c r="E203" s="1" t="s">
        <v>210</v>
      </c>
      <c r="F203" s="1" t="s">
        <v>210</v>
      </c>
      <c r="G203" s="1" t="s">
        <v>197</v>
      </c>
    </row>
    <row r="204" spans="1:12">
      <c r="A204" s="8">
        <v>46359</v>
      </c>
      <c r="B204" s="20">
        <v>459234</v>
      </c>
      <c r="C204" s="20" t="s">
        <v>55</v>
      </c>
      <c r="D204" s="1" t="s">
        <v>187</v>
      </c>
      <c r="E204" s="1" t="s">
        <v>210</v>
      </c>
      <c r="F204" s="1" t="s">
        <v>210</v>
      </c>
      <c r="G204" s="1" t="s">
        <v>196</v>
      </c>
    </row>
    <row r="205" spans="1:12">
      <c r="A205" s="8">
        <v>46359</v>
      </c>
      <c r="B205" s="20">
        <v>452075</v>
      </c>
      <c r="C205" s="20" t="s">
        <v>72</v>
      </c>
      <c r="D205" s="1" t="s">
        <v>187</v>
      </c>
      <c r="E205" s="1" t="s">
        <v>210</v>
      </c>
      <c r="F205" s="1" t="s">
        <v>210</v>
      </c>
    </row>
    <row r="206" spans="1:12">
      <c r="A206" s="8">
        <v>46359</v>
      </c>
      <c r="B206" s="20">
        <v>712428</v>
      </c>
      <c r="C206" s="20" t="s">
        <v>163</v>
      </c>
      <c r="D206" s="1" t="s">
        <v>187</v>
      </c>
      <c r="E206" s="1" t="s">
        <v>210</v>
      </c>
      <c r="F206" s="1" t="s">
        <v>210</v>
      </c>
    </row>
    <row r="207" spans="1:12">
      <c r="A207" s="8">
        <v>46359</v>
      </c>
      <c r="B207" s="20">
        <v>467068</v>
      </c>
      <c r="C207" s="20" t="s">
        <v>87</v>
      </c>
      <c r="D207" s="1" t="s">
        <v>187</v>
      </c>
      <c r="E207" s="1" t="s">
        <v>210</v>
      </c>
      <c r="F207" s="1" t="s">
        <v>210</v>
      </c>
    </row>
    <row r="208" spans="1:12">
      <c r="A208" s="8">
        <v>46359</v>
      </c>
      <c r="B208" s="20">
        <v>449890</v>
      </c>
      <c r="C208" s="20" t="s">
        <v>212</v>
      </c>
      <c r="D208" s="1" t="s">
        <v>187</v>
      </c>
      <c r="E208" s="1" t="s">
        <v>210</v>
      </c>
      <c r="F208" s="1" t="s">
        <v>210</v>
      </c>
      <c r="G208" s="1" t="s">
        <v>197</v>
      </c>
    </row>
    <row r="209" spans="1:7">
      <c r="A209" s="8">
        <v>46359</v>
      </c>
      <c r="B209" s="20">
        <v>457795</v>
      </c>
      <c r="C209" s="20" t="s">
        <v>116</v>
      </c>
      <c r="D209" s="1" t="s">
        <v>187</v>
      </c>
      <c r="E209" s="1" t="s">
        <v>210</v>
      </c>
      <c r="F209" s="1" t="s">
        <v>210</v>
      </c>
    </row>
    <row r="210" spans="1:7">
      <c r="A210" s="8">
        <v>46359</v>
      </c>
      <c r="B210" s="20">
        <v>434518</v>
      </c>
      <c r="C210" s="20" t="s">
        <v>9</v>
      </c>
      <c r="D210" s="1" t="s">
        <v>187</v>
      </c>
      <c r="E210" s="1" t="s">
        <v>210</v>
      </c>
      <c r="F210" s="1" t="s">
        <v>210</v>
      </c>
    </row>
    <row r="211" spans="1:7">
      <c r="A211" s="8">
        <v>46359</v>
      </c>
      <c r="B211" s="20">
        <v>452057</v>
      </c>
      <c r="C211" s="20" t="s">
        <v>231</v>
      </c>
      <c r="D211" s="1" t="s">
        <v>187</v>
      </c>
      <c r="E211" s="1" t="s">
        <v>210</v>
      </c>
      <c r="F211" s="1" t="s">
        <v>210</v>
      </c>
    </row>
    <row r="212" spans="1:7">
      <c r="A212" s="8">
        <v>46359</v>
      </c>
      <c r="B212" s="20">
        <v>452799</v>
      </c>
      <c r="C212" s="20" t="s">
        <v>135</v>
      </c>
      <c r="D212" s="1" t="s">
        <v>187</v>
      </c>
      <c r="E212" s="1" t="s">
        <v>210</v>
      </c>
      <c r="F212" s="1" t="s">
        <v>210</v>
      </c>
      <c r="G212" s="1" t="s">
        <v>196</v>
      </c>
    </row>
    <row r="213" spans="1:7">
      <c r="A213" s="8">
        <v>46359</v>
      </c>
      <c r="B213" s="20">
        <v>454456</v>
      </c>
      <c r="C213" s="20" t="s">
        <v>53</v>
      </c>
      <c r="D213" s="1" t="s">
        <v>187</v>
      </c>
      <c r="E213" s="1" t="s">
        <v>210</v>
      </c>
      <c r="F213" s="1" t="s">
        <v>210</v>
      </c>
    </row>
    <row r="214" spans="1:7">
      <c r="A214" s="8">
        <v>46359</v>
      </c>
      <c r="B214" s="20">
        <v>460627</v>
      </c>
      <c r="C214" s="20" t="s">
        <v>77</v>
      </c>
      <c r="D214" s="1" t="s">
        <v>187</v>
      </c>
      <c r="E214" s="1" t="s">
        <v>210</v>
      </c>
      <c r="F214" s="1" t="s">
        <v>210</v>
      </c>
    </row>
    <row r="215" spans="1:7">
      <c r="A215" s="8">
        <v>46359</v>
      </c>
      <c r="B215" s="20">
        <v>452056</v>
      </c>
      <c r="C215" s="20" t="s">
        <v>251</v>
      </c>
      <c r="D215" s="1" t="s">
        <v>187</v>
      </c>
      <c r="E215" s="1" t="s">
        <v>210</v>
      </c>
      <c r="F215" s="1" t="s">
        <v>210</v>
      </c>
      <c r="G215" s="1" t="s">
        <v>196</v>
      </c>
    </row>
    <row r="216" spans="1:7">
      <c r="A216" s="8">
        <v>46359</v>
      </c>
      <c r="B216" s="20">
        <v>460888</v>
      </c>
      <c r="C216" s="20" t="s">
        <v>252</v>
      </c>
      <c r="D216" s="1" t="s">
        <v>187</v>
      </c>
      <c r="E216" s="1" t="s">
        <v>210</v>
      </c>
      <c r="F216" s="1" t="s">
        <v>210</v>
      </c>
    </row>
    <row r="217" spans="1:7">
      <c r="A217" s="8">
        <v>46359</v>
      </c>
      <c r="B217" s="20">
        <v>450030</v>
      </c>
      <c r="C217" s="20" t="s">
        <v>211</v>
      </c>
      <c r="D217" s="1" t="s">
        <v>187</v>
      </c>
      <c r="E217" s="1" t="s">
        <v>210</v>
      </c>
      <c r="F217" s="1" t="s">
        <v>210</v>
      </c>
    </row>
    <row r="218" spans="1:7">
      <c r="A218" s="8">
        <v>46359</v>
      </c>
      <c r="B218" s="20">
        <v>450228</v>
      </c>
      <c r="C218" s="20" t="s">
        <v>61</v>
      </c>
      <c r="D218" s="1" t="s">
        <v>187</v>
      </c>
      <c r="E218" s="1" t="s">
        <v>210</v>
      </c>
      <c r="F218" s="1" t="s">
        <v>210</v>
      </c>
    </row>
    <row r="219" spans="1:7">
      <c r="A219" s="8">
        <v>46359</v>
      </c>
      <c r="B219" s="20">
        <v>458702</v>
      </c>
      <c r="C219" s="20" t="s">
        <v>240</v>
      </c>
      <c r="D219" s="1" t="s">
        <v>187</v>
      </c>
      <c r="E219" s="1" t="s">
        <v>210</v>
      </c>
      <c r="F219" s="1" t="s">
        <v>210</v>
      </c>
      <c r="G219" s="1" t="s">
        <v>197</v>
      </c>
    </row>
    <row r="220" spans="1:7">
      <c r="A220" s="8">
        <v>46359</v>
      </c>
      <c r="B220" s="20">
        <v>467075</v>
      </c>
      <c r="C220" s="20" t="s">
        <v>85</v>
      </c>
      <c r="D220" s="1" t="s">
        <v>187</v>
      </c>
      <c r="E220" s="1" t="s">
        <v>210</v>
      </c>
      <c r="F220" s="1" t="s">
        <v>210</v>
      </c>
    </row>
    <row r="221" spans="1:7">
      <c r="A221" s="8">
        <v>46359</v>
      </c>
      <c r="B221" s="20">
        <v>466562</v>
      </c>
      <c r="C221" s="20" t="s">
        <v>121</v>
      </c>
      <c r="D221" s="1" t="s">
        <v>187</v>
      </c>
      <c r="E221" s="1" t="s">
        <v>210</v>
      </c>
      <c r="F221" s="1" t="s">
        <v>210</v>
      </c>
    </row>
    <row r="222" spans="1:7">
      <c r="A222" s="8">
        <v>46359</v>
      </c>
      <c r="B222" s="20">
        <v>452991</v>
      </c>
      <c r="C222" s="20" t="s">
        <v>229</v>
      </c>
      <c r="D222" s="1" t="s">
        <v>187</v>
      </c>
      <c r="E222" s="1" t="s">
        <v>210</v>
      </c>
      <c r="F222" s="1" t="s">
        <v>210</v>
      </c>
    </row>
    <row r="223" spans="1:7">
      <c r="A223" s="8">
        <v>46359</v>
      </c>
      <c r="B223" s="20">
        <v>468887</v>
      </c>
      <c r="C223" s="20" t="s">
        <v>146</v>
      </c>
      <c r="D223" s="1" t="s">
        <v>187</v>
      </c>
      <c r="E223" s="1" t="s">
        <v>210</v>
      </c>
      <c r="F223" s="1" t="s">
        <v>210</v>
      </c>
    </row>
    <row r="224" spans="1:7">
      <c r="A224" s="8">
        <v>46359</v>
      </c>
      <c r="B224" s="20">
        <v>486309</v>
      </c>
      <c r="C224" s="20" t="s">
        <v>60</v>
      </c>
      <c r="D224" s="1" t="s">
        <v>187</v>
      </c>
      <c r="E224" s="1" t="s">
        <v>210</v>
      </c>
      <c r="F224" s="1" t="s">
        <v>210</v>
      </c>
    </row>
    <row r="225" spans="1:7">
      <c r="A225" s="8">
        <v>46359</v>
      </c>
      <c r="B225" s="20">
        <v>450171</v>
      </c>
      <c r="C225" s="20" t="s">
        <v>141</v>
      </c>
      <c r="D225" s="1" t="s">
        <v>187</v>
      </c>
      <c r="E225" s="1" t="s">
        <v>210</v>
      </c>
      <c r="F225" s="1" t="s">
        <v>210</v>
      </c>
      <c r="G225" s="1" t="s">
        <v>196</v>
      </c>
    </row>
    <row r="226" spans="1:7">
      <c r="A226" s="8">
        <v>46359</v>
      </c>
      <c r="B226" s="20">
        <v>467519</v>
      </c>
      <c r="C226" s="20" t="s">
        <v>38</v>
      </c>
      <c r="D226" s="1" t="s">
        <v>187</v>
      </c>
      <c r="E226" s="1" t="s">
        <v>210</v>
      </c>
      <c r="F226" s="1" t="s">
        <v>210</v>
      </c>
    </row>
    <row r="227" spans="1:7">
      <c r="A227" s="8">
        <v>46359</v>
      </c>
      <c r="B227" s="20">
        <v>450224</v>
      </c>
      <c r="C227" s="20" t="s">
        <v>219</v>
      </c>
      <c r="D227" s="1" t="s">
        <v>187</v>
      </c>
      <c r="E227" s="1" t="s">
        <v>210</v>
      </c>
      <c r="F227" s="1" t="s">
        <v>210</v>
      </c>
    </row>
    <row r="228" spans="1:7">
      <c r="A228" s="8">
        <v>46359</v>
      </c>
      <c r="B228" s="20">
        <v>458749</v>
      </c>
      <c r="C228" s="20" t="s">
        <v>253</v>
      </c>
      <c r="D228" s="1" t="s">
        <v>187</v>
      </c>
      <c r="E228" s="1" t="s">
        <v>210</v>
      </c>
      <c r="F228" s="1" t="s">
        <v>210</v>
      </c>
      <c r="G228" s="1" t="s">
        <v>197</v>
      </c>
    </row>
    <row r="229" spans="1:7">
      <c r="A229" s="8">
        <v>46359</v>
      </c>
      <c r="B229" s="20">
        <v>450230</v>
      </c>
      <c r="C229" s="20" t="s">
        <v>142</v>
      </c>
      <c r="D229" s="1" t="s">
        <v>187</v>
      </c>
      <c r="E229" s="1" t="s">
        <v>210</v>
      </c>
      <c r="F229" s="1" t="s">
        <v>210</v>
      </c>
      <c r="G229" s="1" t="s">
        <v>196</v>
      </c>
    </row>
    <row r="230" spans="1:7">
      <c r="A230" s="8">
        <v>46359</v>
      </c>
      <c r="B230" s="20">
        <v>468224</v>
      </c>
      <c r="C230" s="20" t="s">
        <v>51</v>
      </c>
      <c r="D230" s="1" t="s">
        <v>187</v>
      </c>
      <c r="E230" s="1" t="s">
        <v>210</v>
      </c>
      <c r="F230" s="1" t="s">
        <v>210</v>
      </c>
    </row>
    <row r="231" spans="1:7">
      <c r="A231" s="8">
        <v>46359</v>
      </c>
      <c r="B231" s="20">
        <v>468660</v>
      </c>
      <c r="C231" s="20" t="s">
        <v>254</v>
      </c>
      <c r="D231" s="1" t="s">
        <v>187</v>
      </c>
      <c r="E231" s="1" t="s">
        <v>210</v>
      </c>
      <c r="F231" s="1" t="s">
        <v>210</v>
      </c>
    </row>
    <row r="232" spans="1:7">
      <c r="A232" s="8">
        <v>46359</v>
      </c>
      <c r="B232" s="20">
        <v>436468</v>
      </c>
      <c r="C232" s="20" t="s">
        <v>41</v>
      </c>
      <c r="D232" s="1" t="s">
        <v>187</v>
      </c>
      <c r="E232" s="1" t="s">
        <v>210</v>
      </c>
      <c r="F232" s="1" t="s">
        <v>210</v>
      </c>
    </row>
    <row r="233" spans="1:7">
      <c r="A233" s="8">
        <v>46359</v>
      </c>
      <c r="B233" s="20">
        <v>449891</v>
      </c>
      <c r="C233" s="20" t="s">
        <v>255</v>
      </c>
      <c r="D233" s="1" t="s">
        <v>187</v>
      </c>
      <c r="E233" s="1" t="s">
        <v>210</v>
      </c>
      <c r="F233" s="1" t="s">
        <v>210</v>
      </c>
    </row>
    <row r="234" spans="1:7">
      <c r="A234" s="8">
        <v>46359</v>
      </c>
      <c r="B234" s="20">
        <v>435548</v>
      </c>
      <c r="C234" s="20" t="s">
        <v>256</v>
      </c>
      <c r="D234" s="1" t="s">
        <v>187</v>
      </c>
      <c r="E234" s="1" t="s">
        <v>210</v>
      </c>
      <c r="F234" s="1" t="s">
        <v>210</v>
      </c>
    </row>
    <row r="235" spans="1:7">
      <c r="A235" s="8">
        <v>46359</v>
      </c>
      <c r="B235" s="20">
        <v>451567</v>
      </c>
      <c r="C235" s="20" t="s">
        <v>216</v>
      </c>
      <c r="D235" s="1" t="s">
        <v>187</v>
      </c>
      <c r="E235" s="1" t="s">
        <v>210</v>
      </c>
      <c r="F235" s="1" t="s">
        <v>210</v>
      </c>
    </row>
    <row r="236" spans="1:7">
      <c r="A236" s="8">
        <v>46359</v>
      </c>
      <c r="B236" s="20">
        <v>472322</v>
      </c>
      <c r="C236" s="20" t="s">
        <v>228</v>
      </c>
      <c r="D236" s="1" t="s">
        <v>187</v>
      </c>
      <c r="E236" s="1" t="s">
        <v>210</v>
      </c>
      <c r="F236" s="1" t="s">
        <v>210</v>
      </c>
    </row>
    <row r="237" spans="1:7">
      <c r="A237" s="8">
        <v>46359</v>
      </c>
      <c r="B237" s="20">
        <v>450694</v>
      </c>
      <c r="C237" s="20" t="s">
        <v>257</v>
      </c>
      <c r="D237" s="1" t="s">
        <v>187</v>
      </c>
      <c r="E237" s="1" t="s">
        <v>210</v>
      </c>
      <c r="F237" s="1" t="s">
        <v>210</v>
      </c>
    </row>
    <row r="238" spans="1:7">
      <c r="A238" s="8">
        <v>46359</v>
      </c>
      <c r="B238" s="20">
        <v>465255</v>
      </c>
      <c r="C238" s="20" t="s">
        <v>86</v>
      </c>
      <c r="D238" s="1" t="s">
        <v>187</v>
      </c>
      <c r="E238" s="1" t="s">
        <v>210</v>
      </c>
      <c r="F238" s="1" t="s">
        <v>210</v>
      </c>
    </row>
    <row r="239" spans="1:7">
      <c r="A239" s="8">
        <v>46359</v>
      </c>
      <c r="B239" s="20">
        <v>450225</v>
      </c>
      <c r="C239" s="20" t="s">
        <v>59</v>
      </c>
      <c r="D239" s="1" t="s">
        <v>187</v>
      </c>
      <c r="E239" s="1" t="s">
        <v>210</v>
      </c>
      <c r="F239" s="1" t="s">
        <v>210</v>
      </c>
    </row>
    <row r="240" spans="1:7" ht="24">
      <c r="A240" s="8">
        <v>46359</v>
      </c>
      <c r="B240" s="20">
        <v>487107</v>
      </c>
      <c r="C240" s="20" t="s">
        <v>258</v>
      </c>
      <c r="D240" s="1" t="s">
        <v>187</v>
      </c>
      <c r="E240" s="1" t="s">
        <v>210</v>
      </c>
      <c r="F240" s="1" t="s">
        <v>210</v>
      </c>
    </row>
    <row r="241" spans="1:7">
      <c r="A241" s="8">
        <v>46359</v>
      </c>
      <c r="B241" s="20">
        <v>706306</v>
      </c>
      <c r="C241" s="20" t="s">
        <v>155</v>
      </c>
      <c r="D241" s="1" t="s">
        <v>187</v>
      </c>
      <c r="E241" s="1" t="s">
        <v>210</v>
      </c>
      <c r="F241" s="1" t="s">
        <v>210</v>
      </c>
    </row>
    <row r="242" spans="1:7">
      <c r="A242" s="8">
        <v>46359</v>
      </c>
      <c r="B242" s="20">
        <v>473015</v>
      </c>
      <c r="C242" s="20" t="s">
        <v>259</v>
      </c>
      <c r="D242" s="1" t="s">
        <v>187</v>
      </c>
      <c r="E242" s="1" t="s">
        <v>210</v>
      </c>
      <c r="F242" s="1" t="s">
        <v>210</v>
      </c>
    </row>
    <row r="243" spans="1:7">
      <c r="A243" s="8">
        <v>46359</v>
      </c>
      <c r="B243" s="20">
        <v>464500</v>
      </c>
      <c r="C243" s="20" t="s">
        <v>260</v>
      </c>
      <c r="D243" s="1" t="s">
        <v>187</v>
      </c>
      <c r="E243" s="1" t="s">
        <v>210</v>
      </c>
      <c r="F243" s="1" t="s">
        <v>210</v>
      </c>
    </row>
    <row r="244" spans="1:7">
      <c r="A244" s="8">
        <v>46359</v>
      </c>
      <c r="B244" s="20">
        <v>463833</v>
      </c>
      <c r="C244" s="20" t="s">
        <v>81</v>
      </c>
      <c r="D244" s="1" t="s">
        <v>187</v>
      </c>
      <c r="E244" s="1" t="s">
        <v>210</v>
      </c>
      <c r="F244" s="1" t="s">
        <v>210</v>
      </c>
      <c r="G244" s="1" t="s">
        <v>197</v>
      </c>
    </row>
    <row r="245" spans="1:7">
      <c r="A245" s="8">
        <v>46359</v>
      </c>
      <c r="B245" s="20">
        <v>470301</v>
      </c>
      <c r="C245" s="20" t="s">
        <v>147</v>
      </c>
      <c r="D245" s="1" t="s">
        <v>187</v>
      </c>
      <c r="E245" s="1" t="s">
        <v>210</v>
      </c>
      <c r="F245" s="1" t="s">
        <v>210</v>
      </c>
    </row>
    <row r="246" spans="1:7">
      <c r="A246" s="8">
        <v>46359</v>
      </c>
      <c r="B246" s="20">
        <v>478308</v>
      </c>
      <c r="C246" s="20" t="s">
        <v>244</v>
      </c>
      <c r="D246" s="1" t="s">
        <v>187</v>
      </c>
      <c r="E246" s="1" t="s">
        <v>210</v>
      </c>
      <c r="F246" s="1" t="s">
        <v>210</v>
      </c>
    </row>
    <row r="247" spans="1:7">
      <c r="A247" s="8">
        <v>46359</v>
      </c>
      <c r="B247" s="20">
        <v>438864</v>
      </c>
      <c r="C247" s="20" t="s">
        <v>136</v>
      </c>
      <c r="D247" s="1" t="s">
        <v>187</v>
      </c>
      <c r="E247" s="1" t="s">
        <v>210</v>
      </c>
      <c r="F247" s="1" t="s">
        <v>210</v>
      </c>
    </row>
    <row r="248" spans="1:7">
      <c r="A248" s="8">
        <v>46359</v>
      </c>
      <c r="B248" s="20">
        <v>452115</v>
      </c>
      <c r="C248" s="20" t="s">
        <v>230</v>
      </c>
      <c r="D248" s="1" t="s">
        <v>187</v>
      </c>
      <c r="E248" s="1" t="s">
        <v>210</v>
      </c>
      <c r="F248" s="1" t="s">
        <v>210</v>
      </c>
    </row>
    <row r="249" spans="1:7">
      <c r="A249" s="8">
        <v>46359</v>
      </c>
      <c r="B249" s="20">
        <v>463059</v>
      </c>
      <c r="C249" s="20" t="s">
        <v>137</v>
      </c>
      <c r="D249" s="1" t="s">
        <v>187</v>
      </c>
      <c r="E249" s="1" t="s">
        <v>210</v>
      </c>
      <c r="F249" s="1" t="s">
        <v>210</v>
      </c>
    </row>
    <row r="250" spans="1:7">
      <c r="A250" s="8">
        <v>46359</v>
      </c>
      <c r="B250" s="20">
        <v>450256</v>
      </c>
      <c r="C250" s="20" t="s">
        <v>261</v>
      </c>
      <c r="D250" s="1" t="s">
        <v>187</v>
      </c>
      <c r="E250" s="1" t="s">
        <v>210</v>
      </c>
      <c r="F250" s="1" t="s">
        <v>210</v>
      </c>
    </row>
    <row r="251" spans="1:7">
      <c r="A251" s="8">
        <v>46359</v>
      </c>
      <c r="B251" s="20">
        <v>451857</v>
      </c>
      <c r="C251" s="20" t="s">
        <v>262</v>
      </c>
      <c r="D251" s="1" t="s">
        <v>187</v>
      </c>
      <c r="E251" s="1" t="s">
        <v>210</v>
      </c>
      <c r="F251" s="1" t="s">
        <v>210</v>
      </c>
    </row>
    <row r="252" spans="1:7">
      <c r="A252" s="8">
        <v>46359</v>
      </c>
      <c r="B252" s="22">
        <v>440317</v>
      </c>
      <c r="C252" s="22" t="s">
        <v>263</v>
      </c>
      <c r="D252" s="1" t="s">
        <v>187</v>
      </c>
      <c r="E252" s="1" t="s">
        <v>210</v>
      </c>
      <c r="F252" s="1" t="s">
        <v>210</v>
      </c>
    </row>
    <row r="253" spans="1:7">
      <c r="A253" s="8">
        <v>46359</v>
      </c>
      <c r="B253" s="23">
        <v>451609</v>
      </c>
      <c r="C253" s="23" t="s">
        <v>34</v>
      </c>
      <c r="D253" s="1" t="s">
        <v>187</v>
      </c>
      <c r="E253" s="1" t="s">
        <v>210</v>
      </c>
      <c r="F253" s="1" t="s">
        <v>210</v>
      </c>
    </row>
    <row r="254" spans="1:7">
      <c r="A254" s="8">
        <v>46359</v>
      </c>
      <c r="B254" s="22">
        <v>426232</v>
      </c>
      <c r="C254" s="22" t="s">
        <v>162</v>
      </c>
      <c r="D254" s="1" t="s">
        <v>187</v>
      </c>
      <c r="E254" s="1" t="s">
        <v>210</v>
      </c>
      <c r="F254" s="1" t="s">
        <v>210</v>
      </c>
    </row>
    <row r="255" spans="1:7">
      <c r="A255" s="8">
        <v>46359</v>
      </c>
      <c r="B255" s="22">
        <v>452076</v>
      </c>
      <c r="C255" s="22" t="s">
        <v>145</v>
      </c>
      <c r="D255" s="1" t="s">
        <v>187</v>
      </c>
      <c r="E255" s="1" t="s">
        <v>210</v>
      </c>
      <c r="F255" s="1" t="s">
        <v>210</v>
      </c>
      <c r="G255" s="1" t="s">
        <v>197</v>
      </c>
    </row>
    <row r="256" spans="1:7">
      <c r="A256" s="8">
        <v>46359</v>
      </c>
      <c r="B256" s="23">
        <v>452073</v>
      </c>
      <c r="C256" s="22" t="s">
        <v>213</v>
      </c>
      <c r="D256" s="1" t="s">
        <v>187</v>
      </c>
      <c r="E256" s="1" t="s">
        <v>210</v>
      </c>
      <c r="F256" s="1" t="s">
        <v>210</v>
      </c>
    </row>
    <row r="257" spans="1:7">
      <c r="A257" s="8">
        <v>46359</v>
      </c>
      <c r="B257" s="22">
        <v>464500</v>
      </c>
      <c r="C257" s="23" t="s">
        <v>158</v>
      </c>
      <c r="D257" s="1" t="s">
        <v>187</v>
      </c>
      <c r="E257" s="1" t="s">
        <v>210</v>
      </c>
      <c r="F257" s="1" t="s">
        <v>210</v>
      </c>
    </row>
    <row r="258" spans="1:7">
      <c r="A258" s="8">
        <v>46359</v>
      </c>
      <c r="B258" s="23">
        <v>457430</v>
      </c>
      <c r="C258" s="22" t="s">
        <v>264</v>
      </c>
      <c r="D258" s="1" t="s">
        <v>187</v>
      </c>
      <c r="E258" s="1" t="s">
        <v>210</v>
      </c>
      <c r="F258" s="1" t="s">
        <v>210</v>
      </c>
    </row>
    <row r="259" spans="1:7">
      <c r="A259" s="8">
        <v>46359</v>
      </c>
      <c r="B259" s="22">
        <v>446300</v>
      </c>
      <c r="C259" s="22" t="s">
        <v>54</v>
      </c>
      <c r="D259" s="1" t="s">
        <v>187</v>
      </c>
      <c r="E259" s="1" t="s">
        <v>210</v>
      </c>
      <c r="F259" s="1" t="s">
        <v>210</v>
      </c>
      <c r="G259" s="1" t="s">
        <v>197</v>
      </c>
    </row>
    <row r="260" spans="1:7">
      <c r="A260" s="8">
        <v>46359</v>
      </c>
      <c r="B260" s="23">
        <v>456743</v>
      </c>
      <c r="C260" s="23" t="s">
        <v>26</v>
      </c>
      <c r="D260" s="1" t="s">
        <v>187</v>
      </c>
      <c r="E260" s="1" t="s">
        <v>210</v>
      </c>
      <c r="F260" s="1" t="s">
        <v>210</v>
      </c>
      <c r="G260" s="1" t="s">
        <v>197</v>
      </c>
    </row>
    <row r="261" spans="1:7">
      <c r="A261" s="8">
        <v>46359</v>
      </c>
      <c r="B261" s="23">
        <v>705995</v>
      </c>
      <c r="C261" s="22" t="s">
        <v>265</v>
      </c>
      <c r="D261" s="1" t="s">
        <v>187</v>
      </c>
      <c r="E261" s="1" t="s">
        <v>210</v>
      </c>
      <c r="F261" s="1" t="s">
        <v>210</v>
      </c>
    </row>
    <row r="262" spans="1:7">
      <c r="A262" s="8">
        <v>46359</v>
      </c>
      <c r="B262" s="22">
        <v>466167</v>
      </c>
      <c r="C262" s="22" t="s">
        <v>144</v>
      </c>
      <c r="D262" s="1" t="s">
        <v>187</v>
      </c>
      <c r="E262" s="1" t="s">
        <v>210</v>
      </c>
      <c r="F262" s="1" t="s">
        <v>210</v>
      </c>
      <c r="G262" s="1" t="s">
        <v>196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D2:D354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2"/>
  <sheetViews>
    <sheetView tabSelected="1" topLeftCell="A52" workbookViewId="0">
      <selection activeCell="D2" sqref="D2"/>
    </sheetView>
  </sheetViews>
  <sheetFormatPr defaultColWidth="9.140625" defaultRowHeight="15"/>
  <cols>
    <col min="1" max="1" width="13" style="1" customWidth="1"/>
    <col min="2" max="2" width="23.710937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24" t="s">
        <v>0</v>
      </c>
      <c r="B1" s="24" t="s">
        <v>1</v>
      </c>
      <c r="C1" s="24" t="s">
        <v>2</v>
      </c>
      <c r="D1" s="24" t="s">
        <v>266</v>
      </c>
    </row>
    <row r="2" spans="1:4">
      <c r="A2" s="13">
        <v>416087</v>
      </c>
      <c r="B2" s="25" t="str">
        <f>IFERROR(VLOOKUP(A2,Employee_Master!A:B,2,0),"")</f>
        <v>Manoj Singh</v>
      </c>
      <c r="C2" s="25" t="str">
        <f>IFERROR(VLOOKUP(A2,Employee_Master!A:B,3,0),"")</f>
        <v/>
      </c>
      <c r="D2" s="25">
        <f>IF(SUMIF(Participation_Entry!B:B,A2,Participation_Entry!L:L)=0,"",SUMIF(Participation_Entry!B:B,A2,Participation_Entry!L:L))</f>
        <v>10</v>
      </c>
    </row>
    <row r="3" spans="1:4">
      <c r="A3" s="13">
        <v>365114</v>
      </c>
      <c r="B3" s="25" t="str">
        <f>IFERROR(VLOOKUP(A3,Employee_Master!A:B,2,0),"")</f>
        <v>Bhanu Sirohi</v>
      </c>
      <c r="C3" s="25" t="str">
        <f>IFERROR(VLOOKUP(A3,Employee_Master!A:B,3,0),"")</f>
        <v/>
      </c>
      <c r="D3" s="25">
        <f>IF(SUMIF(Participation_Entry!B:B,A3,Participation_Entry!L:L)=0,"",SUMIF(Participation_Entry!B:B,A3,Participation_Entry!L:L))</f>
        <v>10</v>
      </c>
    </row>
    <row r="4" spans="1:4">
      <c r="A4" s="13">
        <v>460812</v>
      </c>
      <c r="B4" s="25" t="str">
        <f>IFERROR(VLOOKUP(A4,Employee_Master!A:B,2,0),"")</f>
        <v>Deepak Sharma</v>
      </c>
      <c r="C4" s="25" t="str">
        <f>IFERROR(VLOOKUP(A4,Employee_Master!A:B,3,0),"")</f>
        <v/>
      </c>
      <c r="D4" s="25">
        <f>IF(SUMIF(Participation_Entry!B:B,A4,Participation_Entry!L:L)=0,"",SUMIF(Participation_Entry!B:B,A4,Participation_Entry!L:L))</f>
        <v>115</v>
      </c>
    </row>
    <row r="5" spans="1:4">
      <c r="A5" s="13">
        <v>473266</v>
      </c>
      <c r="B5" s="25" t="str">
        <f>IFERROR(VLOOKUP(A5,Employee_Master!A:B,2,0),"")</f>
        <v>Jitender Yadav</v>
      </c>
      <c r="C5" s="25" t="str">
        <f>IFERROR(VLOOKUP(A5,Employee_Master!A:B,3,0),"")</f>
        <v/>
      </c>
      <c r="D5" s="25">
        <f>IF(SUMIF(Participation_Entry!B:B,A5,Participation_Entry!L:L)=0,"",SUMIF(Participation_Entry!B:B,A5,Participation_Entry!L:L))</f>
        <v>30</v>
      </c>
    </row>
    <row r="6" spans="1:4">
      <c r="A6" s="13">
        <v>420533</v>
      </c>
      <c r="B6" s="25" t="str">
        <f>IFERROR(VLOOKUP(A6,Employee_Master!A:B,2,0),"")</f>
        <v>Gaurav Saxena</v>
      </c>
      <c r="C6" s="25" t="str">
        <f>IFERROR(VLOOKUP(A6,Employee_Master!A:B,3,0),"")</f>
        <v/>
      </c>
      <c r="D6" s="25">
        <f>IF(SUMIF(Participation_Entry!B:B,A6,Participation_Entry!L:L)=0,"",SUMIF(Participation_Entry!B:B,A6,Participation_Entry!L:L))</f>
        <v>20</v>
      </c>
    </row>
    <row r="7" spans="1:4">
      <c r="A7" s="13">
        <v>465181</v>
      </c>
      <c r="B7" s="25" t="str">
        <f>IFERROR(VLOOKUP(A7,Employee_Master!A:B,2,0),"")</f>
        <v>Gaurav Singh Gurjar</v>
      </c>
      <c r="C7" s="25" t="str">
        <f>IFERROR(VLOOKUP(A7,Employee_Master!A:B,3,0),"")</f>
        <v/>
      </c>
      <c r="D7" s="25">
        <f>IF(SUMIF(Participation_Entry!B:B,A7,Participation_Entry!L:L)=0,"",SUMIF(Participation_Entry!B:B,A7,Participation_Entry!L:L))</f>
        <v>10</v>
      </c>
    </row>
    <row r="8" spans="1:4">
      <c r="A8" s="13">
        <v>434518</v>
      </c>
      <c r="B8" s="25" t="str">
        <f>IFERROR(VLOOKUP(A8,Employee_Master!A:B,2,0),"")</f>
        <v>Maneesh Mohan</v>
      </c>
      <c r="C8" s="25" t="str">
        <f>IFERROR(VLOOKUP(A8,Employee_Master!A:B,3,0),"")</f>
        <v/>
      </c>
      <c r="D8" s="25">
        <f>IF(SUMIF(Participation_Entry!B:B,A8,Participation_Entry!L:L)=0,"",SUMIF(Participation_Entry!B:B,A8,Participation_Entry!L:L))</f>
        <v>305</v>
      </c>
    </row>
    <row r="9" spans="1:4">
      <c r="A9" s="13">
        <v>463660</v>
      </c>
      <c r="B9" s="25" t="str">
        <f>IFERROR(VLOOKUP(A9,Employee_Master!A:B,2,0),"")</f>
        <v>Rohit Sharma</v>
      </c>
      <c r="C9" s="25" t="str">
        <f>IFERROR(VLOOKUP(A9,Employee_Master!A:B,3,0),"")</f>
        <v/>
      </c>
      <c r="D9" s="25">
        <f>IF(SUMIF(Participation_Entry!B:B,A9,Participation_Entry!L:L)=0,"",SUMIF(Participation_Entry!B:B,A9,Participation_Entry!L:L))</f>
        <v>170</v>
      </c>
    </row>
    <row r="10" spans="1:4">
      <c r="A10" s="13">
        <v>484877</v>
      </c>
      <c r="B10" s="25" t="str">
        <f>IFERROR(VLOOKUP(A10,Employee_Master!A:B,2,0),"")</f>
        <v>Prashant Gupta</v>
      </c>
      <c r="C10" s="25" t="str">
        <f>IFERROR(VLOOKUP(A10,Employee_Master!A:B,3,0),"")</f>
        <v/>
      </c>
      <c r="D10" s="25">
        <f>IF(SUMIF(Participation_Entry!B:B,A10,Participation_Entry!L:L)=0,"",SUMIF(Participation_Entry!B:B,A10,Participation_Entry!L:L))</f>
        <v>20</v>
      </c>
    </row>
    <row r="11" spans="1:4">
      <c r="A11" s="13">
        <v>411573</v>
      </c>
      <c r="B11" s="25" t="str">
        <f>IFERROR(VLOOKUP(A11,Employee_Master!A:B,2,0),"")</f>
        <v>Atishay Dwivedi</v>
      </c>
      <c r="C11" s="25" t="str">
        <f>IFERROR(VLOOKUP(A11,Employee_Master!A:B,3,0),"")</f>
        <v/>
      </c>
      <c r="D11" s="25" t="str">
        <f>IF(SUMIF(Participation_Entry!B:B,A11,Participation_Entry!L:L)=0,"",SUMIF(Participation_Entry!B:B,A11,Participation_Entry!L:L))</f>
        <v/>
      </c>
    </row>
    <row r="12" spans="1:4">
      <c r="A12" s="13">
        <v>410040</v>
      </c>
      <c r="B12" s="25" t="str">
        <f>IFERROR(VLOOKUP(A12,Employee_Master!A:B,2,0),"")</f>
        <v>Deepak Singh</v>
      </c>
      <c r="C12" s="25" t="str">
        <f>IFERROR(VLOOKUP(A12,Employee_Master!A:B,3,0),"")</f>
        <v/>
      </c>
      <c r="D12" s="25">
        <f>IF(SUMIF(Participation_Entry!B:B,A12,Participation_Entry!L:L)=0,"",SUMIF(Participation_Entry!B:B,A12,Participation_Entry!L:L))</f>
        <v>30</v>
      </c>
    </row>
    <row r="13" spans="1:4">
      <c r="A13" s="13">
        <v>433939</v>
      </c>
      <c r="B13" s="25" t="str">
        <f>IFERROR(VLOOKUP(A13,Employee_Master!A:B,2,0),"")</f>
        <v>Manish Kumar</v>
      </c>
      <c r="C13" s="25" t="str">
        <f>IFERROR(VLOOKUP(A13,Employee_Master!A:B,3,0),"")</f>
        <v/>
      </c>
      <c r="D13" s="25" t="str">
        <f>IF(SUMIF(Participation_Entry!B:B,A13,Participation_Entry!L:L)=0,"",SUMIF(Participation_Entry!B:B,A13,Participation_Entry!L:L))</f>
        <v/>
      </c>
    </row>
    <row r="14" spans="1:4">
      <c r="A14" s="13">
        <v>451567</v>
      </c>
      <c r="B14" s="25" t="str">
        <f>IFERROR(VLOOKUP(A14,Employee_Master!A:B,2,0),"")</f>
        <v xml:space="preserve">Gaurav Kumar  </v>
      </c>
      <c r="C14" s="25" t="str">
        <f>IFERROR(VLOOKUP(A14,Employee_Master!A:B,3,0),"")</f>
        <v/>
      </c>
      <c r="D14" s="25">
        <f>IF(SUMIF(Participation_Entry!B:B,A14,Participation_Entry!L:L)=0,"",SUMIF(Participation_Entry!B:B,A14,Participation_Entry!L:L))</f>
        <v>20</v>
      </c>
    </row>
    <row r="15" spans="1:4">
      <c r="A15" s="13">
        <v>408627</v>
      </c>
      <c r="B15" s="25" t="str">
        <f>IFERROR(VLOOKUP(A15,Employee_Master!A:B,2,0),"")</f>
        <v>Govind Rai</v>
      </c>
      <c r="C15" s="25" t="str">
        <f>IFERROR(VLOOKUP(A15,Employee_Master!A:B,3,0),"")</f>
        <v/>
      </c>
      <c r="D15" s="25" t="str">
        <f>IF(SUMIF(Participation_Entry!B:B,A15,Participation_Entry!L:L)=0,"",SUMIF(Participation_Entry!B:B,A15,Participation_Entry!L:L))</f>
        <v/>
      </c>
    </row>
    <row r="16" spans="1:4">
      <c r="A16" s="13">
        <v>407302</v>
      </c>
      <c r="B16" s="25" t="str">
        <f>IFERROR(VLOOKUP(A16,Employee_Master!A:B,2,0),"")</f>
        <v>Sanjaya Sahoo</v>
      </c>
      <c r="C16" s="25" t="str">
        <f>IFERROR(VLOOKUP(A16,Employee_Master!A:B,3,0),"")</f>
        <v/>
      </c>
      <c r="D16" s="25" t="str">
        <f>IF(SUMIF(Participation_Entry!B:B,A16,Participation_Entry!L:L)=0,"",SUMIF(Participation_Entry!B:B,A16,Participation_Entry!L:L))</f>
        <v/>
      </c>
    </row>
    <row r="17" spans="1:4">
      <c r="A17" s="13">
        <v>427568</v>
      </c>
      <c r="B17" s="25" t="str">
        <f>IFERROR(VLOOKUP(A17,Employee_Master!A:B,2,0),"")</f>
        <v>Anjali Sundrani</v>
      </c>
      <c r="C17" s="25" t="str">
        <f>IFERROR(VLOOKUP(A17,Employee_Master!A:B,3,0),"")</f>
        <v/>
      </c>
      <c r="D17" s="25" t="str">
        <f>IF(SUMIF(Participation_Entry!B:B,A17,Participation_Entry!L:L)=0,"",SUMIF(Participation_Entry!B:B,A17,Participation_Entry!L:L))</f>
        <v/>
      </c>
    </row>
    <row r="18" spans="1:4">
      <c r="A18" s="13">
        <v>447096</v>
      </c>
      <c r="B18" s="25" t="str">
        <f>IFERROR(VLOOKUP(A18,Employee_Master!A:B,2,0),"")</f>
        <v>Deepak Tiwari</v>
      </c>
      <c r="C18" s="25" t="str">
        <f>IFERROR(VLOOKUP(A18,Employee_Master!A:B,3,0),"")</f>
        <v/>
      </c>
      <c r="D18" s="25" t="str">
        <f>IF(SUMIF(Participation_Entry!B:B,A18,Participation_Entry!L:L)=0,"",SUMIF(Participation_Entry!B:B,A18,Participation_Entry!L:L))</f>
        <v/>
      </c>
    </row>
    <row r="19" spans="1:4">
      <c r="A19" s="13">
        <v>408262</v>
      </c>
      <c r="B19" s="25" t="str">
        <f>IFERROR(VLOOKUP(A19,Employee_Master!A:B,2,0),"")</f>
        <v>Arpanjot Singh</v>
      </c>
      <c r="C19" s="25" t="str">
        <f>IFERROR(VLOOKUP(A19,Employee_Master!A:B,3,0),"")</f>
        <v/>
      </c>
      <c r="D19" s="25">
        <f>IF(SUMIF(Participation_Entry!B:B,A19,Participation_Entry!L:L)=0,"",SUMIF(Participation_Entry!B:B,A19,Participation_Entry!L:L))</f>
        <v>170</v>
      </c>
    </row>
    <row r="20" spans="1:4">
      <c r="A20" s="13">
        <v>451509</v>
      </c>
      <c r="B20" s="25" t="str">
        <f>IFERROR(VLOOKUP(A20,Employee_Master!A:B,2,0),"")</f>
        <v>Vivek Aswal</v>
      </c>
      <c r="C20" s="25" t="str">
        <f>IFERROR(VLOOKUP(A20,Employee_Master!A:B,3,0),"")</f>
        <v/>
      </c>
      <c r="D20" s="25">
        <f>IF(SUMIF(Participation_Entry!B:B,A20,Participation_Entry!L:L)=0,"",SUMIF(Participation_Entry!B:B,A20,Participation_Entry!L:L))</f>
        <v>20</v>
      </c>
    </row>
    <row r="21" spans="1:4">
      <c r="A21" s="13">
        <v>460284</v>
      </c>
      <c r="B21" s="25" t="str">
        <f>IFERROR(VLOOKUP(A21,Employee_Master!A:B,2,0),"")</f>
        <v>Madhu Aggu</v>
      </c>
      <c r="C21" s="25" t="str">
        <f>IFERROR(VLOOKUP(A21,Employee_Master!A:B,3,0),"")</f>
        <v/>
      </c>
      <c r="D21" s="25" t="str">
        <f>IF(SUMIF(Participation_Entry!B:B,A21,Participation_Entry!L:L)=0,"",SUMIF(Participation_Entry!B:B,A21,Participation_Entry!L:L))</f>
        <v/>
      </c>
    </row>
    <row r="22" spans="1:4">
      <c r="A22" s="13">
        <v>464188</v>
      </c>
      <c r="B22" s="25" t="str">
        <f>IFERROR(VLOOKUP(A22,Employee_Master!A:B,2,0),"")</f>
        <v>Himanshu Saini</v>
      </c>
      <c r="C22" s="25" t="str">
        <f>IFERROR(VLOOKUP(A22,Employee_Master!A:B,3,0),"")</f>
        <v/>
      </c>
      <c r="D22" s="25">
        <f>IF(SUMIF(Participation_Entry!B:B,A22,Participation_Entry!L:L)=0,"",SUMIF(Participation_Entry!B:B,A22,Participation_Entry!L:L))</f>
        <v>160</v>
      </c>
    </row>
    <row r="23" spans="1:4">
      <c r="A23" s="13">
        <v>470292</v>
      </c>
      <c r="B23" s="25" t="str">
        <f>IFERROR(VLOOKUP(A23,Employee_Master!A:B,2,0),"")</f>
        <v>Vishal Kumar</v>
      </c>
      <c r="C23" s="25" t="str">
        <f>IFERROR(VLOOKUP(A23,Employee_Master!A:B,3,0),"")</f>
        <v/>
      </c>
      <c r="D23" s="25">
        <f>IF(SUMIF(Participation_Entry!B:B,A23,Participation_Entry!L:L)=0,"",SUMIF(Participation_Entry!B:B,A23,Participation_Entry!L:L))</f>
        <v>30</v>
      </c>
    </row>
    <row r="24" spans="1:4">
      <c r="A24" s="13">
        <v>438263</v>
      </c>
      <c r="B24" s="25" t="str">
        <f>IFERROR(VLOOKUP(A24,Employee_Master!A:B,2,0),"")</f>
        <v>Vikash Kumar</v>
      </c>
      <c r="C24" s="25" t="str">
        <f>IFERROR(VLOOKUP(A24,Employee_Master!A:B,3,0),"")</f>
        <v/>
      </c>
      <c r="D24" s="25" t="str">
        <f>IF(SUMIF(Participation_Entry!B:B,A24,Participation_Entry!L:L)=0,"",SUMIF(Participation_Entry!B:B,A24,Participation_Entry!L:L))</f>
        <v/>
      </c>
    </row>
    <row r="25" spans="1:4">
      <c r="A25" s="13">
        <v>456743</v>
      </c>
      <c r="B25" s="25" t="str">
        <f>IFERROR(VLOOKUP(A25,Employee_Master!A:B,2,0),"")</f>
        <v>Chironjee Narvare</v>
      </c>
      <c r="C25" s="25" t="str">
        <f>IFERROR(VLOOKUP(A25,Employee_Master!A:B,3,0),"")</f>
        <v/>
      </c>
      <c r="D25" s="25" t="str">
        <f>IF(SUMIF(Participation_Entry!B:B,A25,Participation_Entry!L:L)=0,"",SUMIF(Participation_Entry!B:B,A25,Participation_Entry!L:L))</f>
        <v/>
      </c>
    </row>
    <row r="26" spans="1:4">
      <c r="A26" s="13">
        <v>420109</v>
      </c>
      <c r="B26" s="25" t="str">
        <f>IFERROR(VLOOKUP(A26,Employee_Master!A:B,2,0),"")</f>
        <v>Chandraprakash Nandwana</v>
      </c>
      <c r="C26" s="25" t="str">
        <f>IFERROR(VLOOKUP(A26,Employee_Master!A:B,3,0),"")</f>
        <v/>
      </c>
      <c r="D26" s="25" t="str">
        <f>IF(SUMIF(Participation_Entry!B:B,A26,Participation_Entry!L:L)=0,"",SUMIF(Participation_Entry!B:B,A26,Participation_Entry!L:L))</f>
        <v/>
      </c>
    </row>
    <row r="27" spans="1:4">
      <c r="A27" s="13">
        <v>479827</v>
      </c>
      <c r="B27" s="25" t="str">
        <f>IFERROR(VLOOKUP(A27,Employee_Master!A:B,2,0),"")</f>
        <v>Sunil Kr. Singh</v>
      </c>
      <c r="C27" s="25" t="str">
        <f>IFERROR(VLOOKUP(A27,Employee_Master!A:B,3,0),"")</f>
        <v/>
      </c>
      <c r="D27" s="25" t="str">
        <f>IF(SUMIF(Participation_Entry!B:B,A27,Participation_Entry!L:L)=0,"",SUMIF(Participation_Entry!B:B,A27,Participation_Entry!L:L))</f>
        <v/>
      </c>
    </row>
    <row r="28" spans="1:4">
      <c r="A28" s="13">
        <v>488518</v>
      </c>
      <c r="B28" s="25" t="str">
        <f>IFERROR(VLOOKUP(A28,Employee_Master!A:B,2,0),"")</f>
        <v>Neha Chaturvedi</v>
      </c>
      <c r="C28" s="25" t="str">
        <f>IFERROR(VLOOKUP(A28,Employee_Master!A:B,3,0),"")</f>
        <v/>
      </c>
      <c r="D28" s="25" t="str">
        <f>IF(SUMIF(Participation_Entry!B:B,A28,Participation_Entry!L:L)=0,"",SUMIF(Participation_Entry!B:B,A28,Participation_Entry!L:L))</f>
        <v/>
      </c>
    </row>
    <row r="29" spans="1:4">
      <c r="A29" s="13">
        <v>437534</v>
      </c>
      <c r="B29" s="25" t="str">
        <f>IFERROR(VLOOKUP(A29,Employee_Master!A:B,2,0),"")</f>
        <v>Himanshu Sangar</v>
      </c>
      <c r="C29" s="25" t="str">
        <f>IFERROR(VLOOKUP(A29,Employee_Master!A:B,3,0),"")</f>
        <v/>
      </c>
      <c r="D29" s="25">
        <f>IF(SUMIF(Participation_Entry!B:B,A29,Participation_Entry!L:L)=0,"",SUMIF(Participation_Entry!B:B,A29,Participation_Entry!L:L))</f>
        <v>40</v>
      </c>
    </row>
    <row r="30" spans="1:4">
      <c r="A30" s="13">
        <v>464500</v>
      </c>
      <c r="B30" s="25" t="str">
        <f>IFERROR(VLOOKUP(A30,Employee_Master!A:B,2,0),"")</f>
        <v>Dalip Sharma</v>
      </c>
      <c r="C30" s="25" t="str">
        <f>IFERROR(VLOOKUP(A30,Employee_Master!A:B,3,0),"")</f>
        <v/>
      </c>
      <c r="D30" s="25">
        <f>IF(SUMIF(Participation_Entry!B:B,A30,Participation_Entry!L:L)=0,"",SUMIF(Participation_Entry!B:B,A30,Participation_Entry!L:L))</f>
        <v>135</v>
      </c>
    </row>
    <row r="31" spans="1:4">
      <c r="A31" s="13">
        <v>492857</v>
      </c>
      <c r="B31" s="25" t="str">
        <f>IFERROR(VLOOKUP(A31,Employee_Master!A:B,2,0),"")</f>
        <v>Arnima Thakur</v>
      </c>
      <c r="C31" s="25" t="str">
        <f>IFERROR(VLOOKUP(A31,Employee_Master!A:B,3,0),"")</f>
        <v/>
      </c>
      <c r="D31" s="25">
        <f>IF(SUMIF(Participation_Entry!B:B,A31,Participation_Entry!L:L)=0,"",SUMIF(Participation_Entry!B:B,A31,Participation_Entry!L:L))</f>
        <v>10</v>
      </c>
    </row>
    <row r="32" spans="1:4">
      <c r="A32" s="13">
        <v>412273</v>
      </c>
      <c r="B32" s="25" t="str">
        <f>IFERROR(VLOOKUP(A32,Employee_Master!A:B,2,0),"")</f>
        <v>Sandeep Sengar</v>
      </c>
      <c r="C32" s="25" t="str">
        <f>IFERROR(VLOOKUP(A32,Employee_Master!A:B,3,0),"")</f>
        <v/>
      </c>
      <c r="D32" s="25" t="str">
        <f>IF(SUMIF(Participation_Entry!B:B,A32,Participation_Entry!L:L)=0,"",SUMIF(Participation_Entry!B:B,A32,Participation_Entry!L:L))</f>
        <v/>
      </c>
    </row>
    <row r="33" spans="1:4">
      <c r="A33" s="13">
        <v>451609</v>
      </c>
      <c r="B33" s="25" t="str">
        <f>IFERROR(VLOOKUP(A33,Employee_Master!A:B,2,0),"")</f>
        <v>Vivek Kumar Yadav</v>
      </c>
      <c r="C33" s="25" t="str">
        <f>IFERROR(VLOOKUP(A33,Employee_Master!A:B,3,0),"")</f>
        <v/>
      </c>
      <c r="D33" s="25" t="str">
        <f>IF(SUMIF(Participation_Entry!B:B,A33,Participation_Entry!L:L)=0,"",SUMIF(Participation_Entry!B:B,A33,Participation_Entry!L:L))</f>
        <v/>
      </c>
    </row>
    <row r="34" spans="1:4">
      <c r="A34" s="13">
        <v>424332</v>
      </c>
      <c r="B34" s="25" t="str">
        <f>IFERROR(VLOOKUP(A34,Employee_Master!A:B,2,0),"")</f>
        <v>Naresh Kumar</v>
      </c>
      <c r="C34" s="25" t="str">
        <f>IFERROR(VLOOKUP(A34,Employee_Master!A:B,3,0),"")</f>
        <v/>
      </c>
      <c r="D34" s="25">
        <f>IF(SUMIF(Participation_Entry!B:B,A34,Participation_Entry!L:L)=0,"",SUMIF(Participation_Entry!B:B,A34,Participation_Entry!L:L))</f>
        <v>20</v>
      </c>
    </row>
    <row r="35" spans="1:4">
      <c r="A35" s="13">
        <v>456091</v>
      </c>
      <c r="B35" s="25" t="str">
        <f>IFERROR(VLOOKUP(A35,Employee_Master!A:B,2,0),"")</f>
        <v>Abhinesh Pandey</v>
      </c>
      <c r="C35" s="25" t="str">
        <f>IFERROR(VLOOKUP(A35,Employee_Master!A:B,3,0),"")</f>
        <v/>
      </c>
      <c r="D35" s="25">
        <f>IF(SUMIF(Participation_Entry!B:B,A35,Participation_Entry!L:L)=0,"",SUMIF(Participation_Entry!B:B,A35,Participation_Entry!L:L))</f>
        <v>101</v>
      </c>
    </row>
    <row r="36" spans="1:4">
      <c r="A36" s="13">
        <v>445891</v>
      </c>
      <c r="B36" s="25" t="str">
        <f>IFERROR(VLOOKUP(A36,Employee_Master!A:B,2,0),"")</f>
        <v>Parmvir Singh</v>
      </c>
      <c r="C36" s="25" t="str">
        <f>IFERROR(VLOOKUP(A36,Employee_Master!A:B,3,0),"")</f>
        <v/>
      </c>
      <c r="D36" s="25" t="str">
        <f>IF(SUMIF(Participation_Entry!B:B,A36,Participation_Entry!L:L)=0,"",SUMIF(Participation_Entry!B:B,A36,Participation_Entry!L:L))</f>
        <v/>
      </c>
    </row>
    <row r="37" spans="1:4">
      <c r="A37" s="13">
        <v>467519</v>
      </c>
      <c r="B37" s="25" t="str">
        <f>IFERROR(VLOOKUP(A37,Employee_Master!A:B,2,0),"")</f>
        <v>Vivek Tiwari</v>
      </c>
      <c r="C37" s="25" t="str">
        <f>IFERROR(VLOOKUP(A37,Employee_Master!A:B,3,0),"")</f>
        <v/>
      </c>
      <c r="D37" s="25">
        <f>IF(SUMIF(Participation_Entry!B:B,A37,Participation_Entry!L:L)=0,"",SUMIF(Participation_Entry!B:B,A37,Participation_Entry!L:L))</f>
        <v>10</v>
      </c>
    </row>
    <row r="38" spans="1:4">
      <c r="A38" s="13">
        <v>416828</v>
      </c>
      <c r="B38" s="25" t="str">
        <f>IFERROR(VLOOKUP(A38,Employee_Master!A:B,2,0),"")</f>
        <v>Keshav Dev</v>
      </c>
      <c r="C38" s="25" t="str">
        <f>IFERROR(VLOOKUP(A38,Employee_Master!A:B,3,0),"")</f>
        <v/>
      </c>
      <c r="D38" s="25">
        <f>IF(SUMIF(Participation_Entry!B:B,A38,Participation_Entry!L:L)=0,"",SUMIF(Participation_Entry!B:B,A38,Participation_Entry!L:L))</f>
        <v>30</v>
      </c>
    </row>
    <row r="39" spans="1:4">
      <c r="A39" s="13">
        <v>430977</v>
      </c>
      <c r="B39" s="25" t="str">
        <f>IFERROR(VLOOKUP(A39,Employee_Master!A:B,2,0),"")</f>
        <v>Akshit Sood</v>
      </c>
      <c r="C39" s="25" t="str">
        <f>IFERROR(VLOOKUP(A39,Employee_Master!A:B,3,0),"")</f>
        <v/>
      </c>
      <c r="D39" s="25">
        <f>IF(SUMIF(Participation_Entry!B:B,A39,Participation_Entry!L:L)=0,"",SUMIF(Participation_Entry!B:B,A39,Participation_Entry!L:L))</f>
        <v>145</v>
      </c>
    </row>
    <row r="40" spans="1:4">
      <c r="A40" s="13">
        <v>436468</v>
      </c>
      <c r="B40" s="25" t="str">
        <f>IFERROR(VLOOKUP(A40,Employee_Master!A:B,2,0),"")</f>
        <v>Karan Singh</v>
      </c>
      <c r="C40" s="25" t="str">
        <f>IFERROR(VLOOKUP(A40,Employee_Master!A:B,3,0),"")</f>
        <v/>
      </c>
      <c r="D40" s="25">
        <f>IF(SUMIF(Participation_Entry!B:B,A40,Participation_Entry!L:L)=0,"",SUMIF(Participation_Entry!B:B,A40,Participation_Entry!L:L))</f>
        <v>10</v>
      </c>
    </row>
    <row r="41" spans="1:4">
      <c r="A41" s="13">
        <v>438957</v>
      </c>
      <c r="B41" s="25" t="str">
        <f>IFERROR(VLOOKUP(A41,Employee_Master!A:B,2,0),"")</f>
        <v>Risha Bansal</v>
      </c>
      <c r="C41" s="25" t="str">
        <f>IFERROR(VLOOKUP(A41,Employee_Master!A:B,3,0),"")</f>
        <v/>
      </c>
      <c r="D41" s="25">
        <f>IF(SUMIF(Participation_Entry!B:B,A41,Participation_Entry!L:L)=0,"",SUMIF(Participation_Entry!B:B,A41,Participation_Entry!L:L))</f>
        <v>10</v>
      </c>
    </row>
    <row r="42" spans="1:4">
      <c r="A42" s="13">
        <v>428544</v>
      </c>
      <c r="B42" s="25" t="str">
        <f>IFERROR(VLOOKUP(A42,Employee_Master!A:B,2,0),"")</f>
        <v>Harjot Singh</v>
      </c>
      <c r="C42" s="25" t="str">
        <f>IFERROR(VLOOKUP(A42,Employee_Master!A:B,3,0),"")</f>
        <v/>
      </c>
      <c r="D42" s="25" t="str">
        <f>IF(SUMIF(Participation_Entry!B:B,A42,Participation_Entry!L:L)=0,"",SUMIF(Participation_Entry!B:B,A42,Participation_Entry!L:L))</f>
        <v/>
      </c>
    </row>
    <row r="43" spans="1:4">
      <c r="A43" s="13">
        <v>487107</v>
      </c>
      <c r="B43" s="25" t="str">
        <f>IFERROR(VLOOKUP(A43,Employee_Master!A:B,2,0),"")</f>
        <v>Manish Kr. Singh</v>
      </c>
      <c r="C43" s="25" t="str">
        <f>IFERROR(VLOOKUP(A43,Employee_Master!A:B,3,0),"")</f>
        <v/>
      </c>
      <c r="D43" s="25" t="str">
        <f>IF(SUMIF(Participation_Entry!B:B,A43,Participation_Entry!L:L)=0,"",SUMIF(Participation_Entry!B:B,A43,Participation_Entry!L:L))</f>
        <v/>
      </c>
    </row>
    <row r="44" spans="1:4">
      <c r="A44" s="13">
        <v>423859</v>
      </c>
      <c r="B44" s="25" t="str">
        <f>IFERROR(VLOOKUP(A44,Employee_Master!A:B,2,0),"")</f>
        <v>Tilak Raj</v>
      </c>
      <c r="C44" s="25" t="str">
        <f>IFERROR(VLOOKUP(A44,Employee_Master!A:B,3,0),"")</f>
        <v/>
      </c>
      <c r="D44" s="25">
        <f>IF(SUMIF(Participation_Entry!B:B,A44,Participation_Entry!L:L)=0,"",SUMIF(Participation_Entry!B:B,A44,Participation_Entry!L:L))</f>
        <v>10</v>
      </c>
    </row>
    <row r="45" spans="1:4">
      <c r="A45" s="13">
        <v>438679</v>
      </c>
      <c r="B45" s="25" t="str">
        <f>IFERROR(VLOOKUP(A45,Employee_Master!A:B,2,0),"")</f>
        <v>Saurabh Kumar</v>
      </c>
      <c r="C45" s="25" t="str">
        <f>IFERROR(VLOOKUP(A45,Employee_Master!A:B,3,0),"")</f>
        <v/>
      </c>
      <c r="D45" s="25">
        <f>IF(SUMIF(Participation_Entry!B:B,A45,Participation_Entry!L:L)=0,"",SUMIF(Participation_Entry!B:B,A45,Participation_Entry!L:L))</f>
        <v>135</v>
      </c>
    </row>
    <row r="46" spans="1:4">
      <c r="A46" s="13">
        <v>448882</v>
      </c>
      <c r="B46" s="25" t="str">
        <f>IFERROR(VLOOKUP(A46,Employee_Master!A:B,2,0),"")</f>
        <v>Gurwinder Singh</v>
      </c>
      <c r="C46" s="25" t="str">
        <f>IFERROR(VLOOKUP(A46,Employee_Master!A:B,3,0),"")</f>
        <v/>
      </c>
      <c r="D46" s="25">
        <f>IF(SUMIF(Participation_Entry!B:B,A46,Participation_Entry!L:L)=0,"",SUMIF(Participation_Entry!B:B,A46,Participation_Entry!L:L))</f>
        <v>230</v>
      </c>
    </row>
    <row r="47" spans="1:4">
      <c r="A47" s="13">
        <v>453949</v>
      </c>
      <c r="B47" s="25" t="str">
        <f>IFERROR(VLOOKUP(A47,Employee_Master!A:B,2,0),"")</f>
        <v>Naveen Kumar</v>
      </c>
      <c r="C47" s="25" t="str">
        <f>IFERROR(VLOOKUP(A47,Employee_Master!A:B,3,0),"")</f>
        <v/>
      </c>
      <c r="D47" s="25">
        <f>IF(SUMIF(Participation_Entry!B:B,A47,Participation_Entry!L:L)=0,"",SUMIF(Participation_Entry!B:B,A47,Participation_Entry!L:L))</f>
        <v>10</v>
      </c>
    </row>
    <row r="48" spans="1:4">
      <c r="A48" s="13">
        <v>440317</v>
      </c>
      <c r="B48" s="25" t="str">
        <f>IFERROR(VLOOKUP(A48,Employee_Master!A:B,2,0),"")</f>
        <v>Praveen Chandel</v>
      </c>
      <c r="C48" s="25" t="str">
        <f>IFERROR(VLOOKUP(A48,Employee_Master!A:B,3,0),"")</f>
        <v/>
      </c>
      <c r="D48" s="25">
        <f>IF(SUMIF(Participation_Entry!B:B,A48,Participation_Entry!L:L)=0,"",SUMIF(Participation_Entry!B:B,A48,Participation_Entry!L:L))</f>
        <v>10</v>
      </c>
    </row>
    <row r="49" spans="1:4">
      <c r="A49" s="13">
        <v>451513</v>
      </c>
      <c r="B49" s="25" t="str">
        <f>IFERROR(VLOOKUP(A49,Employee_Master!A:B,2,0),"")</f>
        <v>Nishith Soni</v>
      </c>
      <c r="C49" s="25" t="str">
        <f>IFERROR(VLOOKUP(A49,Employee_Master!A:B,3,0),"")</f>
        <v/>
      </c>
      <c r="D49" s="25">
        <f>IF(SUMIF(Participation_Entry!B:B,A49,Participation_Entry!L:L)=0,"",SUMIF(Participation_Entry!B:B,A49,Participation_Entry!L:L))</f>
        <v>10</v>
      </c>
    </row>
    <row r="50" spans="1:4">
      <c r="A50" s="13">
        <v>468224</v>
      </c>
      <c r="B50" s="25" t="str">
        <f>IFERROR(VLOOKUP(A50,Employee_Master!A:B,2,0),"")</f>
        <v>Mohit Kumar</v>
      </c>
      <c r="C50" s="25" t="str">
        <f>IFERROR(VLOOKUP(A50,Employee_Master!A:B,3,0),"")</f>
        <v/>
      </c>
      <c r="D50" s="25">
        <f>IF(SUMIF(Participation_Entry!B:B,A50,Participation_Entry!L:L)=0,"",SUMIF(Participation_Entry!B:B,A50,Participation_Entry!L:L))</f>
        <v>10</v>
      </c>
    </row>
    <row r="51" spans="1:4">
      <c r="A51" s="13">
        <v>450256</v>
      </c>
      <c r="B51" s="25" t="str">
        <f>IFERROR(VLOOKUP(A51,Employee_Master!A:B,2,0),"")</f>
        <v>Jyotish  Patar</v>
      </c>
      <c r="C51" s="25" t="str">
        <f>IFERROR(VLOOKUP(A51,Employee_Master!A:B,3,0),"")</f>
        <v/>
      </c>
      <c r="D51" s="25">
        <f>IF(SUMIF(Participation_Entry!B:B,A51,Participation_Entry!L:L)=0,"",SUMIF(Participation_Entry!B:B,A51,Participation_Entry!L:L))</f>
        <v>30</v>
      </c>
    </row>
    <row r="52" spans="1:4">
      <c r="A52" s="13">
        <v>454456</v>
      </c>
      <c r="B52" s="25" t="str">
        <f>IFERROR(VLOOKUP(A52,Employee_Master!A:B,2,0),"")</f>
        <v>Akash Deshmukh</v>
      </c>
      <c r="C52" s="25" t="str">
        <f>IFERROR(VLOOKUP(A52,Employee_Master!A:B,3,0),"")</f>
        <v/>
      </c>
      <c r="D52" s="25">
        <f>IF(SUMIF(Participation_Entry!B:B,A52,Participation_Entry!L:L)=0,"",SUMIF(Participation_Entry!B:B,A52,Participation_Entry!L:L))</f>
        <v>115</v>
      </c>
    </row>
    <row r="53" spans="1:4">
      <c r="A53" s="13">
        <v>446300</v>
      </c>
      <c r="B53" s="25" t="str">
        <f>IFERROR(VLOOKUP(A53,Employee_Master!A:B,2,0),"")</f>
        <v>Simranjit Singh</v>
      </c>
      <c r="C53" s="25" t="str">
        <f>IFERROR(VLOOKUP(A53,Employee_Master!A:B,3,0),"")</f>
        <v/>
      </c>
      <c r="D53" s="25">
        <f>IF(SUMIF(Participation_Entry!B:B,A53,Participation_Entry!L:L)=0,"",SUMIF(Participation_Entry!B:B,A53,Participation_Entry!L:L))</f>
        <v>10</v>
      </c>
    </row>
    <row r="54" spans="1:4">
      <c r="A54" s="13">
        <v>459234</v>
      </c>
      <c r="B54" s="25" t="str">
        <f>IFERROR(VLOOKUP(A54,Employee_Master!A:B,2,0),"")</f>
        <v>Ritik Kumar</v>
      </c>
      <c r="C54" s="25" t="str">
        <f>IFERROR(VLOOKUP(A54,Employee_Master!A:B,3,0),"")</f>
        <v/>
      </c>
      <c r="D54" s="25">
        <f>IF(SUMIF(Participation_Entry!B:B,A54,Participation_Entry!L:L)=0,"",SUMIF(Participation_Entry!B:B,A54,Participation_Entry!L:L))</f>
        <v>170</v>
      </c>
    </row>
    <row r="55" spans="1:4">
      <c r="A55" s="13">
        <v>459464</v>
      </c>
      <c r="B55" s="25" t="str">
        <f>IFERROR(VLOOKUP(A55,Employee_Master!A:B,2,0),"")</f>
        <v>Manish Kumar Maury</v>
      </c>
      <c r="C55" s="25" t="str">
        <f>IFERROR(VLOOKUP(A55,Employee_Master!A:B,3,0),"")</f>
        <v/>
      </c>
      <c r="D55" s="25" t="str">
        <f>IF(SUMIF(Participation_Entry!B:B,A55,Participation_Entry!L:L)=0,"",SUMIF(Participation_Entry!B:B,A55,Participation_Entry!L:L))</f>
        <v/>
      </c>
    </row>
    <row r="56" spans="1:4">
      <c r="A56" s="13">
        <v>457430</v>
      </c>
      <c r="B56" s="25" t="str">
        <f>IFERROR(VLOOKUP(A56,Employee_Master!A:B,2,0),"")</f>
        <v>Manish Kumar</v>
      </c>
      <c r="C56" s="25" t="str">
        <f>IFERROR(VLOOKUP(A56,Employee_Master!A:B,3,0),"")</f>
        <v/>
      </c>
      <c r="D56" s="25">
        <f>IF(SUMIF(Participation_Entry!B:B,A56,Participation_Entry!L:L)=0,"",SUMIF(Participation_Entry!B:B,A56,Participation_Entry!L:L))</f>
        <v>40</v>
      </c>
    </row>
    <row r="57" spans="1:4">
      <c r="A57" s="13">
        <v>450436</v>
      </c>
      <c r="B57" s="25" t="str">
        <f>IFERROR(VLOOKUP(A57,Employee_Master!A:B,2,0),"")</f>
        <v>Govind Saini</v>
      </c>
      <c r="C57" s="25" t="str">
        <f>IFERROR(VLOOKUP(A57,Employee_Master!A:B,3,0),"")</f>
        <v/>
      </c>
      <c r="D57" s="25" t="str">
        <f>IF(SUMIF(Participation_Entry!B:B,A57,Participation_Entry!L:L)=0,"",SUMIF(Participation_Entry!B:B,A57,Participation_Entry!L:L))</f>
        <v/>
      </c>
    </row>
    <row r="58" spans="1:4">
      <c r="A58" s="13">
        <v>450694</v>
      </c>
      <c r="B58" s="25" t="str">
        <f>IFERROR(VLOOKUP(A58,Employee_Master!A:B,2,0),"")</f>
        <v>Kawaljot Kaur</v>
      </c>
      <c r="C58" s="25" t="str">
        <f>IFERROR(VLOOKUP(A58,Employee_Master!A:B,3,0),"")</f>
        <v/>
      </c>
      <c r="D58" s="25" t="str">
        <f>IF(SUMIF(Participation_Entry!B:B,A58,Participation_Entry!L:L)=0,"",SUMIF(Participation_Entry!B:B,A58,Participation_Entry!L:L))</f>
        <v/>
      </c>
    </row>
    <row r="59" spans="1:4">
      <c r="A59" s="13">
        <v>450225</v>
      </c>
      <c r="B59" s="25" t="str">
        <f>IFERROR(VLOOKUP(A59,Employee_Master!A:B,2,0),"")</f>
        <v>Nikita</v>
      </c>
      <c r="C59" s="25" t="str">
        <f>IFERROR(VLOOKUP(A59,Employee_Master!A:B,3,0),"")</f>
        <v/>
      </c>
      <c r="D59" s="25">
        <f>IF(SUMIF(Participation_Entry!B:B,A59,Participation_Entry!L:L)=0,"",SUMIF(Participation_Entry!B:B,A59,Participation_Entry!L:L))</f>
        <v>10</v>
      </c>
    </row>
    <row r="60" spans="1:4">
      <c r="A60" s="13">
        <v>486309</v>
      </c>
      <c r="B60" s="25" t="str">
        <f>IFERROR(VLOOKUP(A60,Employee_Master!A:B,2,0),"")</f>
        <v>Ankit Bhatt</v>
      </c>
      <c r="C60" s="25" t="str">
        <f>IFERROR(VLOOKUP(A60,Employee_Master!A:B,3,0),"")</f>
        <v/>
      </c>
      <c r="D60" s="25">
        <f>IF(SUMIF(Participation_Entry!B:B,A60,Participation_Entry!L:L)=0,"",SUMIF(Participation_Entry!B:B,A60,Participation_Entry!L:L))</f>
        <v>180</v>
      </c>
    </row>
    <row r="61" spans="1:4">
      <c r="A61" s="13">
        <v>450228</v>
      </c>
      <c r="B61" s="25" t="str">
        <f>IFERROR(VLOOKUP(A61,Employee_Master!A:B,2,0),"")</f>
        <v>Shubham Sharma</v>
      </c>
      <c r="C61" s="25" t="str">
        <f>IFERROR(VLOOKUP(A61,Employee_Master!A:B,3,0),"")</f>
        <v/>
      </c>
      <c r="D61" s="25">
        <f>IF(SUMIF(Participation_Entry!B:B,A61,Participation_Entry!L:L)=0,"",SUMIF(Participation_Entry!B:B,A61,Participation_Entry!L:L))</f>
        <v>20</v>
      </c>
    </row>
    <row r="62" spans="1:4">
      <c r="A62" s="13">
        <v>450437</v>
      </c>
      <c r="B62" s="25" t="str">
        <f>IFERROR(VLOOKUP(A62,Employee_Master!A:B,2,0),"")</f>
        <v xml:space="preserve">Tinku Shekhawat </v>
      </c>
      <c r="C62" s="25" t="str">
        <f>IFERROR(VLOOKUP(A62,Employee_Master!A:B,3,0),"")</f>
        <v/>
      </c>
      <c r="D62" s="25">
        <f>IF(SUMIF(Participation_Entry!B:B,A62,Participation_Entry!L:L)=0,"",SUMIF(Participation_Entry!B:B,A62,Participation_Entry!L:L))</f>
        <v>190</v>
      </c>
    </row>
    <row r="63" spans="1:4">
      <c r="A63" s="13">
        <v>450693</v>
      </c>
      <c r="B63" s="25" t="str">
        <f>IFERROR(VLOOKUP(A63,Employee_Master!A:B,2,0),"")</f>
        <v>Sagar rana</v>
      </c>
      <c r="C63" s="25" t="str">
        <f>IFERROR(VLOOKUP(A63,Employee_Master!A:B,3,0),"")</f>
        <v/>
      </c>
      <c r="D63" s="25" t="str">
        <f>IF(SUMIF(Participation_Entry!B:B,A63,Participation_Entry!L:L)=0,"",SUMIF(Participation_Entry!B:B,A63,Participation_Entry!L:L))</f>
        <v/>
      </c>
    </row>
    <row r="64" spans="1:4">
      <c r="A64" s="13">
        <v>452073</v>
      </c>
      <c r="B64" s="25" t="str">
        <f>IFERROR(VLOOKUP(A64,Employee_Master!A:B,2,0),"")</f>
        <v xml:space="preserve">Aashish </v>
      </c>
      <c r="C64" s="25" t="str">
        <f>IFERROR(VLOOKUP(A64,Employee_Master!A:B,3,0),"")</f>
        <v/>
      </c>
      <c r="D64" s="25">
        <f>IF(SUMIF(Participation_Entry!B:B,A64,Participation_Entry!L:L)=0,"",SUMIF(Participation_Entry!B:B,A64,Participation_Entry!L:L))</f>
        <v>20</v>
      </c>
    </row>
    <row r="65" spans="1:4">
      <c r="A65" s="13">
        <v>451857</v>
      </c>
      <c r="B65" s="25" t="str">
        <f>IFERROR(VLOOKUP(A65,Employee_Master!A:B,2,0),"")</f>
        <v xml:space="preserve">Amar Kumar </v>
      </c>
      <c r="C65" s="25" t="str">
        <f>IFERROR(VLOOKUP(A65,Employee_Master!A:B,3,0),"")</f>
        <v/>
      </c>
      <c r="D65" s="25" t="str">
        <f>IF(SUMIF(Participation_Entry!B:B,A65,Participation_Entry!L:L)=0,"",SUMIF(Participation_Entry!B:B,A65,Participation_Entry!L:L))</f>
        <v/>
      </c>
    </row>
    <row r="66" spans="1:4">
      <c r="A66" s="13">
        <v>451858</v>
      </c>
      <c r="B66" s="25" t="str">
        <f>IFERROR(VLOOKUP(A66,Employee_Master!A:B,2,0),"")</f>
        <v>Ankit Bhardwaj</v>
      </c>
      <c r="C66" s="25" t="str">
        <f>IFERROR(VLOOKUP(A66,Employee_Master!A:B,3,0),"")</f>
        <v/>
      </c>
      <c r="D66" s="25">
        <f>IF(SUMIF(Participation_Entry!B:B,A66,Participation_Entry!L:L)=0,"",SUMIF(Participation_Entry!B:B,A66,Participation_Entry!L:L))</f>
        <v>115</v>
      </c>
    </row>
    <row r="67" spans="1:4">
      <c r="A67" s="13">
        <v>452115</v>
      </c>
      <c r="B67" s="25" t="str">
        <f>IFERROR(VLOOKUP(A67,Employee_Master!A:B,2,0),"")</f>
        <v xml:space="preserve">Anshul Sharma </v>
      </c>
      <c r="C67" s="25" t="str">
        <f>IFERROR(VLOOKUP(A67,Employee_Master!A:B,3,0),"")</f>
        <v/>
      </c>
      <c r="D67" s="25">
        <f>IF(SUMIF(Participation_Entry!B:B,A67,Participation_Entry!L:L)=0,"",SUMIF(Participation_Entry!B:B,A67,Participation_Entry!L:L))</f>
        <v>10</v>
      </c>
    </row>
    <row r="68" spans="1:4">
      <c r="A68" s="13">
        <v>452056</v>
      </c>
      <c r="B68" s="25" t="str">
        <f>IFERROR(VLOOKUP(A68,Employee_Master!A:B,2,0),"")</f>
        <v xml:space="preserve">Rupesh </v>
      </c>
      <c r="C68" s="25" t="str">
        <f>IFERROR(VLOOKUP(A68,Employee_Master!A:B,3,0),"")</f>
        <v/>
      </c>
      <c r="D68" s="25">
        <f>IF(SUMIF(Participation_Entry!B:B,A68,Participation_Entry!L:L)=0,"",SUMIF(Participation_Entry!B:B,A68,Participation_Entry!L:L))</f>
        <v>240</v>
      </c>
    </row>
    <row r="69" spans="1:4">
      <c r="A69" s="13">
        <v>452057</v>
      </c>
      <c r="B69" s="25" t="str">
        <f>IFERROR(VLOOKUP(A69,Employee_Master!A:B,2,0),"")</f>
        <v xml:space="preserve">Sahil Thakur </v>
      </c>
      <c r="C69" s="25" t="str">
        <f>IFERROR(VLOOKUP(A69,Employee_Master!A:B,3,0),"")</f>
        <v/>
      </c>
      <c r="D69" s="25">
        <f>IF(SUMIF(Participation_Entry!B:B,A69,Participation_Entry!L:L)=0,"",SUMIF(Participation_Entry!B:B,A69,Participation_Entry!L:L))</f>
        <v>10</v>
      </c>
    </row>
    <row r="70" spans="1:4">
      <c r="A70" s="13">
        <v>452119</v>
      </c>
      <c r="B70" s="25" t="str">
        <f>IFERROR(VLOOKUP(A70,Employee_Master!A:B,2,0),"")</f>
        <v>Akhil Tiwari</v>
      </c>
      <c r="C70" s="25" t="str">
        <f>IFERROR(VLOOKUP(A70,Employee_Master!A:B,3,0),"")</f>
        <v/>
      </c>
      <c r="D70" s="25" t="str">
        <f>IF(SUMIF(Participation_Entry!B:B,A70,Participation_Entry!L:L)=0,"",SUMIF(Participation_Entry!B:B,A70,Participation_Entry!L:L))</f>
        <v/>
      </c>
    </row>
    <row r="71" spans="1:4">
      <c r="A71" s="13">
        <v>452058</v>
      </c>
      <c r="B71" s="25" t="str">
        <f>IFERROR(VLOOKUP(A71,Employee_Master!A:B,2,0),"")</f>
        <v>Bhavya Gupta</v>
      </c>
      <c r="C71" s="25" t="str">
        <f>IFERROR(VLOOKUP(A71,Employee_Master!A:B,3,0),"")</f>
        <v/>
      </c>
      <c r="D71" s="25">
        <f>IF(SUMIF(Participation_Entry!B:B,A71,Participation_Entry!L:L)=0,"",SUMIF(Participation_Entry!B:B,A71,Participation_Entry!L:L))</f>
        <v>30</v>
      </c>
    </row>
    <row r="72" spans="1:4">
      <c r="A72" s="13">
        <v>452075</v>
      </c>
      <c r="B72" s="25" t="str">
        <f>IFERROR(VLOOKUP(A72,Employee_Master!A:B,2,0),"")</f>
        <v>Mansi Yadav</v>
      </c>
      <c r="C72" s="25" t="str">
        <f>IFERROR(VLOOKUP(A72,Employee_Master!A:B,3,0),"")</f>
        <v/>
      </c>
      <c r="D72" s="25">
        <f>IF(SUMIF(Participation_Entry!B:B,A72,Participation_Entry!L:L)=0,"",SUMIF(Participation_Entry!B:B,A72,Participation_Entry!L:L))</f>
        <v>30</v>
      </c>
    </row>
    <row r="73" spans="1:4">
      <c r="A73" s="13">
        <v>452121</v>
      </c>
      <c r="B73" s="25" t="str">
        <f>IFERROR(VLOOKUP(A73,Employee_Master!A:B,2,0),"")</f>
        <v>Nishi Singh</v>
      </c>
      <c r="C73" s="25" t="str">
        <f>IFERROR(VLOOKUP(A73,Employee_Master!A:B,3,0),"")</f>
        <v/>
      </c>
      <c r="D73" s="25" t="str">
        <f>IF(SUMIF(Participation_Entry!B:B,A73,Participation_Entry!L:L)=0,"",SUMIF(Participation_Entry!B:B,A73,Participation_Entry!L:L))</f>
        <v/>
      </c>
    </row>
    <row r="74" spans="1:4">
      <c r="A74" s="13">
        <v>452118</v>
      </c>
      <c r="B74" s="25" t="str">
        <f>IFERROR(VLOOKUP(A74,Employee_Master!A:B,2,0),"")</f>
        <v>Riya Kumari</v>
      </c>
      <c r="C74" s="25" t="str">
        <f>IFERROR(VLOOKUP(A74,Employee_Master!A:B,3,0),"")</f>
        <v/>
      </c>
      <c r="D74" s="25" t="str">
        <f>IF(SUMIF(Participation_Entry!B:B,A74,Participation_Entry!L:L)=0,"",SUMIF(Participation_Entry!B:B,A74,Participation_Entry!L:L))</f>
        <v/>
      </c>
    </row>
    <row r="75" spans="1:4">
      <c r="A75" s="13">
        <v>452991</v>
      </c>
      <c r="B75" s="25" t="str">
        <f>IFERROR(VLOOKUP(A75,Employee_Master!A:B,2,0),"")</f>
        <v>Gourav Rohilla</v>
      </c>
      <c r="C75" s="25" t="str">
        <f>IFERROR(VLOOKUP(A75,Employee_Master!A:B,3,0),"")</f>
        <v/>
      </c>
      <c r="D75" s="25">
        <f>IF(SUMIF(Participation_Entry!B:B,A75,Participation_Entry!L:L)=0,"",SUMIF(Participation_Entry!B:B,A75,Participation_Entry!L:L))</f>
        <v>285</v>
      </c>
    </row>
    <row r="76" spans="1:4">
      <c r="A76" s="13">
        <v>453089</v>
      </c>
      <c r="B76" s="25" t="str">
        <f>IFERROR(VLOOKUP(A76,Employee_Master!A:B,2,0),"")</f>
        <v>Arun Lamba</v>
      </c>
      <c r="C76" s="25" t="str">
        <f>IFERROR(VLOOKUP(A76,Employee_Master!A:B,3,0),"")</f>
        <v/>
      </c>
      <c r="D76" s="25">
        <f>IF(SUMIF(Participation_Entry!B:B,A76,Participation_Entry!L:L)=0,"",SUMIF(Participation_Entry!B:B,A76,Participation_Entry!L:L))</f>
        <v>10</v>
      </c>
    </row>
    <row r="77" spans="1:4">
      <c r="A77" s="13">
        <v>460627</v>
      </c>
      <c r="B77" s="25" t="str">
        <f>IFERROR(VLOOKUP(A77,Employee_Master!A:B,2,0),"")</f>
        <v>Sushil</v>
      </c>
      <c r="C77" s="25" t="str">
        <f>IFERROR(VLOOKUP(A77,Employee_Master!A:B,3,0),"")</f>
        <v/>
      </c>
      <c r="D77" s="25">
        <f>IF(SUMIF(Participation_Entry!B:B,A77,Participation_Entry!L:L)=0,"",SUMIF(Participation_Entry!B:B,A77,Participation_Entry!L:L))</f>
        <v>20</v>
      </c>
    </row>
    <row r="78" spans="1:4">
      <c r="A78" s="13">
        <v>460628</v>
      </c>
      <c r="B78" s="25" t="str">
        <f>IFERROR(VLOOKUP(A78,Employee_Master!A:B,2,0),"")</f>
        <v>Smarth</v>
      </c>
      <c r="C78" s="25" t="str">
        <f>IFERROR(VLOOKUP(A78,Employee_Master!A:B,3,0),"")</f>
        <v/>
      </c>
      <c r="D78" s="25">
        <f>IF(SUMIF(Participation_Entry!B:B,A78,Participation_Entry!L:L)=0,"",SUMIF(Participation_Entry!B:B,A78,Participation_Entry!L:L))</f>
        <v>10</v>
      </c>
    </row>
    <row r="79" spans="1:4">
      <c r="A79" s="13">
        <v>461161</v>
      </c>
      <c r="B79" s="25" t="str">
        <f>IFERROR(VLOOKUP(A79,Employee_Master!A:B,2,0),"")</f>
        <v>Abhay Singh</v>
      </c>
      <c r="C79" s="25" t="str">
        <f>IFERROR(VLOOKUP(A79,Employee_Master!A:B,3,0),"")</f>
        <v/>
      </c>
      <c r="D79" s="25" t="str">
        <f>IF(SUMIF(Participation_Entry!B:B,A79,Participation_Entry!L:L)=0,"",SUMIF(Participation_Entry!B:B,A79,Participation_Entry!L:L))</f>
        <v/>
      </c>
    </row>
    <row r="80" spans="1:4">
      <c r="A80" s="13">
        <v>463097</v>
      </c>
      <c r="B80" s="25" t="str">
        <f>IFERROR(VLOOKUP(A80,Employee_Master!A:B,2,0),"")</f>
        <v>Gurkamalpreet Singh</v>
      </c>
      <c r="C80" s="25" t="str">
        <f>IFERROR(VLOOKUP(A80,Employee_Master!A:B,3,0),"")</f>
        <v/>
      </c>
      <c r="D80" s="25" t="str">
        <f>IF(SUMIF(Participation_Entry!B:B,A80,Participation_Entry!L:L)=0,"",SUMIF(Participation_Entry!B:B,A80,Participation_Entry!L:L))</f>
        <v/>
      </c>
    </row>
    <row r="81" spans="1:4">
      <c r="A81" s="13">
        <v>463833</v>
      </c>
      <c r="B81" s="25" t="str">
        <f>IFERROR(VLOOKUP(A81,Employee_Master!A:B,2,0),"")</f>
        <v>Kartik Shakya</v>
      </c>
      <c r="C81" s="25" t="str">
        <f>IFERROR(VLOOKUP(A81,Employee_Master!A:B,3,0),"")</f>
        <v/>
      </c>
      <c r="D81" s="25" t="str">
        <f>IF(SUMIF(Participation_Entry!B:B,A81,Participation_Entry!L:L)=0,"",SUMIF(Participation_Entry!B:B,A81,Participation_Entry!L:L))</f>
        <v/>
      </c>
    </row>
    <row r="82" spans="1:4">
      <c r="A82" s="13">
        <v>464193</v>
      </c>
      <c r="B82" s="25" t="str">
        <f>IFERROR(VLOOKUP(A82,Employee_Master!A:B,2,0),"")</f>
        <v>Hemant Singh</v>
      </c>
      <c r="C82" s="25" t="str">
        <f>IFERROR(VLOOKUP(A82,Employee_Master!A:B,3,0),"")</f>
        <v/>
      </c>
      <c r="D82" s="25" t="str">
        <f>IF(SUMIF(Participation_Entry!B:B,A82,Participation_Entry!L:L)=0,"",SUMIF(Participation_Entry!B:B,A82,Participation_Entry!L:L))</f>
        <v/>
      </c>
    </row>
    <row r="83" spans="1:4">
      <c r="A83" s="13">
        <v>452074</v>
      </c>
      <c r="B83" s="25" t="str">
        <f>IFERROR(VLOOKUP(A83,Employee_Master!A:B,2,0),"")</f>
        <v>Sneha Singh</v>
      </c>
      <c r="C83" s="25" t="str">
        <f>IFERROR(VLOOKUP(A83,Employee_Master!A:B,3,0),"")</f>
        <v/>
      </c>
      <c r="D83" s="25" t="str">
        <f>IF(SUMIF(Participation_Entry!B:B,A83,Participation_Entry!L:L)=0,"",SUMIF(Participation_Entry!B:B,A83,Participation_Entry!L:L))</f>
        <v/>
      </c>
    </row>
    <row r="84" spans="1:4">
      <c r="A84" s="13">
        <v>465254</v>
      </c>
      <c r="B84" s="25" t="str">
        <f>IFERROR(VLOOKUP(A84,Employee_Master!A:B,2,0),"")</f>
        <v>Narender Kumar</v>
      </c>
      <c r="C84" s="25" t="str">
        <f>IFERROR(VLOOKUP(A84,Employee_Master!A:B,3,0),"")</f>
        <v/>
      </c>
      <c r="D84" s="25">
        <f>IF(SUMIF(Participation_Entry!B:B,A84,Participation_Entry!L:L)=0,"",SUMIF(Participation_Entry!B:B,A84,Participation_Entry!L:L))</f>
        <v>10</v>
      </c>
    </row>
    <row r="85" spans="1:4">
      <c r="A85" s="13">
        <v>467075</v>
      </c>
      <c r="B85" s="25" t="str">
        <f>IFERROR(VLOOKUP(A85,Employee_Master!A:B,2,0),"")</f>
        <v>Ritish</v>
      </c>
      <c r="C85" s="25" t="str">
        <f>IFERROR(VLOOKUP(A85,Employee_Master!A:B,3,0),"")</f>
        <v/>
      </c>
      <c r="D85" s="25" t="str">
        <f>IF(SUMIF(Participation_Entry!B:B,A85,Participation_Entry!L:L)=0,"",SUMIF(Participation_Entry!B:B,A85,Participation_Entry!L:L))</f>
        <v/>
      </c>
    </row>
    <row r="86" spans="1:4">
      <c r="A86" s="13">
        <v>465255</v>
      </c>
      <c r="B86" s="25" t="str">
        <f>IFERROR(VLOOKUP(A86,Employee_Master!A:B,2,0),"")</f>
        <v>Mukul Suman</v>
      </c>
      <c r="C86" s="25" t="str">
        <f>IFERROR(VLOOKUP(A86,Employee_Master!A:B,3,0),"")</f>
        <v/>
      </c>
      <c r="D86" s="25">
        <f>IF(SUMIF(Participation_Entry!B:B,A86,Participation_Entry!L:L)=0,"",SUMIF(Participation_Entry!B:B,A86,Participation_Entry!L:L))</f>
        <v>10</v>
      </c>
    </row>
    <row r="87" spans="1:4">
      <c r="A87" s="13">
        <v>467068</v>
      </c>
      <c r="B87" s="25" t="str">
        <f>IFERROR(VLOOKUP(A87,Employee_Master!A:B,2,0),"")</f>
        <v>Anuj Kumar</v>
      </c>
      <c r="C87" s="25" t="str">
        <f>IFERROR(VLOOKUP(A87,Employee_Master!A:B,3,0),"")</f>
        <v/>
      </c>
      <c r="D87" s="25" t="str">
        <f>IF(SUMIF(Participation_Entry!B:B,A87,Participation_Entry!L:L)=0,"",SUMIF(Participation_Entry!B:B,A87,Participation_Entry!L:L))</f>
        <v/>
      </c>
    </row>
    <row r="88" spans="1:4">
      <c r="A88" s="13">
        <v>467915</v>
      </c>
      <c r="B88" s="25" t="str">
        <f>IFERROR(VLOOKUP(A88,Employee_Master!A:B,2,0),"")</f>
        <v>Rahul Kinkar</v>
      </c>
      <c r="C88" s="25" t="str">
        <f>IFERROR(VLOOKUP(A88,Employee_Master!A:B,3,0),"")</f>
        <v/>
      </c>
      <c r="D88" s="25" t="str">
        <f>IF(SUMIF(Participation_Entry!B:B,A88,Participation_Entry!L:L)=0,"",SUMIF(Participation_Entry!B:B,A88,Participation_Entry!L:L))</f>
        <v/>
      </c>
    </row>
    <row r="89" spans="1:4">
      <c r="A89" s="13">
        <v>468536</v>
      </c>
      <c r="B89" s="25" t="str">
        <f>IFERROR(VLOOKUP(A89,Employee_Master!A:B,2,0),"")</f>
        <v>Vinod Kumar</v>
      </c>
      <c r="C89" s="25" t="str">
        <f>IFERROR(VLOOKUP(A89,Employee_Master!A:B,3,0),"")</f>
        <v/>
      </c>
      <c r="D89" s="25">
        <f>IF(SUMIF(Participation_Entry!B:B,A89,Participation_Entry!L:L)=0,"",SUMIF(Participation_Entry!B:B,A89,Participation_Entry!L:L))</f>
        <v>170</v>
      </c>
    </row>
    <row r="90" spans="1:4">
      <c r="A90" s="13">
        <v>468456</v>
      </c>
      <c r="B90" s="25" t="str">
        <f>IFERROR(VLOOKUP(A90,Employee_Master!A:B,2,0),"")</f>
        <v>Ayush Joshi</v>
      </c>
      <c r="C90" s="25" t="str">
        <f>IFERROR(VLOOKUP(A90,Employee_Master!A:B,3,0),"")</f>
        <v/>
      </c>
      <c r="D90" s="25">
        <f>IF(SUMIF(Participation_Entry!B:B,A90,Participation_Entry!L:L)=0,"",SUMIF(Participation_Entry!B:B,A90,Participation_Entry!L:L))</f>
        <v>10</v>
      </c>
    </row>
    <row r="91" spans="1:4">
      <c r="A91" s="13">
        <v>469899</v>
      </c>
      <c r="B91" s="25" t="str">
        <f>IFERROR(VLOOKUP(A91,Employee_Master!A:B,2,0),"")</f>
        <v>Ankit</v>
      </c>
      <c r="C91" s="25" t="str">
        <f>IFERROR(VLOOKUP(A91,Employee_Master!A:B,3,0),"")</f>
        <v/>
      </c>
      <c r="D91" s="25" t="str">
        <f>IF(SUMIF(Participation_Entry!B:B,A91,Participation_Entry!L:L)=0,"",SUMIF(Participation_Entry!B:B,A91,Participation_Entry!L:L))</f>
        <v/>
      </c>
    </row>
    <row r="92" spans="1:4">
      <c r="A92" s="13">
        <v>468660</v>
      </c>
      <c r="B92" s="25" t="str">
        <f>IFERROR(VLOOKUP(A92,Employee_Master!A:B,2,0),"")</f>
        <v>Samay Raj</v>
      </c>
      <c r="C92" s="25" t="str">
        <f>IFERROR(VLOOKUP(A92,Employee_Master!A:B,3,0),"")</f>
        <v/>
      </c>
      <c r="D92" s="25" t="str">
        <f>IF(SUMIF(Participation_Entry!B:B,A92,Participation_Entry!L:L)=0,"",SUMIF(Participation_Entry!B:B,A92,Participation_Entry!L:L))</f>
        <v/>
      </c>
    </row>
    <row r="93" spans="1:4">
      <c r="A93" s="13">
        <v>469627</v>
      </c>
      <c r="B93" s="25" t="str">
        <f>IFERROR(VLOOKUP(A93,Employee_Master!A:B,2,0),"")</f>
        <v>Rahul Kumar</v>
      </c>
      <c r="C93" s="25" t="str">
        <f>IFERROR(VLOOKUP(A93,Employee_Master!A:B,3,0),"")</f>
        <v/>
      </c>
      <c r="D93" s="25">
        <f>IF(SUMIF(Participation_Entry!B:B,A93,Participation_Entry!L:L)=0,"",SUMIF(Participation_Entry!B:B,A93,Participation_Entry!L:L))</f>
        <v>10</v>
      </c>
    </row>
    <row r="94" spans="1:4">
      <c r="A94" s="13">
        <v>469617</v>
      </c>
      <c r="B94" s="25" t="str">
        <f>IFERROR(VLOOKUP(A94,Employee_Master!A:B,2,0),"")</f>
        <v>Siyaram</v>
      </c>
      <c r="C94" s="25" t="str">
        <f>IFERROR(VLOOKUP(A94,Employee_Master!A:B,3,0),"")</f>
        <v/>
      </c>
      <c r="D94" s="25" t="str">
        <f>IF(SUMIF(Participation_Entry!B:B,A94,Participation_Entry!L:L)=0,"",SUMIF(Participation_Entry!B:B,A94,Participation_Entry!L:L))</f>
        <v/>
      </c>
    </row>
    <row r="95" spans="1:4">
      <c r="A95" s="13">
        <v>472322</v>
      </c>
      <c r="B95" s="25" t="str">
        <f>IFERROR(VLOOKUP(A95,Employee_Master!A:B,2,0),"")</f>
        <v>Sanjeet Kumar</v>
      </c>
      <c r="C95" s="25" t="str">
        <f>IFERROR(VLOOKUP(A95,Employee_Master!A:B,3,0),"")</f>
        <v/>
      </c>
      <c r="D95" s="25">
        <f>IF(SUMIF(Participation_Entry!B:B,A95,Participation_Entry!L:L)=0,"",SUMIF(Participation_Entry!B:B,A95,Participation_Entry!L:L))</f>
        <v>10</v>
      </c>
    </row>
    <row r="96" spans="1:4">
      <c r="A96" s="13">
        <v>478377</v>
      </c>
      <c r="B96" s="25" t="str">
        <f>IFERROR(VLOOKUP(A96,Employee_Master!A:B,2,0),"")</f>
        <v xml:space="preserve">Ishi Verma </v>
      </c>
      <c r="C96" s="25" t="str">
        <f>IFERROR(VLOOKUP(A96,Employee_Master!A:B,3,0),"")</f>
        <v/>
      </c>
      <c r="D96" s="25" t="str">
        <f>IF(SUMIF(Participation_Entry!B:B,A96,Participation_Entry!L:L)=0,"",SUMIF(Participation_Entry!B:B,A96,Participation_Entry!L:L))</f>
        <v/>
      </c>
    </row>
    <row r="97" spans="1:4">
      <c r="A97" s="13">
        <v>478308</v>
      </c>
      <c r="B97" s="25" t="str">
        <f>IFERROR(VLOOKUP(A97,Employee_Master!A:B,2,0),"")</f>
        <v xml:space="preserve">Abhishek savita </v>
      </c>
      <c r="C97" s="25" t="str">
        <f>IFERROR(VLOOKUP(A97,Employee_Master!A:B,3,0),"")</f>
        <v/>
      </c>
      <c r="D97" s="25">
        <f>IF(SUMIF(Participation_Entry!B:B,A97,Participation_Entry!L:L)=0,"",SUMIF(Participation_Entry!B:B,A97,Participation_Entry!L:L))</f>
        <v>10</v>
      </c>
    </row>
    <row r="98" spans="1:4">
      <c r="A98" s="13">
        <v>478270</v>
      </c>
      <c r="B98" s="25" t="str">
        <f>IFERROR(VLOOKUP(A98,Employee_Master!A:B,2,0),"")</f>
        <v xml:space="preserve">Inzmam Ali </v>
      </c>
      <c r="C98" s="25" t="str">
        <f>IFERROR(VLOOKUP(A98,Employee_Master!A:B,3,0),"")</f>
        <v/>
      </c>
      <c r="D98" s="25">
        <f>IF(SUMIF(Participation_Entry!B:B,A98,Participation_Entry!L:L)=0,"",SUMIF(Participation_Entry!B:B,A98,Participation_Entry!L:L))</f>
        <v>200</v>
      </c>
    </row>
    <row r="99" spans="1:4">
      <c r="A99" s="13">
        <v>479348</v>
      </c>
      <c r="B99" s="25" t="str">
        <f>IFERROR(VLOOKUP(A99,Employee_Master!A:B,2,0),"")</f>
        <v>Harmandeep</v>
      </c>
      <c r="C99" s="25" t="str">
        <f>IFERROR(VLOOKUP(A99,Employee_Master!A:B,3,0),"")</f>
        <v/>
      </c>
      <c r="D99" s="25" t="str">
        <f>IF(SUMIF(Participation_Entry!B:B,A99,Participation_Entry!L:L)=0,"",SUMIF(Participation_Entry!B:B,A99,Participation_Entry!L:L))</f>
        <v/>
      </c>
    </row>
    <row r="100" spans="1:4">
      <c r="A100" s="13">
        <v>479724</v>
      </c>
      <c r="B100" s="25" t="str">
        <f>IFERROR(VLOOKUP(A100,Employee_Master!A:B,2,0),"")</f>
        <v>Honey</v>
      </c>
      <c r="C100" s="25" t="str">
        <f>IFERROR(VLOOKUP(A100,Employee_Master!A:B,3,0),"")</f>
        <v/>
      </c>
      <c r="D100" s="25" t="str">
        <f>IF(SUMIF(Participation_Entry!B:B,A100,Participation_Entry!L:L)=0,"",SUMIF(Participation_Entry!B:B,A100,Participation_Entry!L:L))</f>
        <v/>
      </c>
    </row>
    <row r="101" spans="1:4">
      <c r="A101" s="13">
        <v>487476</v>
      </c>
      <c r="B101" s="25" t="str">
        <f>IFERROR(VLOOKUP(A101,Employee_Master!A:B,2,0),"")</f>
        <v>Harshdeep Singh</v>
      </c>
      <c r="C101" s="25" t="str">
        <f>IFERROR(VLOOKUP(A101,Employee_Master!A:B,3,0),"")</f>
        <v/>
      </c>
      <c r="D101" s="25" t="str">
        <f>IF(SUMIF(Participation_Entry!B:B,A101,Participation_Entry!L:L)=0,"",SUMIF(Participation_Entry!B:B,A101,Participation_Entry!L:L))</f>
        <v/>
      </c>
    </row>
    <row r="102" spans="1:4">
      <c r="A102" s="13">
        <v>396485</v>
      </c>
      <c r="B102" s="25" t="str">
        <f>IFERROR(VLOOKUP(A102,Employee_Master!A:B,2,0),"")</f>
        <v>Khushbir Singh</v>
      </c>
      <c r="C102" s="25" t="str">
        <f>IFERROR(VLOOKUP(A102,Employee_Master!A:B,3,0),"")</f>
        <v/>
      </c>
      <c r="D102" s="25">
        <f>IF(SUMIF(Participation_Entry!B:B,A102,Participation_Entry!L:L)=0,"",SUMIF(Participation_Entry!B:B,A102,Participation_Entry!L:L))</f>
        <v>180</v>
      </c>
    </row>
    <row r="103" spans="1:4">
      <c r="A103" s="13">
        <v>432865</v>
      </c>
      <c r="B103" s="25" t="str">
        <f>IFERROR(VLOOKUP(A103,Employee_Master!A:B,2,0),"")</f>
        <v>Rupesh Gandhi</v>
      </c>
      <c r="C103" s="25" t="str">
        <f>IFERROR(VLOOKUP(A103,Employee_Master!A:B,3,0),"")</f>
        <v/>
      </c>
      <c r="D103" s="25">
        <f>IF(SUMIF(Participation_Entry!B:B,A103,Participation_Entry!L:L)=0,"",SUMIF(Participation_Entry!B:B,A103,Participation_Entry!L:L))</f>
        <v>285</v>
      </c>
    </row>
    <row r="104" spans="1:4">
      <c r="A104" s="13">
        <v>447836</v>
      </c>
      <c r="B104" s="25" t="str">
        <f>IFERROR(VLOOKUP(A104,Employee_Master!A:B,2,0),"")</f>
        <v>Rakesh S</v>
      </c>
      <c r="C104" s="25" t="str">
        <f>IFERROR(VLOOKUP(A104,Employee_Master!A:B,3,0),"")</f>
        <v/>
      </c>
      <c r="D104" s="25">
        <f>IF(SUMIF(Participation_Entry!B:B,A104,Participation_Entry!L:L)=0,"",SUMIF(Participation_Entry!B:B,A104,Participation_Entry!L:L))</f>
        <v>125</v>
      </c>
    </row>
    <row r="105" spans="1:4">
      <c r="A105" s="13">
        <v>449635</v>
      </c>
      <c r="B105" s="25" t="str">
        <f>IFERROR(VLOOKUP(A105,Employee_Master!A:B,2,0),"")</f>
        <v>Sushma Tiwari</v>
      </c>
      <c r="C105" s="25" t="str">
        <f>IFERROR(VLOOKUP(A105,Employee_Master!A:B,3,0),"")</f>
        <v/>
      </c>
      <c r="D105" s="25" t="str">
        <f>IF(SUMIF(Participation_Entry!B:B,A105,Participation_Entry!L:L)=0,"",SUMIF(Participation_Entry!B:B,A105,Participation_Entry!L:L))</f>
        <v/>
      </c>
    </row>
    <row r="106" spans="1:4">
      <c r="A106" s="13">
        <v>440774</v>
      </c>
      <c r="B106" s="25" t="str">
        <f>IFERROR(VLOOKUP(A106,Employee_Master!A:B,2,0),"")</f>
        <v>Mehnga Singh</v>
      </c>
      <c r="C106" s="25" t="str">
        <f>IFERROR(VLOOKUP(A106,Employee_Master!A:B,3,0),"")</f>
        <v/>
      </c>
      <c r="D106" s="25" t="str">
        <f>IF(SUMIF(Participation_Entry!B:B,A106,Participation_Entry!L:L)=0,"",SUMIF(Participation_Entry!B:B,A106,Participation_Entry!L:L))</f>
        <v/>
      </c>
    </row>
    <row r="107" spans="1:4">
      <c r="A107" s="13">
        <v>460513</v>
      </c>
      <c r="B107" s="25" t="str">
        <f>IFERROR(VLOOKUP(A107,Employee_Master!A:B,2,0),"")</f>
        <v>Dinesh Kumar</v>
      </c>
      <c r="C107" s="25" t="str">
        <f>IFERROR(VLOOKUP(A107,Employee_Master!A:B,3,0),"")</f>
        <v/>
      </c>
      <c r="D107" s="25" t="str">
        <f>IF(SUMIF(Participation_Entry!B:B,A107,Participation_Entry!L:L)=0,"",SUMIF(Participation_Entry!B:B,A107,Participation_Entry!L:L))</f>
        <v/>
      </c>
    </row>
    <row r="108" spans="1:4">
      <c r="A108" s="13">
        <v>458749</v>
      </c>
      <c r="B108" s="25" t="str">
        <f>IFERROR(VLOOKUP(A108,Employee_Master!A:B,2,0),"")</f>
        <v>Manoj Kumar Jangra</v>
      </c>
      <c r="C108" s="25" t="str">
        <f>IFERROR(VLOOKUP(A108,Employee_Master!A:B,3,0),"")</f>
        <v/>
      </c>
      <c r="D108" s="25" t="str">
        <f>IF(SUMIF(Participation_Entry!B:B,A108,Participation_Entry!L:L)=0,"",SUMIF(Participation_Entry!B:B,A108,Participation_Entry!L:L))</f>
        <v/>
      </c>
    </row>
    <row r="109" spans="1:4">
      <c r="A109" s="13">
        <v>458702</v>
      </c>
      <c r="B109" s="25" t="str">
        <f>IFERROR(VLOOKUP(A109,Employee_Master!A:B,2,0),"")</f>
        <v>Jasbeer Singh</v>
      </c>
      <c r="C109" s="25" t="str">
        <f>IFERROR(VLOOKUP(A109,Employee_Master!A:B,3,0),"")</f>
        <v/>
      </c>
      <c r="D109" s="25">
        <f>IF(SUMIF(Participation_Entry!B:B,A109,Participation_Entry!L:L)=0,"",SUMIF(Participation_Entry!B:B,A109,Participation_Entry!L:L))</f>
        <v>190</v>
      </c>
    </row>
    <row r="110" spans="1:4">
      <c r="A110" s="13">
        <v>449890</v>
      </c>
      <c r="B110" s="25" t="str">
        <f>IFERROR(VLOOKUP(A110,Employee_Master!A:B,2,0),"")</f>
        <v xml:space="preserve">Ashish Baghel </v>
      </c>
      <c r="C110" s="25" t="str">
        <f>IFERROR(VLOOKUP(A110,Employee_Master!A:B,3,0),"")</f>
        <v/>
      </c>
      <c r="D110" s="25">
        <f>IF(SUMIF(Participation_Entry!B:B,A110,Participation_Entry!L:L)=0,"",SUMIF(Participation_Entry!B:B,A110,Participation_Entry!L:L))</f>
        <v>320</v>
      </c>
    </row>
    <row r="111" spans="1:4">
      <c r="A111" s="13">
        <v>450030</v>
      </c>
      <c r="B111" s="25" t="str">
        <f>IFERROR(VLOOKUP(A111,Employee_Master!A:B,2,0),"")</f>
        <v xml:space="preserve">Manish bisht </v>
      </c>
      <c r="C111" s="25" t="str">
        <f>IFERROR(VLOOKUP(A111,Employee_Master!A:B,3,0),"")</f>
        <v/>
      </c>
      <c r="D111" s="25">
        <f>IF(SUMIF(Participation_Entry!B:B,A111,Participation_Entry!L:L)=0,"",SUMIF(Participation_Entry!B:B,A111,Participation_Entry!L:L))</f>
        <v>30</v>
      </c>
    </row>
    <row r="112" spans="1:4">
      <c r="A112" s="13">
        <v>450325</v>
      </c>
      <c r="B112" s="25" t="str">
        <f>IFERROR(VLOOKUP(A112,Employee_Master!A:B,2,0),"")</f>
        <v>Simratpal Singh</v>
      </c>
      <c r="C112" s="25" t="str">
        <f>IFERROR(VLOOKUP(A112,Employee_Master!A:B,3,0),"")</f>
        <v/>
      </c>
      <c r="D112" s="25" t="str">
        <f>IF(SUMIF(Participation_Entry!B:B,A112,Participation_Entry!L:L)=0,"",SUMIF(Participation_Entry!B:B,A112,Participation_Entry!L:L))</f>
        <v/>
      </c>
    </row>
    <row r="113" spans="1:4">
      <c r="A113" s="13">
        <v>452116</v>
      </c>
      <c r="B113" s="25" t="str">
        <f>IFERROR(VLOOKUP(A113,Employee_Master!A:B,2,0),"")</f>
        <v xml:space="preserve">Harsh </v>
      </c>
      <c r="C113" s="25" t="str">
        <f>IFERROR(VLOOKUP(A113,Employee_Master!A:B,3,0),"")</f>
        <v/>
      </c>
      <c r="D113" s="25" t="str">
        <f>IF(SUMIF(Participation_Entry!B:B,A113,Participation_Entry!L:L)=0,"",SUMIF(Participation_Entry!B:B,A113,Participation_Entry!L:L))</f>
        <v/>
      </c>
    </row>
    <row r="114" spans="1:4">
      <c r="A114" s="13">
        <v>457157</v>
      </c>
      <c r="B114" s="25" t="str">
        <f>IFERROR(VLOOKUP(A114,Employee_Master!A:B,2,0),"")</f>
        <v>Sachin Kashyap</v>
      </c>
      <c r="C114" s="25" t="str">
        <f>IFERROR(VLOOKUP(A114,Employee_Master!A:B,3,0),"")</f>
        <v/>
      </c>
      <c r="D114" s="25">
        <f>IF(SUMIF(Participation_Entry!B:B,A114,Participation_Entry!L:L)=0,"",SUMIF(Participation_Entry!B:B,A114,Participation_Entry!L:L))</f>
        <v>180</v>
      </c>
    </row>
    <row r="115" spans="1:4">
      <c r="A115" s="13">
        <v>456706</v>
      </c>
      <c r="B115" s="25" t="str">
        <f>IFERROR(VLOOKUP(A115,Employee_Master!A:B,2,0),"")</f>
        <v>Daljit Singh</v>
      </c>
      <c r="C115" s="25" t="str">
        <f>IFERROR(VLOOKUP(A115,Employee_Master!A:B,3,0),"")</f>
        <v/>
      </c>
      <c r="D115" s="25" t="str">
        <f>IF(SUMIF(Participation_Entry!B:B,A115,Participation_Entry!L:L)=0,"",SUMIF(Participation_Entry!B:B,A115,Participation_Entry!L:L))</f>
        <v/>
      </c>
    </row>
    <row r="116" spans="1:4">
      <c r="A116" s="13">
        <v>457795</v>
      </c>
      <c r="B116" s="25" t="str">
        <f>IFERROR(VLOOKUP(A116,Employee_Master!A:B,2,0),"")</f>
        <v>Manbir Sain</v>
      </c>
      <c r="C116" s="25" t="str">
        <f>IFERROR(VLOOKUP(A116,Employee_Master!A:B,3,0),"")</f>
        <v/>
      </c>
      <c r="D116" s="25">
        <f>IF(SUMIF(Participation_Entry!B:B,A116,Participation_Entry!L:L)=0,"",SUMIF(Participation_Entry!B:B,A116,Participation_Entry!L:L))</f>
        <v>10</v>
      </c>
    </row>
    <row r="117" spans="1:4">
      <c r="A117" s="13">
        <v>460888</v>
      </c>
      <c r="B117" s="25" t="str">
        <f>IFERROR(VLOOKUP(A117,Employee_Master!A:B,2,0),"")</f>
        <v>Yatin</v>
      </c>
      <c r="C117" s="25" t="str">
        <f>IFERROR(VLOOKUP(A117,Employee_Master!A:B,3,0),"")</f>
        <v/>
      </c>
      <c r="D117" s="25" t="str">
        <f>IF(SUMIF(Participation_Entry!B:B,A117,Participation_Entry!L:L)=0,"",SUMIF(Participation_Entry!B:B,A117,Participation_Entry!L:L))</f>
        <v/>
      </c>
    </row>
    <row r="118" spans="1:4">
      <c r="A118" s="13">
        <v>460764</v>
      </c>
      <c r="B118" s="25" t="str">
        <f>IFERROR(VLOOKUP(A118,Employee_Master!A:B,2,0),"")</f>
        <v>Himanshu Yadav</v>
      </c>
      <c r="C118" s="25" t="str">
        <f>IFERROR(VLOOKUP(A118,Employee_Master!A:B,3,0),"")</f>
        <v/>
      </c>
      <c r="D118" s="25">
        <f>IF(SUMIF(Participation_Entry!B:B,A118,Participation_Entry!L:L)=0,"",SUMIF(Participation_Entry!B:B,A118,Participation_Entry!L:L))</f>
        <v>20</v>
      </c>
    </row>
    <row r="119" spans="1:4">
      <c r="A119" s="13">
        <v>464871</v>
      </c>
      <c r="B119" s="25" t="str">
        <f>IFERROR(VLOOKUP(A119,Employee_Master!A:B,2,0),"")</f>
        <v>Mohit Sahu</v>
      </c>
      <c r="C119" s="25" t="str">
        <f>IFERROR(VLOOKUP(A119,Employee_Master!A:B,3,0),"")</f>
        <v/>
      </c>
      <c r="D119" s="25">
        <f>IF(SUMIF(Participation_Entry!B:B,A119,Participation_Entry!L:L)=0,"",SUMIF(Participation_Entry!B:B,A119,Participation_Entry!L:L))</f>
        <v>10</v>
      </c>
    </row>
    <row r="120" spans="1:4">
      <c r="A120" s="13">
        <v>466367</v>
      </c>
      <c r="B120" s="25" t="str">
        <f>IFERROR(VLOOKUP(A120,Employee_Master!A:B,2,0),"")</f>
        <v>Arjun Sharma</v>
      </c>
      <c r="C120" s="25" t="str">
        <f>IFERROR(VLOOKUP(A120,Employee_Master!A:B,3,0),"")</f>
        <v/>
      </c>
      <c r="D120" s="25" t="str">
        <f>IF(SUMIF(Participation_Entry!B:B,A120,Participation_Entry!L:L)=0,"",SUMIF(Participation_Entry!B:B,A120,Participation_Entry!L:L))</f>
        <v/>
      </c>
    </row>
    <row r="121" spans="1:4">
      <c r="A121" s="13">
        <v>466562</v>
      </c>
      <c r="B121" s="25" t="str">
        <f>IFERROR(VLOOKUP(A121,Employee_Master!A:B,2,0),"")</f>
        <v>Vikas Bhardwaj</v>
      </c>
      <c r="C121" s="25" t="str">
        <f>IFERROR(VLOOKUP(A121,Employee_Master!A:B,3,0),"")</f>
        <v/>
      </c>
      <c r="D121" s="25" t="str">
        <f>IF(SUMIF(Participation_Entry!B:B,A121,Participation_Entry!L:L)=0,"",SUMIF(Participation_Entry!B:B,A121,Participation_Entry!L:L))</f>
        <v/>
      </c>
    </row>
    <row r="122" spans="1:4">
      <c r="A122" s="13">
        <v>466445</v>
      </c>
      <c r="B122" s="25" t="str">
        <f>IFERROR(VLOOKUP(A122,Employee_Master!A:B,2,0),"")</f>
        <v>Ayush Kumar</v>
      </c>
      <c r="C122" s="25" t="str">
        <f>IFERROR(VLOOKUP(A122,Employee_Master!A:B,3,0),"")</f>
        <v/>
      </c>
      <c r="D122" s="25">
        <f>IF(SUMIF(Participation_Entry!B:B,A122,Participation_Entry!L:L)=0,"",SUMIF(Participation_Entry!B:B,A122,Participation_Entry!L:L))</f>
        <v>10</v>
      </c>
    </row>
    <row r="123" spans="1:4">
      <c r="A123" s="13">
        <v>468157</v>
      </c>
      <c r="B123" s="25" t="str">
        <f>IFERROR(VLOOKUP(A123,Employee_Master!A:B,2,0),"")</f>
        <v>Ankit Tiwari</v>
      </c>
      <c r="C123" s="25" t="str">
        <f>IFERROR(VLOOKUP(A123,Employee_Master!A:B,3,0),"")</f>
        <v/>
      </c>
      <c r="D123" s="25">
        <f>IF(SUMIF(Participation_Entry!B:B,A123,Participation_Entry!L:L)=0,"",SUMIF(Participation_Entry!B:B,A123,Participation_Entry!L:L))</f>
        <v>135</v>
      </c>
    </row>
    <row r="124" spans="1:4">
      <c r="A124" s="13">
        <v>473015</v>
      </c>
      <c r="B124" s="25" t="str">
        <f>IFERROR(VLOOKUP(A124,Employee_Master!A:B,2,0),"")</f>
        <v>Partap</v>
      </c>
      <c r="C124" s="25" t="str">
        <f>IFERROR(VLOOKUP(A124,Employee_Master!A:B,3,0),"")</f>
        <v/>
      </c>
      <c r="D124" s="25" t="str">
        <f>IF(SUMIF(Participation_Entry!B:B,A124,Participation_Entry!L:L)=0,"",SUMIF(Participation_Entry!B:B,A124,Participation_Entry!L:L))</f>
        <v/>
      </c>
    </row>
    <row r="125" spans="1:4">
      <c r="A125" s="13">
        <v>467544</v>
      </c>
      <c r="B125" s="25" t="str">
        <f>IFERROR(VLOOKUP(A125,Employee_Master!A:B,2,0),"")</f>
        <v>Vinay Kumar</v>
      </c>
      <c r="C125" s="25" t="str">
        <f>IFERROR(VLOOKUP(A125,Employee_Master!A:B,3,0),"")</f>
        <v/>
      </c>
      <c r="D125" s="25" t="str">
        <f>IF(SUMIF(Participation_Entry!B:B,A125,Participation_Entry!L:L)=0,"",SUMIF(Participation_Entry!B:B,A125,Participation_Entry!L:L))</f>
        <v/>
      </c>
    </row>
    <row r="126" spans="1:4">
      <c r="A126" s="13">
        <v>474194</v>
      </c>
      <c r="B126" s="25" t="str">
        <f>IFERROR(VLOOKUP(A126,Employee_Master!A:B,2,0),"")</f>
        <v>Rohit Yadav</v>
      </c>
      <c r="C126" s="25" t="str">
        <f>IFERROR(VLOOKUP(A126,Employee_Master!A:B,3,0),"")</f>
        <v/>
      </c>
      <c r="D126" s="25">
        <f>IF(SUMIF(Participation_Entry!B:B,A126,Participation_Entry!L:L)=0,"",SUMIF(Participation_Entry!B:B,A126,Participation_Entry!L:L))</f>
        <v>30</v>
      </c>
    </row>
    <row r="127" spans="1:4">
      <c r="A127" s="13">
        <v>472840</v>
      </c>
      <c r="B127" s="25" t="str">
        <f>IFERROR(VLOOKUP(A127,Employee_Master!A:B,2,0),"")</f>
        <v>Supravat Adhikary</v>
      </c>
      <c r="C127" s="25" t="str">
        <f>IFERROR(VLOOKUP(A127,Employee_Master!A:B,3,0),"")</f>
        <v/>
      </c>
      <c r="D127" s="25" t="str">
        <f>IF(SUMIF(Participation_Entry!B:B,A127,Participation_Entry!L:L)=0,"",SUMIF(Participation_Entry!B:B,A127,Participation_Entry!L:L))</f>
        <v/>
      </c>
    </row>
    <row r="128" spans="1:4">
      <c r="A128" s="13">
        <v>476372</v>
      </c>
      <c r="B128" s="25" t="str">
        <f>IFERROR(VLOOKUP(A128,Employee_Master!A:B,2,0),"")</f>
        <v>Laksh</v>
      </c>
      <c r="C128" s="25" t="str">
        <f>IFERROR(VLOOKUP(A128,Employee_Master!A:B,3,0),"")</f>
        <v/>
      </c>
      <c r="D128" s="25">
        <f>IF(SUMIF(Participation_Entry!B:B,A128,Participation_Entry!L:L)=0,"",SUMIF(Participation_Entry!B:B,A128,Participation_Entry!L:L))</f>
        <v>30</v>
      </c>
    </row>
    <row r="129" spans="1:4">
      <c r="A129" s="13">
        <v>478084</v>
      </c>
      <c r="B129" s="25" t="str">
        <f>IFERROR(VLOOKUP(A129,Employee_Master!A:B,2,0),"")</f>
        <v>Ashish Mishra</v>
      </c>
      <c r="C129" s="25" t="str">
        <f>IFERROR(VLOOKUP(A129,Employee_Master!A:B,3,0),"")</f>
        <v/>
      </c>
      <c r="D129" s="25">
        <f>IF(SUMIF(Participation_Entry!B:B,A129,Participation_Entry!L:L)=0,"",SUMIF(Participation_Entry!B:B,A129,Participation_Entry!L:L))</f>
        <v>10</v>
      </c>
    </row>
    <row r="130" spans="1:4">
      <c r="A130" s="13">
        <v>453948</v>
      </c>
      <c r="B130" s="25" t="str">
        <f>IFERROR(VLOOKUP(A130,Employee_Master!A:B,2,0),"")</f>
        <v>Ashish Bhardwaj</v>
      </c>
      <c r="C130" s="25" t="str">
        <f>IFERROR(VLOOKUP(A130,Employee_Master!A:B,3,0),"")</f>
        <v/>
      </c>
      <c r="D130" s="25">
        <f>IF(SUMIF(Participation_Entry!B:B,A130,Participation_Entry!L:L)=0,"",SUMIF(Participation_Entry!B:B,A130,Participation_Entry!L:L))</f>
        <v>10</v>
      </c>
    </row>
    <row r="131" spans="1:4">
      <c r="A131" s="13">
        <v>460692</v>
      </c>
      <c r="B131" s="25" t="str">
        <f>IFERROR(VLOOKUP(A131,Employee_Master!A:B,2,0),"")</f>
        <v>Mayank Arya</v>
      </c>
      <c r="C131" s="25" t="str">
        <f>IFERROR(VLOOKUP(A131,Employee_Master!A:B,3,0),"")</f>
        <v/>
      </c>
      <c r="D131" s="25">
        <f>IF(SUMIF(Participation_Entry!B:B,A131,Participation_Entry!L:L)=0,"",SUMIF(Participation_Entry!B:B,A131,Participation_Entry!L:L))</f>
        <v>10</v>
      </c>
    </row>
    <row r="132" spans="1:4">
      <c r="A132" s="13">
        <v>435877</v>
      </c>
      <c r="B132" s="25" t="str">
        <f>IFERROR(VLOOKUP(A132,Employee_Master!A:B,2,0),"")</f>
        <v>Pardeep Kumar</v>
      </c>
      <c r="C132" s="25" t="str">
        <f>IFERROR(VLOOKUP(A132,Employee_Master!A:B,3,0),"")</f>
        <v/>
      </c>
      <c r="D132" s="25">
        <f>IF(SUMIF(Participation_Entry!B:B,A132,Participation_Entry!L:L)=0,"",SUMIF(Participation_Entry!B:B,A132,Participation_Entry!L:L))</f>
        <v>20</v>
      </c>
    </row>
    <row r="133" spans="1:4">
      <c r="A133" s="13">
        <v>440620</v>
      </c>
      <c r="B133" s="25" t="str">
        <f>IFERROR(VLOOKUP(A133,Employee_Master!A:B,2,0),"")</f>
        <v>Kuldeep Singh</v>
      </c>
      <c r="C133" s="25" t="str">
        <f>IFERROR(VLOOKUP(A133,Employee_Master!A:B,3,0),"")</f>
        <v/>
      </c>
      <c r="D133" s="25">
        <f>IF(SUMIF(Participation_Entry!B:B,A133,Participation_Entry!L:L)=0,"",SUMIF(Participation_Entry!B:B,A133,Participation_Entry!L:L))</f>
        <v>190</v>
      </c>
    </row>
    <row r="134" spans="1:4">
      <c r="A134" s="13">
        <v>449551</v>
      </c>
      <c r="B134" s="25" t="str">
        <f>IFERROR(VLOOKUP(A134,Employee_Master!A:B,2,0),"")</f>
        <v>Ramesh Kumar</v>
      </c>
      <c r="C134" s="25" t="str">
        <f>IFERROR(VLOOKUP(A134,Employee_Master!A:B,3,0),"")</f>
        <v/>
      </c>
      <c r="D134" s="25">
        <f>IF(SUMIF(Participation_Entry!B:B,A134,Participation_Entry!L:L)=0,"",SUMIF(Participation_Entry!B:B,A134,Participation_Entry!L:L))</f>
        <v>20</v>
      </c>
    </row>
    <row r="135" spans="1:4">
      <c r="A135" s="13">
        <v>452799</v>
      </c>
      <c r="B135" s="25" t="str">
        <f>IFERROR(VLOOKUP(A135,Employee_Master!A:B,2,0),"")</f>
        <v>Manish Kukreti</v>
      </c>
      <c r="C135" s="25" t="str">
        <f>IFERROR(VLOOKUP(A135,Employee_Master!A:B,3,0),"")</f>
        <v/>
      </c>
      <c r="D135" s="25">
        <f>IF(SUMIF(Participation_Entry!B:B,A135,Participation_Entry!L:L)=0,"",SUMIF(Participation_Entry!B:B,A135,Participation_Entry!L:L))</f>
        <v>40</v>
      </c>
    </row>
    <row r="136" spans="1:4">
      <c r="A136" s="13">
        <v>438864</v>
      </c>
      <c r="B136" s="25" t="str">
        <f>IFERROR(VLOOKUP(A136,Employee_Master!A:B,2,0),"")</f>
        <v>Rajan Gupta</v>
      </c>
      <c r="C136" s="25" t="str">
        <f>IFERROR(VLOOKUP(A136,Employee_Master!A:B,3,0),"")</f>
        <v/>
      </c>
      <c r="D136" s="25">
        <f>IF(SUMIF(Participation_Entry!B:B,A136,Participation_Entry!L:L)=0,"",SUMIF(Participation_Entry!B:B,A136,Participation_Entry!L:L))</f>
        <v>20</v>
      </c>
    </row>
    <row r="137" spans="1:4">
      <c r="A137" s="13">
        <v>463059</v>
      </c>
      <c r="B137" s="25" t="str">
        <f>IFERROR(VLOOKUP(A137,Employee_Master!A:B,2,0),"")</f>
        <v>Parvinder</v>
      </c>
      <c r="C137" s="25" t="str">
        <f>IFERROR(VLOOKUP(A137,Employee_Master!A:B,3,0),"")</f>
        <v/>
      </c>
      <c r="D137" s="25" t="str">
        <f>IF(SUMIF(Participation_Entry!B:B,A137,Participation_Entry!L:L)=0,"",SUMIF(Participation_Entry!B:B,A137,Participation_Entry!L:L))</f>
        <v/>
      </c>
    </row>
    <row r="138" spans="1:4">
      <c r="A138" s="13">
        <v>455024</v>
      </c>
      <c r="B138" s="25" t="str">
        <f>IFERROR(VLOOKUP(A138,Employee_Master!A:B,2,0),"")</f>
        <v>Dileep Kumar</v>
      </c>
      <c r="C138" s="25" t="str">
        <f>IFERROR(VLOOKUP(A138,Employee_Master!A:B,3,0),"")</f>
        <v/>
      </c>
      <c r="D138" s="25" t="str">
        <f>IF(SUMIF(Participation_Entry!B:B,A138,Participation_Entry!L:L)=0,"",SUMIF(Participation_Entry!B:B,A138,Participation_Entry!L:L))</f>
        <v/>
      </c>
    </row>
    <row r="139" spans="1:4">
      <c r="A139" s="13">
        <v>449891</v>
      </c>
      <c r="B139" s="25" t="str">
        <f>IFERROR(VLOOKUP(A139,Employee_Master!A:B,2,0),"")</f>
        <v>Komalpreet</v>
      </c>
      <c r="C139" s="25" t="str">
        <f>IFERROR(VLOOKUP(A139,Employee_Master!A:B,3,0),"")</f>
        <v/>
      </c>
      <c r="D139" s="25">
        <f>IF(SUMIF(Participation_Entry!B:B,A139,Participation_Entry!L:L)=0,"",SUMIF(Participation_Entry!B:B,A139,Participation_Entry!L:L))</f>
        <v>115</v>
      </c>
    </row>
    <row r="140" spans="1:4">
      <c r="A140" s="13">
        <v>450224</v>
      </c>
      <c r="B140" s="25" t="str">
        <f>IFERROR(VLOOKUP(A140,Employee_Master!A:B,2,0),"")</f>
        <v>Lalit Nagar</v>
      </c>
      <c r="C140" s="25" t="str">
        <f>IFERROR(VLOOKUP(A140,Employee_Master!A:B,3,0),"")</f>
        <v/>
      </c>
      <c r="D140" s="25">
        <f>IF(SUMIF(Participation_Entry!B:B,A140,Participation_Entry!L:L)=0,"",SUMIF(Participation_Entry!B:B,A140,Participation_Entry!L:L))</f>
        <v>40</v>
      </c>
    </row>
    <row r="141" spans="1:4">
      <c r="A141" s="13">
        <v>450171</v>
      </c>
      <c r="B141" s="25" t="str">
        <f>IFERROR(VLOOKUP(A141,Employee_Master!A:B,2,0),"")</f>
        <v>Manpreet Kaur</v>
      </c>
      <c r="C141" s="25" t="str">
        <f>IFERROR(VLOOKUP(A141,Employee_Master!A:B,3,0),"")</f>
        <v/>
      </c>
      <c r="D141" s="25" t="str">
        <f>IF(SUMIF(Participation_Entry!B:B,A141,Participation_Entry!L:L)=0,"",SUMIF(Participation_Entry!B:B,A141,Participation_Entry!L:L))</f>
        <v/>
      </c>
    </row>
    <row r="142" spans="1:4">
      <c r="A142" s="13">
        <v>450230</v>
      </c>
      <c r="B142" s="25" t="str">
        <f>IFERROR(VLOOKUP(A142,Employee_Master!A:B,2,0),"")</f>
        <v>Aarti Gupta</v>
      </c>
      <c r="C142" s="25" t="str">
        <f>IFERROR(VLOOKUP(A142,Employee_Master!A:B,3,0),"")</f>
        <v/>
      </c>
      <c r="D142" s="25">
        <f>IF(SUMIF(Participation_Entry!B:B,A142,Participation_Entry!L:L)=0,"",SUMIF(Participation_Entry!B:B,A142,Participation_Entry!L:L))</f>
        <v>20</v>
      </c>
    </row>
    <row r="143" spans="1:4">
      <c r="A143" s="13">
        <v>452059</v>
      </c>
      <c r="B143" s="25" t="str">
        <f>IFERROR(VLOOKUP(A143,Employee_Master!A:B,2,0),"")</f>
        <v>Mahi Singh</v>
      </c>
      <c r="C143" s="25" t="str">
        <f>IFERROR(VLOOKUP(A143,Employee_Master!A:B,3,0),"")</f>
        <v/>
      </c>
      <c r="D143" s="25">
        <f>IF(SUMIF(Participation_Entry!B:B,A143,Participation_Entry!L:L)=0,"",SUMIF(Participation_Entry!B:B,A143,Participation_Entry!L:L))</f>
        <v>20</v>
      </c>
    </row>
    <row r="144" spans="1:4">
      <c r="A144" s="13">
        <v>466167</v>
      </c>
      <c r="B144" s="25" t="str">
        <f>IFERROR(VLOOKUP(A144,Employee_Master!A:B,2,0),"")</f>
        <v>Aishwarya Sharma</v>
      </c>
      <c r="C144" s="25" t="str">
        <f>IFERROR(VLOOKUP(A144,Employee_Master!A:B,3,0),"")</f>
        <v/>
      </c>
      <c r="D144" s="25">
        <f>IF(SUMIF(Participation_Entry!B:B,A144,Participation_Entry!L:L)=0,"",SUMIF(Participation_Entry!B:B,A144,Participation_Entry!L:L))</f>
        <v>20</v>
      </c>
    </row>
    <row r="145" spans="1:4">
      <c r="A145" s="13">
        <v>452076</v>
      </c>
      <c r="B145" s="25" t="str">
        <f>IFERROR(VLOOKUP(A145,Employee_Master!A:B,2,0),"")</f>
        <v>Shraddha Singh</v>
      </c>
      <c r="C145" s="25" t="str">
        <f>IFERROR(VLOOKUP(A145,Employee_Master!A:B,3,0),"")</f>
        <v/>
      </c>
      <c r="D145" s="25">
        <f>IF(SUMIF(Participation_Entry!B:B,A145,Participation_Entry!L:L)=0,"",SUMIF(Participation_Entry!B:B,A145,Participation_Entry!L:L))</f>
        <v>20</v>
      </c>
    </row>
    <row r="146" spans="1:4">
      <c r="A146" s="13">
        <v>468887</v>
      </c>
      <c r="B146" s="25" t="str">
        <f>IFERROR(VLOOKUP(A146,Employee_Master!A:B,2,0),"")</f>
        <v>Prachi Shukla</v>
      </c>
      <c r="C146" s="25" t="str">
        <f>IFERROR(VLOOKUP(A146,Employee_Master!A:B,3,0),"")</f>
        <v/>
      </c>
      <c r="D146" s="25">
        <f>IF(SUMIF(Participation_Entry!B:B,A146,Participation_Entry!L:L)=0,"",SUMIF(Participation_Entry!B:B,A146,Participation_Entry!L:L))</f>
        <v>115</v>
      </c>
    </row>
    <row r="147" spans="1:4">
      <c r="A147" s="13">
        <v>470301</v>
      </c>
      <c r="B147" s="25" t="str">
        <f>IFERROR(VLOOKUP(A147,Employee_Master!A:B,2,0),"")</f>
        <v>Ankit Kumar</v>
      </c>
      <c r="C147" s="25" t="str">
        <f>IFERROR(VLOOKUP(A147,Employee_Master!A:B,3,0),"")</f>
        <v/>
      </c>
      <c r="D147" s="25" t="str">
        <f>IF(SUMIF(Participation_Entry!B:B,A147,Participation_Entry!L:L)=0,"",SUMIF(Participation_Entry!B:B,A147,Participation_Entry!L:L))</f>
        <v/>
      </c>
    </row>
    <row r="148" spans="1:4">
      <c r="A148" s="13">
        <v>471387</v>
      </c>
      <c r="B148" s="25" t="str">
        <f>IFERROR(VLOOKUP(A148,Employee_Master!A:B,2,0),"")</f>
        <v>Neeraj</v>
      </c>
      <c r="C148" s="25" t="str">
        <f>IFERROR(VLOOKUP(A148,Employee_Master!A:B,3,0),"")</f>
        <v/>
      </c>
      <c r="D148" s="25" t="str">
        <f>IF(SUMIF(Participation_Entry!B:B,A148,Participation_Entry!L:L)=0,"",SUMIF(Participation_Entry!B:B,A148,Participation_Entry!L:L))</f>
        <v/>
      </c>
    </row>
    <row r="149" spans="1:4">
      <c r="A149" s="13">
        <v>478269</v>
      </c>
      <c r="B149" s="25" t="str">
        <f>IFERROR(VLOOKUP(A149,Employee_Master!A:B,2,0),"")</f>
        <v xml:space="preserve">Saurabh kumar </v>
      </c>
      <c r="C149" s="25" t="str">
        <f>IFERROR(VLOOKUP(A149,Employee_Master!A:B,3,0),"")</f>
        <v/>
      </c>
      <c r="D149" s="25" t="str">
        <f>IF(SUMIF(Participation_Entry!B:B,A149,Participation_Entry!L:L)=0,"",SUMIF(Participation_Entry!B:B,A149,Participation_Entry!L:L))</f>
        <v/>
      </c>
    </row>
    <row r="150" spans="1:4">
      <c r="A150" s="13">
        <v>478266</v>
      </c>
      <c r="B150" s="25" t="str">
        <f>IFERROR(VLOOKUP(A150,Employee_Master!A:B,2,0),"")</f>
        <v xml:space="preserve">Abhishek Sharma </v>
      </c>
      <c r="C150" s="25" t="str">
        <f>IFERROR(VLOOKUP(A150,Employee_Master!A:B,3,0),"")</f>
        <v/>
      </c>
      <c r="D150" s="25" t="str">
        <f>IF(SUMIF(Participation_Entry!B:B,A150,Participation_Entry!L:L)=0,"",SUMIF(Participation_Entry!B:B,A150,Participation_Entry!L:L))</f>
        <v/>
      </c>
    </row>
    <row r="151" spans="1:4">
      <c r="A151" s="13">
        <v>427154</v>
      </c>
      <c r="B151" s="25" t="str">
        <f>IFERROR(VLOOKUP(A151,Employee_Master!A:B,2,0),"")</f>
        <v>Rohan Mehra</v>
      </c>
      <c r="C151" s="25" t="str">
        <f>IFERROR(VLOOKUP(A151,Employee_Master!A:B,3,0),"")</f>
        <v/>
      </c>
      <c r="D151" s="25">
        <f>IF(SUMIF(Participation_Entry!B:B,A151,Participation_Entry!L:L)=0,"",SUMIF(Participation_Entry!B:B,A151,Participation_Entry!L:L))</f>
        <v>420</v>
      </c>
    </row>
    <row r="152" spans="1:4">
      <c r="A152" s="13">
        <v>700216</v>
      </c>
      <c r="B152" s="25" t="str">
        <f>IFERROR(VLOOKUP(A152,Employee_Master!A:B,2,0),"")</f>
        <v>Shivam Rani</v>
      </c>
      <c r="C152" s="25" t="str">
        <f>IFERROR(VLOOKUP(A152,Employee_Master!A:B,3,0),"")</f>
        <v/>
      </c>
      <c r="D152" s="25">
        <f>IF(SUMIF(Participation_Entry!B:B,A152,Participation_Entry!L:L)=0,"",SUMIF(Participation_Entry!B:B,A152,Participation_Entry!L:L))</f>
        <v>340</v>
      </c>
    </row>
    <row r="153" spans="1:4">
      <c r="A153" s="13">
        <v>705995</v>
      </c>
      <c r="B153" s="25" t="str">
        <f>IFERROR(VLOOKUP(A153,Employee_Master!A:B,2,0),"")</f>
        <v>Sahil.</v>
      </c>
      <c r="C153" s="25" t="str">
        <f>IFERROR(VLOOKUP(A153,Employee_Master!A:B,3,0),"")</f>
        <v/>
      </c>
      <c r="D153" s="25" t="str">
        <f>IF(SUMIF(Participation_Entry!B:B,A153,Participation_Entry!L:L)=0,"",SUMIF(Participation_Entry!B:B,A153,Participation_Entry!L:L))</f>
        <v/>
      </c>
    </row>
    <row r="154" spans="1:4">
      <c r="A154" s="13">
        <v>706181</v>
      </c>
      <c r="B154" s="25" t="str">
        <f>IFERROR(VLOOKUP(A154,Employee_Master!A:B,2,0),"")</f>
        <v>Sonam Kachhap</v>
      </c>
      <c r="C154" s="25" t="str">
        <f>IFERROR(VLOOKUP(A154,Employee_Master!A:B,3,0),"")</f>
        <v/>
      </c>
      <c r="D154" s="25" t="str">
        <f>IF(SUMIF(Participation_Entry!B:B,A154,Participation_Entry!L:L)=0,"",SUMIF(Participation_Entry!B:B,A154,Participation_Entry!L:L))</f>
        <v/>
      </c>
    </row>
    <row r="155" spans="1:4">
      <c r="A155" s="13">
        <v>706306</v>
      </c>
      <c r="B155" s="25" t="str">
        <f>IFERROR(VLOOKUP(A155,Employee_Master!A:B,2,0),"")</f>
        <v>Subhashree Nayak</v>
      </c>
      <c r="C155" s="25" t="str">
        <f>IFERROR(VLOOKUP(A155,Employee_Master!A:B,3,0),"")</f>
        <v/>
      </c>
      <c r="D155" s="25">
        <f>IF(SUMIF(Participation_Entry!B:B,A155,Participation_Entry!L:L)=0,"",SUMIF(Participation_Entry!B:B,A155,Participation_Entry!L:L))</f>
        <v>10</v>
      </c>
    </row>
    <row r="156" spans="1:4">
      <c r="A156" s="13">
        <v>705909</v>
      </c>
      <c r="B156" s="25" t="str">
        <f>IFERROR(VLOOKUP(A156,Employee_Master!A:B,2,0),"")</f>
        <v>Tanmay Ghosal</v>
      </c>
      <c r="C156" s="25" t="str">
        <f>IFERROR(VLOOKUP(A156,Employee_Master!A:B,3,0),"")</f>
        <v/>
      </c>
      <c r="D156" s="25" t="str">
        <f>IF(SUMIF(Participation_Entry!B:B,A156,Participation_Entry!L:L)=0,"",SUMIF(Participation_Entry!B:B,A156,Participation_Entry!L:L))</f>
        <v/>
      </c>
    </row>
    <row r="157" spans="1:4">
      <c r="A157" s="13">
        <v>707131</v>
      </c>
      <c r="B157" s="25" t="str">
        <f>IFERROR(VLOOKUP(A157,Employee_Master!A:B,2,0),"")</f>
        <v>Puja Bhalotia</v>
      </c>
      <c r="C157" s="25" t="str">
        <f>IFERROR(VLOOKUP(A157,Employee_Master!A:B,3,0),"")</f>
        <v/>
      </c>
      <c r="D157" s="25">
        <f>IF(SUMIF(Participation_Entry!B:B,A157,Participation_Entry!L:L)=0,"",SUMIF(Participation_Entry!B:B,A157,Participation_Entry!L:L))</f>
        <v>10</v>
      </c>
    </row>
    <row r="158" spans="1:4">
      <c r="A158" s="13">
        <v>708792</v>
      </c>
      <c r="B158" s="25" t="str">
        <f>IFERROR(VLOOKUP(A158,Employee_Master!A:B,2,0),"")</f>
        <v>Shubhanshu Pandey</v>
      </c>
      <c r="C158" s="25" t="str">
        <f>IFERROR(VLOOKUP(A158,Employee_Master!A:B,3,0),"")</f>
        <v/>
      </c>
      <c r="D158" s="25">
        <f>IF(SUMIF(Participation_Entry!B:B,A158,Participation_Entry!L:L)=0,"",SUMIF(Participation_Entry!B:B,A158,Participation_Entry!L:L))</f>
        <v>10</v>
      </c>
    </row>
    <row r="159" spans="1:4">
      <c r="A159" s="13">
        <v>709664</v>
      </c>
      <c r="B159" s="25" t="str">
        <f>IFERROR(VLOOKUP(A159,Employee_Master!A:B,2,0),"")</f>
        <v>Kavita Rathore</v>
      </c>
      <c r="C159" s="25" t="str">
        <f>IFERROR(VLOOKUP(A159,Employee_Master!A:B,3,0),"")</f>
        <v/>
      </c>
      <c r="D159" s="25" t="str">
        <f>IF(SUMIF(Participation_Entry!B:B,A159,Participation_Entry!L:L)=0,"",SUMIF(Participation_Entry!B:B,A159,Participation_Entry!L:L))</f>
        <v/>
      </c>
    </row>
    <row r="160" spans="1:4">
      <c r="A160" s="13">
        <v>710013</v>
      </c>
      <c r="B160" s="25" t="str">
        <f>IFERROR(VLOOKUP(A160,Employee_Master!A:B,2,0),"")</f>
        <v>Jyoti Saini</v>
      </c>
      <c r="C160" s="25" t="str">
        <f>IFERROR(VLOOKUP(A160,Employee_Master!A:B,3,0),"")</f>
        <v/>
      </c>
      <c r="D160" s="25">
        <f>IF(SUMIF(Participation_Entry!B:B,A160,Participation_Entry!L:L)=0,"",SUMIF(Participation_Entry!B:B,A160,Participation_Entry!L:L))</f>
        <v>20</v>
      </c>
    </row>
    <row r="161" spans="1:4">
      <c r="A161" s="13">
        <v>710555</v>
      </c>
      <c r="B161" s="25" t="str">
        <f>IFERROR(VLOOKUP(A161,Employee_Master!A:B,2,0),"")</f>
        <v>Jyoti Chauhan</v>
      </c>
      <c r="C161" s="25" t="str">
        <f>IFERROR(VLOOKUP(A161,Employee_Master!A:B,3,0),"")</f>
        <v/>
      </c>
      <c r="D161" s="25">
        <f>IF(SUMIF(Participation_Entry!B:B,A161,Participation_Entry!L:L)=0,"",SUMIF(Participation_Entry!B:B,A161,Participation_Entry!L:L))</f>
        <v>10</v>
      </c>
    </row>
    <row r="162" spans="1:4">
      <c r="A162" s="13">
        <v>426232</v>
      </c>
      <c r="B162" s="25" t="str">
        <f>IFERROR(VLOOKUP(A162,Employee_Master!A:B,2,0),"")</f>
        <v>Varish Hussain</v>
      </c>
      <c r="C162" s="25" t="str">
        <f>IFERROR(VLOOKUP(A162,Employee_Master!A:B,3,0),"")</f>
        <v/>
      </c>
      <c r="D162" s="25" t="str">
        <f>IF(SUMIF(Participation_Entry!B:B,A162,Participation_Entry!L:L)=0,"",SUMIF(Participation_Entry!B:B,A162,Participation_Entry!L:L))</f>
        <v/>
      </c>
    </row>
    <row r="163" spans="1:4">
      <c r="A163" s="13">
        <v>712428</v>
      </c>
      <c r="B163" s="25" t="str">
        <f>IFERROR(VLOOKUP(A163,Employee_Master!A:B,2,0),"")</f>
        <v>Akanksha Gangwar</v>
      </c>
      <c r="C163" s="25" t="str">
        <f>IFERROR(VLOOKUP(A163,Employee_Master!A:B,3,0),"")</f>
        <v/>
      </c>
      <c r="D163" s="25">
        <f>IF(SUMIF(Participation_Entry!B:B,A163,Participation_Entry!L:L)=0,"",SUMIF(Participation_Entry!B:B,A163,Participation_Entry!L:L))</f>
        <v>10</v>
      </c>
    </row>
    <row r="164" spans="1:4">
      <c r="A164" s="13">
        <v>435548</v>
      </c>
      <c r="B164" s="25" t="str">
        <f>IFERROR(VLOOKUP(A164,Employee_Master!A:B,2,0),"")</f>
        <v>Gurwant Sran</v>
      </c>
      <c r="C164" s="25" t="str">
        <f>IFERROR(VLOOKUP(A164,Employee_Master!A:B,3,0),"")</f>
        <v/>
      </c>
      <c r="D164" s="25" t="str">
        <f>IF(SUMIF(Participation_Entry!B:B,A164,Participation_Entry!L:L)=0,"",SUMIF(Participation_Entry!B:B,A164,Participation_Entry!L:L))</f>
        <v/>
      </c>
    </row>
    <row r="165" spans="1:4">
      <c r="A165" s="13">
        <v>716610</v>
      </c>
      <c r="B165" s="25" t="str">
        <f>IFERROR(VLOOKUP(A165,Employee_Master!A:B,2,0),"")</f>
        <v>Naval Singh</v>
      </c>
      <c r="C165" s="25" t="str">
        <f>IFERROR(VLOOKUP(A165,Employee_Master!A:B,3,0),"")</f>
        <v/>
      </c>
      <c r="D165" s="25" t="str">
        <f>IF(SUMIF(Participation_Entry!B:B,A165,Participation_Entry!L:L)=0,"",SUMIF(Participation_Entry!B:B,A165,Participation_Entry!L:L))</f>
        <v/>
      </c>
    </row>
    <row r="166" spans="1:4">
      <c r="A166" s="13">
        <v>720995</v>
      </c>
      <c r="B166" s="25" t="str">
        <f>IFERROR(VLOOKUP(A166,Employee_Master!A:B,2,0),"")</f>
        <v>Sinjan Bhar</v>
      </c>
      <c r="C166" s="25" t="str">
        <f>IFERROR(VLOOKUP(A166,Employee_Master!A:B,3,0),"")</f>
        <v/>
      </c>
      <c r="D166" s="25" t="str">
        <f>IF(SUMIF(Participation_Entry!B:B,A166,Participation_Entry!L:L)=0,"",SUMIF(Participation_Entry!B:B,A166,Participation_Entry!L:L))</f>
        <v/>
      </c>
    </row>
    <row r="167" spans="1:4">
      <c r="A167" s="13">
        <v>721766</v>
      </c>
      <c r="B167" s="25" t="str">
        <f>IFERROR(VLOOKUP(A167,Employee_Master!A:B,2,0),"")</f>
        <v>BHAWNA SHARMA</v>
      </c>
      <c r="C167" s="25" t="str">
        <f>IFERROR(VLOOKUP(A167,Employee_Master!A:B,3,0),"")</f>
        <v/>
      </c>
      <c r="D167" s="25" t="str">
        <f>IF(SUMIF(Participation_Entry!B:B,A167,Participation_Entry!L:L)=0,"",SUMIF(Participation_Entry!B:B,A167,Participation_Entry!L:L))</f>
        <v/>
      </c>
    </row>
    <row r="168" spans="1:4">
      <c r="A168" s="13">
        <v>721765</v>
      </c>
      <c r="B168" s="25" t="str">
        <f>IFERROR(VLOOKUP(A168,Employee_Master!A:B,2,0),"")</f>
        <v>Sneha .</v>
      </c>
      <c r="C168" s="25" t="str">
        <f>IFERROR(VLOOKUP(A168,Employee_Master!A:B,3,0),"")</f>
        <v/>
      </c>
      <c r="D168" s="25" t="str">
        <f>IF(SUMIF(Participation_Entry!B:B,A168,Participation_Entry!L:L)=0,"",SUMIF(Participation_Entry!B:B,A168,Participation_Entry!L:L))</f>
        <v/>
      </c>
    </row>
    <row r="169" spans="1:4">
      <c r="A169" s="13">
        <v>721899</v>
      </c>
      <c r="B169" s="25" t="str">
        <f>IFERROR(VLOOKUP(A169,Employee_Master!A:B,2,0),"")</f>
        <v>Khushboo Yadav</v>
      </c>
      <c r="C169" s="25" t="str">
        <f>IFERROR(VLOOKUP(A169,Employee_Master!A:B,3,0),"")</f>
        <v/>
      </c>
      <c r="D169" s="25" t="str">
        <f>IF(SUMIF(Participation_Entry!B:B,A169,Participation_Entry!L:L)=0,"",SUMIF(Participation_Entry!B:B,A169,Participation_Entry!L:L))</f>
        <v/>
      </c>
    </row>
    <row r="170" spans="1:4">
      <c r="A170" s="13">
        <v>721899</v>
      </c>
      <c r="B170" s="25" t="str">
        <f>IFERROR(VLOOKUP(A170,Employee_Master!A:B,2,0),"")</f>
        <v>Khushboo Yadav</v>
      </c>
      <c r="C170" s="25" t="str">
        <f>IFERROR(VLOOKUP(A170,Employee_Master!A:B,3,0),"")</f>
        <v/>
      </c>
      <c r="D170" s="25" t="str">
        <f>IF(SUMIF(Participation_Entry!B:B,A170,Participation_Entry!L:L)=0,"",SUMIF(Participation_Entry!B:B,A170,Participation_Entry!L:L))</f>
        <v/>
      </c>
    </row>
    <row r="171" spans="1:4">
      <c r="A171" s="13">
        <v>722356</v>
      </c>
      <c r="B171" s="25" t="str">
        <f>IFERROR(VLOOKUP(A171,Employee_Master!A:B,2,0),"")</f>
        <v>Ashita Munjley</v>
      </c>
      <c r="C171" s="25" t="str">
        <f>IFERROR(VLOOKUP(A171,Employee_Master!A:B,3,0),"")</f>
        <v/>
      </c>
      <c r="D171" s="25" t="str">
        <f>IF(SUMIF(Participation_Entry!B:B,A171,Participation_Entry!L:L)=0,"",SUMIF(Participation_Entry!B:B,A171,Participation_Entry!L:L))</f>
        <v/>
      </c>
    </row>
    <row r="172" spans="1:4">
      <c r="A172" s="13">
        <v>722393</v>
      </c>
      <c r="B172" s="25" t="str">
        <f>IFERROR(VLOOKUP(A172,Employee_Master!A:B,2,0),"")</f>
        <v>Koteswara Devireddy</v>
      </c>
      <c r="C172" s="25" t="str">
        <f>IFERROR(VLOOKUP(A172,Employee_Master!A:B,3,0),"")</f>
        <v/>
      </c>
      <c r="D172" s="25" t="str">
        <f>IF(SUMIF(Participation_Entry!B:B,A172,Participation_Entry!L:L)=0,"",SUMIF(Participation_Entry!B:B,A172,Participation_Entry!L:L))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I9" sqref="I9"/>
    </sheetView>
  </sheetViews>
  <sheetFormatPr defaultColWidth="9" defaultRowHeight="15"/>
  <cols>
    <col min="1" max="1" width="13.42578125" style="1" customWidth="1"/>
    <col min="2" max="2" width="18.85546875" style="1" customWidth="1"/>
  </cols>
  <sheetData>
    <row r="1" spans="1:2">
      <c r="A1" s="2" t="s">
        <v>202</v>
      </c>
      <c r="B1" s="2" t="s">
        <v>267</v>
      </c>
    </row>
    <row r="2" spans="1:2">
      <c r="A2" s="3" t="s">
        <v>187</v>
      </c>
      <c r="B2" s="4">
        <v>46023.666666666701</v>
      </c>
    </row>
    <row r="3" spans="1:2">
      <c r="A3" s="3" t="s">
        <v>186</v>
      </c>
      <c r="B3" s="4">
        <v>46087.645833333299</v>
      </c>
    </row>
    <row r="4" spans="1:2">
      <c r="A4" s="3" t="s">
        <v>178</v>
      </c>
      <c r="B4" s="4">
        <v>46088.583333333299</v>
      </c>
    </row>
    <row r="5" spans="1:2">
      <c r="B5" s="5"/>
    </row>
    <row r="6" spans="1:2">
      <c r="B6" s="5"/>
    </row>
    <row r="7" spans="1:2">
      <c r="B7" s="5"/>
    </row>
    <row r="8" spans="1:2">
      <c r="B8" s="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2026-03-12T06:49:26Z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B77188A0CA6C41AB8121F1F3477A9E63_12</vt:lpwstr>
  </property>
  <property fmtid="{D5CDD505-2E9C-101B-9397-08002B2CF9AE}" pid="3" name="KSOProductBuildVer">
    <vt:lpwstr>1033-12.2.0.23196</vt:lpwstr>
  </property>
</Properties>
</file>