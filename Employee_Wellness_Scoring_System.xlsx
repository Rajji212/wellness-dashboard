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350" tabRatio="641" firstSheet="1" activeTab="1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externalReferences>
    <externalReference r:id="rId7"/>
  </externalReferences>
  <definedNames>
    <definedName name="_xlnm._FilterDatabase" localSheetId="3" hidden="1">Participation_Entry!$A$1:$L$302</definedName>
    <definedName name="_xlnm._FilterDatabase" localSheetId="0" hidden="1">Employee_Master!$A$1:$D$172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<sst xmlns="http://schemas.openxmlformats.org/spreadsheetml/2006/main" count="1569" uniqueCount="238">
  <si>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</si>
  <si>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</si>
  <si>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</si>
  <si>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</si>
  <si>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</si>
  <si>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</si>
  <si>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</si>
  <si>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</si>
  <si>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</si>
  <si>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</si>
  <si>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</si>
  <si>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</si>
  <si>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</si>
  <si>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</si>
  <si>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</si>
  <si>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</si>
  <si>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</si>
  <si>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</si>
  <si>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</si>
  <si>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</si>
  <si>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</si>
  <si>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</si>
  <si>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</si>
  <si>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</si>
  <si>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</si>
  <si>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</si>
  <si>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</si>
  <si>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</si>
  <si>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</si>
  <si>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</si>
  <si>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</si>
  <si>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</si>
  <si>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</si>
  <si>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</si>
  <si>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</si>
  <si>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</si>
  <si>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</si>
  <si>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</si>
  <si>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</si>
  <si>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</si>
  <si>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</si>
  <si>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</si>
  <si>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</si>
  <si>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</si>
  <si>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</si>
  <si>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</si>
  <si>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</si>
  <si>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</si>
  <si>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</si>
  <si>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</si>
  <si>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</si>
  <si>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</si>
  <si>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</si>
  <si>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</si>
  <si>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</si>
  <si>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</si>
  <si>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</si>
  <si>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</si>
  <si>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</si>
  <si>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</si>
  <si>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</si>
  <si>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</si>
  <si>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</si>
  <si>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</si>
  <si>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</si>
  <si>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</si>
  <si>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</si>
  <si>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</si>
  <si>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</si>
  <si>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</si>
  <si>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</si>
  <si>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</si>
  <si>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</si>
  <si>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</si>
  <si>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</si>
  <si>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</si>
  <si>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</si>
  <si>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</si>
  <si>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</si>
  <si>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</si>
  <si>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</si>
  <si>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</si>
  <si>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</si>
  <si>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</si>
  <si>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</si>
  <si>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</si>
  <si>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</si>
  <si>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</si>
  <si>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</si>
  <si>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</si>
  <si>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</si>
  <si>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</si>
  <si>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</si>
  <si>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</si>
  <si>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</si>
  <si>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</si>
  <si>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</si>
  <si>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</si>
  <si>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</si>
  <si>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</si>
  <si>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</si>
  <si>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</si>
  <si>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</si>
  <si>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</si>
  <si>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</si>
  <si>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</si>
  <si>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</si>
  <si>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</si>
  <si>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</si>
  <si>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</si>
  <si>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</si>
  <si>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</si>
  <si>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</si>
  <si>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</si>
  <si>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</si>
  <si>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</si>
  <si>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</si>
  <si>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</si>
  <si>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</si>
  <si>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</si>
  <si>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</si>
  <si>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</si>
  <si>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</si>
  <si>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</si>
  <si>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</si>
  <si>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</si>
  <si>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</si>
  <si>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</si>
  <si>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</si>
  <si>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</si>
  <si>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</si>
  <si>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</si>
  <si>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</si>
  <si>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</si>
  <si>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</si>
  <si>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</si>
  <si>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</si>
  <si>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</si>
  <si>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</si>
  <si>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</si>
  <si>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</si>
  <si>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</si>
  <si>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</si>
  <si>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</si>
  <si>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</si>
  <si>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</si>
  <si>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</si>
  <si>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</si>
  <si>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>Rupesh Thakur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</si>
  <si>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</si>
  <si>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</si>
  <si>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</si>
  <si>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</si>
  <si>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</si>
  <si>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</si>
  <si>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</si>
  <si>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</si>
  <si>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</si>
  <si>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</si>
  <si>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</si>
  <si>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</si>
  <si>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</si>
  <si>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</si>
  <si>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</si>
  <si>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</si>
  <si>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</si>
  <si>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</si>
  <si>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</si>
  <si>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</si>
  <si>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</si>
  <si>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</si>
  <si>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</si>
  <si>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</si>
  <si>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</si>
  <si>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</si>
  <si>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</si>
  <si>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</si>
  <si>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</si>
  <si>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</si>
  <si>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</si>
  <si>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</si>
  <si>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</si>
  <si>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</si>
  <si>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</si>
  <si>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</si>
  <si>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</si>
  <si>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</si>
  <si>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</si>
  <si>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</si>
  <si>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</si>
  <si>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</si>
  <si>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</si>
  <si>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</si>
  <si>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</si>
  <si>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</si>
  <si>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</si>
  <si>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</si>
  <si>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</si>
  <si>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</si>
  <si>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</si>
  <si>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</si>
  <si>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</si>
  <si>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 Single</t>
  </si>
  <si>
    <t xml:space="preserve">Table tennis Double </t>
  </si>
  <si>
    <t xml:space="preserve">Badminton Single </t>
  </si>
  <si>
    <t xml:space="preserve">Badminton Double </t>
  </si>
  <si>
    <t>Badminton Double Mix</t>
  </si>
  <si>
    <t>Badminton Single Girls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</si>
  <si>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</si>
  <si>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</si>
  <si>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</si>
  <si>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</si>
  <si>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</si>
  <si>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</si>
  <si>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</si>
  <si>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</si>
  <si>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</si>
  <si>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>Trainings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</si>
  <si>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</si>
  <si>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</si>
  <si>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</si>
  <si>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</si>
  <si>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</si>
  <si>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</si>
  <si>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</si>
  <si>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</si>
  <si>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</si>
  <si>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</si>
  <si>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</si>
  <si>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</si>
  <si>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</si>
  <si>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</si>
  <si>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</si>
  <si>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Badminton</t>
  </si>
  <si>
    <t>YES</t>
  </si>
  <si>
    <t>Table tennis</t>
  </si>
  <si>
    <t>Total_Points</t>
  </si>
  <si>
    <t>Start_Time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</si>
</sst>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;@"/>
  </numFmts>
  <fonts count="3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b/>
      <sz val="10"/>
      <color rgb="FF000000"/>
      <name val="Segoe UI"/>
      <charset val="134"/>
    </font>
    <font>
      <sz val="10"/>
      <color rgb="FF000000"/>
      <name val="Segoe UI"/>
      <charset val="134"/>
    </font>
    <font>
      <sz val="9"/>
      <color rgb="FF000000"/>
      <name val="Arial Rounded MT Bold"/>
      <charset val="134"/>
    </font>
    <font>
      <sz val="11"/>
      <color rgb="FF000000"/>
      <name val="Calibri"/>
      <charset val="134"/>
    </font>
    <font>
      <sz val="9"/>
      <color rgb="FF000000"/>
      <name val="Segoe UI"/>
      <charset val="134"/>
    </font>
    <font>
      <sz val="9"/>
      <color rgb="FF000000"/>
      <name val="Calibri"/>
      <charset val="134"/>
      <scheme val="minor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3" borderId="0" xfId="0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Sushma%20Tiwari\OneDrive\Desktop\Rajan\Final\Employee_Wellness_Scoring_System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mployee_Master"/>
      <sheetName val="Event_Master"/>
      <sheetName val="Participation_Entry"/>
      <sheetName val="Leaderboard"/>
      <sheetName val="Schedule"/>
    </sheetNames>
    <sheetDataSet>
      <sheetData sheetId="0">
        <row r="1">
          <cell r="A1" t="str">
            <v>Employee_ID</v>
          </cell>
          <cell r="B1" t="str">
            <v>Employee_Name</v>
          </cell>
        </row>
        <row r="2">
          <cell r="A2">
            <v>416087</v>
          </cell>
          <cell r="B2" t="str">
            <v>Manoj Singh</v>
          </cell>
        </row>
        <row r="3">
          <cell r="A3">
            <v>365114</v>
          </cell>
          <cell r="B3" t="str">
            <v>Bhanu Sirohi</v>
          </cell>
        </row>
        <row r="4">
          <cell r="A4">
            <v>460812</v>
          </cell>
          <cell r="B4" t="str">
            <v>Deepak Sharma</v>
          </cell>
        </row>
        <row r="5">
          <cell r="A5">
            <v>473266</v>
          </cell>
          <cell r="B5" t="str">
            <v>Jitender Yadav</v>
          </cell>
        </row>
        <row r="6">
          <cell r="A6">
            <v>420533</v>
          </cell>
          <cell r="B6" t="str">
            <v>Gaurav Saxena</v>
          </cell>
        </row>
        <row r="7">
          <cell r="A7">
            <v>465181</v>
          </cell>
          <cell r="B7" t="str">
            <v>Gaurav Singh Gurjar</v>
          </cell>
        </row>
        <row r="8">
          <cell r="A8">
            <v>434518</v>
          </cell>
          <cell r="B8" t="str">
            <v>Maneesh Mohan</v>
          </cell>
        </row>
        <row r="9">
          <cell r="A9">
            <v>463660</v>
          </cell>
          <cell r="B9" t="str">
            <v>Rohit Sharma</v>
          </cell>
        </row>
        <row r="10">
          <cell r="A10">
            <v>484877</v>
          </cell>
          <cell r="B10" t="str">
            <v>Prashant Gupta</v>
          </cell>
        </row>
        <row r="11">
          <cell r="A11">
            <v>411573</v>
          </cell>
          <cell r="B11" t="str">
            <v>Atishay Dwivedi</v>
          </cell>
        </row>
        <row r="12">
          <cell r="A12">
            <v>410040</v>
          </cell>
          <cell r="B12" t="str">
            <v>Deepak Singh</v>
          </cell>
        </row>
        <row r="13">
          <cell r="A13">
            <v>433939</v>
          </cell>
          <cell r="B13" t="str">
            <v>Manish Kumar</v>
          </cell>
        </row>
        <row r="14">
          <cell r="A14">
            <v>451567</v>
          </cell>
          <cell r="B14" t="str">
            <v>Gaurav Kumar  </v>
          </cell>
        </row>
        <row r="15">
          <cell r="A15">
            <v>408627</v>
          </cell>
          <cell r="B15" t="str">
            <v>Govind Rai</v>
          </cell>
        </row>
        <row r="16">
          <cell r="A16">
            <v>407302</v>
          </cell>
          <cell r="B16" t="str">
            <v>Sanjaya Sahoo</v>
          </cell>
        </row>
        <row r="17">
          <cell r="A17">
            <v>427568</v>
          </cell>
          <cell r="B17" t="str">
            <v>Anjali Sundrani</v>
          </cell>
        </row>
        <row r="18">
          <cell r="A18">
            <v>447096</v>
          </cell>
          <cell r="B18" t="str">
            <v>Deepak Tiwari</v>
          </cell>
        </row>
        <row r="19">
          <cell r="A19">
            <v>408262</v>
          </cell>
          <cell r="B19" t="str">
            <v>Arpanjot Singh</v>
          </cell>
        </row>
        <row r="20">
          <cell r="A20">
            <v>451509</v>
          </cell>
          <cell r="B20" t="str">
            <v>Vivek Aswal</v>
          </cell>
        </row>
        <row r="21">
          <cell r="A21">
            <v>460284</v>
          </cell>
          <cell r="B21" t="str">
            <v>Madhu Aggu</v>
          </cell>
        </row>
        <row r="22">
          <cell r="A22">
            <v>464188</v>
          </cell>
          <cell r="B22" t="str">
            <v>Himanshu Saini</v>
          </cell>
        </row>
        <row r="23">
          <cell r="A23">
            <v>470292</v>
          </cell>
          <cell r="B23" t="str">
            <v>Vishal Kumar</v>
          </cell>
        </row>
        <row r="24">
          <cell r="A24">
            <v>438263</v>
          </cell>
          <cell r="B24" t="str">
            <v>Vikash Kumar</v>
          </cell>
        </row>
        <row r="25">
          <cell r="A25">
            <v>456743</v>
          </cell>
          <cell r="B25" t="str">
            <v>Chironjee Narvare</v>
          </cell>
        </row>
        <row r="26">
          <cell r="A26">
            <v>420109</v>
          </cell>
          <cell r="B26" t="str">
            <v>Chandraprakash Nandwana</v>
          </cell>
        </row>
        <row r="27">
          <cell r="A27">
            <v>479827</v>
          </cell>
          <cell r="B27" t="str">
            <v>Sunil Kr. Singh</v>
          </cell>
        </row>
        <row r="28">
          <cell r="A28">
            <v>488518</v>
          </cell>
          <cell r="B28" t="str">
            <v>Neha Chaturvedi</v>
          </cell>
        </row>
        <row r="29">
          <cell r="A29">
            <v>437534</v>
          </cell>
          <cell r="B29" t="str">
            <v>Himanshu Sangar</v>
          </cell>
        </row>
        <row r="30">
          <cell r="A30">
            <v>464500</v>
          </cell>
          <cell r="B30" t="str">
            <v>Dalip Sharma</v>
          </cell>
        </row>
        <row r="31">
          <cell r="A31">
            <v>492857</v>
          </cell>
          <cell r="B31" t="str">
            <v>Arnima Thakur</v>
          </cell>
        </row>
        <row r="32">
          <cell r="A32">
            <v>412273</v>
          </cell>
          <cell r="B32" t="str">
            <v>Sandeep Sengar</v>
          </cell>
        </row>
        <row r="33">
          <cell r="A33">
            <v>451609</v>
          </cell>
          <cell r="B33" t="str">
            <v>Vivek Kumar Yadav</v>
          </cell>
        </row>
        <row r="34">
          <cell r="A34">
            <v>424332</v>
          </cell>
          <cell r="B34" t="str">
            <v>Naresh Kumar</v>
          </cell>
        </row>
        <row r="35">
          <cell r="A35">
            <v>456091</v>
          </cell>
          <cell r="B35" t="str">
            <v>Abhinesh Pandey</v>
          </cell>
        </row>
        <row r="36">
          <cell r="A36">
            <v>445891</v>
          </cell>
          <cell r="B36" t="str">
            <v>Parmvir Singh</v>
          </cell>
        </row>
        <row r="37">
          <cell r="A37">
            <v>467519</v>
          </cell>
          <cell r="B37" t="str">
            <v>Vivek Tiwari</v>
          </cell>
        </row>
        <row r="38">
          <cell r="A38">
            <v>416828</v>
          </cell>
          <cell r="B38" t="str">
            <v>Keshav Dev</v>
          </cell>
        </row>
        <row r="39">
          <cell r="A39">
            <v>430977</v>
          </cell>
          <cell r="B39" t="str">
            <v>Akshit Sood</v>
          </cell>
        </row>
        <row r="40">
          <cell r="A40">
            <v>436468</v>
          </cell>
          <cell r="B40" t="str">
            <v>Karan Singh</v>
          </cell>
        </row>
        <row r="41">
          <cell r="A41">
            <v>438957</v>
          </cell>
          <cell r="B41" t="str">
            <v>Risha Bansal</v>
          </cell>
        </row>
        <row r="42">
          <cell r="A42">
            <v>428544</v>
          </cell>
          <cell r="B42" t="str">
            <v>Harjot Singh</v>
          </cell>
        </row>
        <row r="43">
          <cell r="A43">
            <v>487107</v>
          </cell>
          <cell r="B43" t="str">
            <v>Manish Kr. Singh</v>
          </cell>
        </row>
        <row r="44">
          <cell r="A44">
            <v>423859</v>
          </cell>
          <cell r="B44" t="str">
            <v>Tilak Raj</v>
          </cell>
        </row>
        <row r="45">
          <cell r="A45">
            <v>438679</v>
          </cell>
          <cell r="B45" t="str">
            <v>Saurabh Kumar</v>
          </cell>
        </row>
        <row r="46">
          <cell r="A46">
            <v>448882</v>
          </cell>
          <cell r="B46" t="str">
            <v>Gurwinder Singh</v>
          </cell>
        </row>
        <row r="47">
          <cell r="A47">
            <v>453949</v>
          </cell>
          <cell r="B47" t="str">
            <v>Naveen Kumar</v>
          </cell>
        </row>
        <row r="48">
          <cell r="A48">
            <v>440317</v>
          </cell>
          <cell r="B48" t="str">
            <v>Praveen Chandel</v>
          </cell>
        </row>
        <row r="49">
          <cell r="A49">
            <v>451513</v>
          </cell>
          <cell r="B49" t="str">
            <v>Nishith Soni</v>
          </cell>
        </row>
        <row r="50">
          <cell r="A50">
            <v>468224</v>
          </cell>
          <cell r="B50" t="str">
            <v>Mohit Kumar</v>
          </cell>
        </row>
        <row r="51">
          <cell r="A51">
            <v>450256</v>
          </cell>
          <cell r="B51" t="str">
            <v>Jyotish  Patar</v>
          </cell>
        </row>
        <row r="52">
          <cell r="A52">
            <v>454456</v>
          </cell>
          <cell r="B52" t="str">
            <v>Akash Deshmukh</v>
          </cell>
        </row>
        <row r="53">
          <cell r="A53">
            <v>446300</v>
          </cell>
          <cell r="B53" t="str">
            <v>Simranjit Singh</v>
          </cell>
        </row>
        <row r="54">
          <cell r="A54">
            <v>459234</v>
          </cell>
          <cell r="B54" t="str">
            <v>Ritik Kumar</v>
          </cell>
        </row>
        <row r="55">
          <cell r="A55">
            <v>459464</v>
          </cell>
          <cell r="B55" t="str">
            <v>Manish Kumar Maury</v>
          </cell>
        </row>
        <row r="56">
          <cell r="A56">
            <v>457430</v>
          </cell>
          <cell r="B56" t="str">
            <v>Manish Kumar</v>
          </cell>
        </row>
        <row r="57">
          <cell r="A57">
            <v>450436</v>
          </cell>
          <cell r="B57" t="str">
            <v>Govind Saini</v>
          </cell>
        </row>
        <row r="58">
          <cell r="A58">
            <v>450694</v>
          </cell>
          <cell r="B58" t="str">
            <v>Kawaljot Kaur</v>
          </cell>
        </row>
        <row r="59">
          <cell r="A59">
            <v>450225</v>
          </cell>
          <cell r="B59" t="str">
            <v>Nikita</v>
          </cell>
        </row>
        <row r="60">
          <cell r="A60">
            <v>486309</v>
          </cell>
          <cell r="B60" t="str">
            <v>Ankit Bhatt</v>
          </cell>
        </row>
        <row r="61">
          <cell r="A61">
            <v>450228</v>
          </cell>
          <cell r="B61" t="str">
            <v>Shubham Sharma</v>
          </cell>
        </row>
        <row r="62">
          <cell r="A62">
            <v>450437</v>
          </cell>
          <cell r="B62" t="str">
            <v>Tinku Shekhawat </v>
          </cell>
        </row>
        <row r="63">
          <cell r="A63">
            <v>450693</v>
          </cell>
          <cell r="B63" t="str">
            <v>Sagar rana</v>
          </cell>
        </row>
        <row r="64">
          <cell r="A64">
            <v>452073</v>
          </cell>
          <cell r="B64" t="str">
            <v>Aashish </v>
          </cell>
        </row>
        <row r="65">
          <cell r="A65">
            <v>451857</v>
          </cell>
          <cell r="B65" t="str">
            <v>Amar Kumar </v>
          </cell>
        </row>
        <row r="66">
          <cell r="A66">
            <v>451858</v>
          </cell>
          <cell r="B66" t="str">
            <v>Ankit Bhardwaj</v>
          </cell>
        </row>
        <row r="67">
          <cell r="A67">
            <v>452115</v>
          </cell>
          <cell r="B67" t="str">
            <v>Anshul Sharma </v>
          </cell>
        </row>
        <row r="68">
          <cell r="A68">
            <v>452056</v>
          </cell>
          <cell r="B68" t="str">
            <v>Rupesh </v>
          </cell>
        </row>
        <row r="69">
          <cell r="A69">
            <v>452057</v>
          </cell>
          <cell r="B69" t="str">
            <v>Sahil Thakur </v>
          </cell>
        </row>
        <row r="70">
          <cell r="A70">
            <v>452119</v>
          </cell>
          <cell r="B70" t="str">
            <v>Akhil Tiwari</v>
          </cell>
        </row>
        <row r="71">
          <cell r="A71">
            <v>452058</v>
          </cell>
          <cell r="B71" t="str">
            <v>Bhavya Gupta</v>
          </cell>
        </row>
        <row r="72">
          <cell r="A72">
            <v>452075</v>
          </cell>
          <cell r="B72" t="str">
            <v>Mansi Yadav</v>
          </cell>
        </row>
        <row r="73">
          <cell r="A73">
            <v>452121</v>
          </cell>
          <cell r="B73" t="str">
            <v>Nishi Singh</v>
          </cell>
        </row>
        <row r="74">
          <cell r="A74">
            <v>452118</v>
          </cell>
          <cell r="B74" t="str">
            <v>Riya Kumari</v>
          </cell>
        </row>
        <row r="75">
          <cell r="A75">
            <v>452991</v>
          </cell>
          <cell r="B75" t="str">
            <v>Gourav Rohilla</v>
          </cell>
        </row>
        <row r="76">
          <cell r="A76">
            <v>453089</v>
          </cell>
          <cell r="B76" t="str">
            <v>Arun Lamba</v>
          </cell>
        </row>
        <row r="77">
          <cell r="A77">
            <v>460627</v>
          </cell>
          <cell r="B77" t="str">
            <v>Sushil</v>
          </cell>
        </row>
        <row r="78">
          <cell r="A78">
            <v>460628</v>
          </cell>
          <cell r="B78" t="str">
            <v>Smarth</v>
          </cell>
        </row>
        <row r="79">
          <cell r="A79">
            <v>461161</v>
          </cell>
          <cell r="B79" t="str">
            <v>Abhay Singh</v>
          </cell>
        </row>
        <row r="80">
          <cell r="A80">
            <v>463097</v>
          </cell>
          <cell r="B80" t="str">
            <v>Gurkamalpreet Singh</v>
          </cell>
        </row>
        <row r="81">
          <cell r="A81">
            <v>463833</v>
          </cell>
          <cell r="B81" t="str">
            <v>Kartik Shakya</v>
          </cell>
        </row>
        <row r="82">
          <cell r="A82">
            <v>464193</v>
          </cell>
          <cell r="B82" t="str">
            <v>Hemant Singh</v>
          </cell>
        </row>
        <row r="83">
          <cell r="A83">
            <v>452074</v>
          </cell>
          <cell r="B83" t="str">
            <v>Sneha Singh</v>
          </cell>
        </row>
        <row r="84">
          <cell r="A84">
            <v>465254</v>
          </cell>
          <cell r="B84" t="str">
            <v>Narender Kumar</v>
          </cell>
        </row>
        <row r="85">
          <cell r="A85">
            <v>467075</v>
          </cell>
          <cell r="B85" t="str">
            <v>Ritish</v>
          </cell>
        </row>
        <row r="86">
          <cell r="A86">
            <v>465255</v>
          </cell>
          <cell r="B86" t="str">
            <v>Mukul Suman</v>
          </cell>
        </row>
        <row r="87">
          <cell r="A87">
            <v>467068</v>
          </cell>
          <cell r="B87" t="str">
            <v>Anuj Kumar</v>
          </cell>
        </row>
        <row r="88">
          <cell r="A88">
            <v>467915</v>
          </cell>
          <cell r="B88" t="str">
            <v>Rahul Kinkar</v>
          </cell>
        </row>
        <row r="89">
          <cell r="A89">
            <v>468536</v>
          </cell>
          <cell r="B89" t="str">
            <v>Vinod Kumar</v>
          </cell>
        </row>
        <row r="90">
          <cell r="A90">
            <v>468456</v>
          </cell>
          <cell r="B90" t="str">
            <v>Ayush Joshi</v>
          </cell>
        </row>
        <row r="91">
          <cell r="A91">
            <v>469899</v>
          </cell>
          <cell r="B91" t="str">
            <v>Ankit</v>
          </cell>
        </row>
        <row r="92">
          <cell r="A92">
            <v>468660</v>
          </cell>
          <cell r="B92" t="str">
            <v>Samay Raj</v>
          </cell>
        </row>
        <row r="93">
          <cell r="A93">
            <v>469627</v>
          </cell>
          <cell r="B93" t="str">
            <v>Rahul Kumar</v>
          </cell>
        </row>
        <row r="94">
          <cell r="A94">
            <v>469617</v>
          </cell>
          <cell r="B94" t="str">
            <v>Siyaram</v>
          </cell>
        </row>
        <row r="95">
          <cell r="A95">
            <v>472322</v>
          </cell>
          <cell r="B95" t="str">
            <v>Sanjeet Kumar</v>
          </cell>
        </row>
        <row r="96">
          <cell r="A96">
            <v>478377</v>
          </cell>
          <cell r="B96" t="str">
            <v>Ishi Verma </v>
          </cell>
        </row>
        <row r="97">
          <cell r="A97">
            <v>478308</v>
          </cell>
          <cell r="B97" t="str">
            <v>Abhishek savita </v>
          </cell>
        </row>
        <row r="98">
          <cell r="A98">
            <v>478270</v>
          </cell>
          <cell r="B98" t="str">
            <v>Inzmam Ali </v>
          </cell>
        </row>
        <row r="99">
          <cell r="A99">
            <v>479348</v>
          </cell>
          <cell r="B99" t="str">
            <v>Harmandeep</v>
          </cell>
        </row>
        <row r="100">
          <cell r="A100">
            <v>479724</v>
          </cell>
          <cell r="B100" t="str">
            <v>Honey</v>
          </cell>
        </row>
        <row r="101">
          <cell r="A101">
            <v>487476</v>
          </cell>
          <cell r="B101" t="str">
            <v>Harshdeep Singh</v>
          </cell>
        </row>
        <row r="102">
          <cell r="A102">
            <v>396485</v>
          </cell>
          <cell r="B102" t="str">
            <v>Khushbir Singh</v>
          </cell>
        </row>
        <row r="103">
          <cell r="A103">
            <v>432865</v>
          </cell>
          <cell r="B103" t="str">
            <v>Rupesh Gandhi</v>
          </cell>
        </row>
        <row r="104">
          <cell r="A104">
            <v>447836</v>
          </cell>
          <cell r="B104" t="str">
            <v>Rakesh S</v>
          </cell>
        </row>
        <row r="105">
          <cell r="A105">
            <v>449635</v>
          </cell>
          <cell r="B105" t="str">
            <v>Sushma Tiwari</v>
          </cell>
        </row>
        <row r="106">
          <cell r="A106">
            <v>440774</v>
          </cell>
          <cell r="B106" t="str">
            <v>Mehnga Singh</v>
          </cell>
        </row>
        <row r="107">
          <cell r="A107">
            <v>460513</v>
          </cell>
          <cell r="B107" t="str">
            <v>Dinesh Kumar</v>
          </cell>
        </row>
        <row r="108">
          <cell r="A108">
            <v>458749</v>
          </cell>
          <cell r="B108" t="str">
            <v>Manoj Kumar Jangra</v>
          </cell>
        </row>
        <row r="109">
          <cell r="A109">
            <v>458702</v>
          </cell>
          <cell r="B109" t="str">
            <v>Jasbeer Singh</v>
          </cell>
        </row>
        <row r="110">
          <cell r="A110">
            <v>449890</v>
          </cell>
          <cell r="B110" t="str">
            <v>Ashish Baghel </v>
          </cell>
        </row>
        <row r="111">
          <cell r="A111">
            <v>450030</v>
          </cell>
          <cell r="B111" t="str">
            <v>Manish bisht </v>
          </cell>
        </row>
        <row r="112">
          <cell r="A112">
            <v>450325</v>
          </cell>
          <cell r="B112" t="str">
            <v>Simratpal Singh</v>
          </cell>
        </row>
        <row r="113">
          <cell r="A113">
            <v>452116</v>
          </cell>
          <cell r="B113" t="str">
            <v>Harsh </v>
          </cell>
        </row>
        <row r="114">
          <cell r="A114">
            <v>457157</v>
          </cell>
          <cell r="B114" t="str">
            <v>Sachin Kashyap</v>
          </cell>
        </row>
        <row r="115">
          <cell r="A115">
            <v>456706</v>
          </cell>
          <cell r="B115" t="str">
            <v>Daljit Singh</v>
          </cell>
        </row>
        <row r="116">
          <cell r="A116">
            <v>457795</v>
          </cell>
          <cell r="B116" t="str">
            <v>Manbir Sain</v>
          </cell>
        </row>
        <row r="117">
          <cell r="A117">
            <v>460888</v>
          </cell>
          <cell r="B117" t="str">
            <v>Yatin</v>
          </cell>
        </row>
        <row r="118">
          <cell r="A118">
            <v>460764</v>
          </cell>
          <cell r="B118" t="str">
            <v>Himanshu Yadav</v>
          </cell>
        </row>
        <row r="119">
          <cell r="A119">
            <v>464871</v>
          </cell>
          <cell r="B119" t="str">
            <v>Mohit Sahu</v>
          </cell>
        </row>
        <row r="120">
          <cell r="A120">
            <v>466367</v>
          </cell>
          <cell r="B120" t="str">
            <v>Arjun Sharma</v>
          </cell>
        </row>
        <row r="121">
          <cell r="A121">
            <v>466562</v>
          </cell>
          <cell r="B121" t="str">
            <v>Vikas Bhardwaj</v>
          </cell>
        </row>
        <row r="122">
          <cell r="A122">
            <v>466445</v>
          </cell>
          <cell r="B122" t="str">
            <v>Ayush Kumar</v>
          </cell>
        </row>
        <row r="123">
          <cell r="A123">
            <v>468157</v>
          </cell>
          <cell r="B123" t="str">
            <v>Ankit Tiwari</v>
          </cell>
        </row>
        <row r="124">
          <cell r="A124">
            <v>473015</v>
          </cell>
          <cell r="B124" t="str">
            <v>Partap</v>
          </cell>
        </row>
        <row r="125">
          <cell r="A125">
            <v>467544</v>
          </cell>
          <cell r="B125" t="str">
            <v>Vinay Kumar</v>
          </cell>
        </row>
        <row r="126">
          <cell r="A126">
            <v>474194</v>
          </cell>
          <cell r="B126" t="str">
            <v>Rohit Yadav</v>
          </cell>
        </row>
        <row r="127">
          <cell r="A127">
            <v>472840</v>
          </cell>
          <cell r="B127" t="str">
            <v>Supravat Adhikary</v>
          </cell>
        </row>
        <row r="128">
          <cell r="A128">
            <v>476372</v>
          </cell>
          <cell r="B128" t="str">
            <v>Laksh</v>
          </cell>
        </row>
        <row r="129">
          <cell r="A129">
            <v>478084</v>
          </cell>
          <cell r="B129" t="str">
            <v>Ashish Mishra</v>
          </cell>
        </row>
        <row r="130">
          <cell r="A130">
            <v>453948</v>
          </cell>
          <cell r="B130" t="str">
            <v>Ashish Bhardwaj</v>
          </cell>
        </row>
        <row r="131">
          <cell r="A131">
            <v>460692</v>
          </cell>
          <cell r="B131" t="str">
            <v>Mayank Arya</v>
          </cell>
        </row>
        <row r="132">
          <cell r="A132">
            <v>435877</v>
          </cell>
          <cell r="B132" t="str">
            <v>Pardeep Kumar</v>
          </cell>
        </row>
        <row r="133">
          <cell r="A133">
            <v>440620</v>
          </cell>
          <cell r="B133" t="str">
            <v>Kuldeep Singh</v>
          </cell>
        </row>
        <row r="134">
          <cell r="A134">
            <v>449551</v>
          </cell>
          <cell r="B134" t="str">
            <v>Ramesh Kumar</v>
          </cell>
        </row>
        <row r="135">
          <cell r="A135">
            <v>452799</v>
          </cell>
          <cell r="B135" t="str">
            <v>Manish Kukreti</v>
          </cell>
        </row>
        <row r="136">
          <cell r="A136">
            <v>438864</v>
          </cell>
          <cell r="B136" t="str">
            <v>Rajan Gupta</v>
          </cell>
        </row>
        <row r="137">
          <cell r="A137">
            <v>463059</v>
          </cell>
          <cell r="B137" t="str">
            <v>Parvinder</v>
          </cell>
        </row>
        <row r="138">
          <cell r="A138">
            <v>455024</v>
          </cell>
          <cell r="B138" t="str">
            <v>Dileep Kumar</v>
          </cell>
        </row>
        <row r="139">
          <cell r="A139">
            <v>449891</v>
          </cell>
          <cell r="B139" t="str">
            <v>Komalpreet</v>
          </cell>
        </row>
        <row r="140">
          <cell r="A140">
            <v>450224</v>
          </cell>
          <cell r="B140" t="str">
            <v>Lalit Nagar</v>
          </cell>
        </row>
        <row r="141">
          <cell r="A141">
            <v>450171</v>
          </cell>
          <cell r="B141" t="str">
            <v>Manpreet Kaur</v>
          </cell>
        </row>
        <row r="142">
          <cell r="A142">
            <v>450230</v>
          </cell>
          <cell r="B142" t="str">
            <v>Aarti Gupta</v>
          </cell>
        </row>
        <row r="143">
          <cell r="A143">
            <v>452059</v>
          </cell>
          <cell r="B143" t="str">
            <v>Mahi Singh</v>
          </cell>
        </row>
        <row r="144">
          <cell r="A144">
            <v>466167</v>
          </cell>
          <cell r="B144" t="str">
            <v>Aishwarya Sharma</v>
          </cell>
        </row>
        <row r="145">
          <cell r="A145">
            <v>452076</v>
          </cell>
          <cell r="B145" t="str">
            <v>Shraddha Singh</v>
          </cell>
        </row>
        <row r="146">
          <cell r="A146">
            <v>468887</v>
          </cell>
          <cell r="B146" t="str">
            <v>Prachi Shukla</v>
          </cell>
        </row>
        <row r="147">
          <cell r="A147">
            <v>470301</v>
          </cell>
          <cell r="B147" t="str">
            <v>Ankit Kumar</v>
          </cell>
        </row>
        <row r="148">
          <cell r="A148">
            <v>471387</v>
          </cell>
          <cell r="B148" t="str">
            <v>Neeraj</v>
          </cell>
        </row>
        <row r="149">
          <cell r="A149">
            <v>478269</v>
          </cell>
          <cell r="B149" t="str">
            <v>Saurabh kumar </v>
          </cell>
        </row>
        <row r="150">
          <cell r="A150">
            <v>478266</v>
          </cell>
          <cell r="B150" t="str">
            <v>Abhishek Sharma </v>
          </cell>
        </row>
        <row r="151">
          <cell r="A151">
            <v>427154</v>
          </cell>
          <cell r="B151" t="str">
            <v>Rohan Mehra</v>
          </cell>
        </row>
        <row r="152">
          <cell r="A152">
            <v>700216</v>
          </cell>
          <cell r="B152" t="str">
            <v>Shivam Rani</v>
          </cell>
        </row>
        <row r="153">
          <cell r="A153">
            <v>705995</v>
          </cell>
          <cell r="B153" t="str">
            <v>Sahil.</v>
          </cell>
        </row>
        <row r="154">
          <cell r="A154">
            <v>706181</v>
          </cell>
          <cell r="B154" t="str">
            <v>Sonam Kachhap</v>
          </cell>
        </row>
        <row r="155">
          <cell r="A155">
            <v>706306</v>
          </cell>
          <cell r="B155" t="str">
            <v>Subhashree Nayak</v>
          </cell>
        </row>
        <row r="156">
          <cell r="A156">
            <v>705909</v>
          </cell>
          <cell r="B156" t="str">
            <v>Tanmay Ghosal</v>
          </cell>
        </row>
        <row r="157">
          <cell r="A157">
            <v>707131</v>
          </cell>
          <cell r="B157" t="str">
            <v>Puja Bhalotia</v>
          </cell>
        </row>
        <row r="158">
          <cell r="A158">
            <v>708792</v>
          </cell>
          <cell r="B158" t="str">
            <v>Shubhanshu Pandey</v>
          </cell>
        </row>
        <row r="159">
          <cell r="A159">
            <v>709664</v>
          </cell>
          <cell r="B159" t="str">
            <v>Kavita Rathore</v>
          </cell>
        </row>
        <row r="160">
          <cell r="A160">
            <v>710013</v>
          </cell>
          <cell r="B160" t="str">
            <v>Jyoti Saini</v>
          </cell>
        </row>
        <row r="161">
          <cell r="A161">
            <v>710555</v>
          </cell>
          <cell r="B161" t="str">
            <v>Jyoti Chauhan</v>
          </cell>
        </row>
        <row r="162">
          <cell r="A162">
            <v>426232</v>
          </cell>
          <cell r="B162" t="str">
            <v>Varish Hussain</v>
          </cell>
        </row>
        <row r="163">
          <cell r="A163">
            <v>712428</v>
          </cell>
          <cell r="B163" t="str">
            <v>Akanksha Gangwar</v>
          </cell>
        </row>
        <row r="164">
          <cell r="A164">
            <v>435548</v>
          </cell>
          <cell r="B164" t="str">
            <v>Gurwant Sran</v>
          </cell>
        </row>
        <row r="165">
          <cell r="A165">
            <v>716610</v>
          </cell>
          <cell r="B165" t="str">
            <v>Naval Singh</v>
          </cell>
        </row>
        <row r="166">
          <cell r="A166">
            <v>720995</v>
          </cell>
          <cell r="B166" t="str">
            <v>Sinjan Bhar</v>
          </cell>
        </row>
        <row r="167">
          <cell r="A167">
            <v>721766</v>
          </cell>
          <cell r="B167" t="str">
            <v>BHAWNA SHARMA</v>
          </cell>
        </row>
        <row r="168">
          <cell r="A168">
            <v>721765</v>
          </cell>
          <cell r="B168" t="str">
            <v>Sneha .</v>
          </cell>
        </row>
        <row r="169">
          <cell r="A169">
            <v>721899</v>
          </cell>
          <cell r="B169" t="str">
            <v>Khushboo Yadav</v>
          </cell>
        </row>
        <row r="170">
          <cell r="A170">
            <v>721889</v>
          </cell>
          <cell r="B170" t="str">
            <v>Harpreet Kaur Malik</v>
          </cell>
        </row>
        <row r="171">
          <cell r="A171">
            <v>722356</v>
          </cell>
          <cell r="B171" t="str">
            <v>Ashita Munjley</v>
          </cell>
        </row>
        <row r="172">
          <cell r="A172">
            <v>722393</v>
          </cell>
          <cell r="B172" t="str">
            <v>Koteswara Devireddy</v>
          </cell>
        </row>
      </sheetData>
      <sheetData sheetId="1">
        <row r="1">
          <cell r="B1" t="str">
            <v>Event_Name</v>
          </cell>
          <cell r="C1" t="str">
            <v>Type</v>
          </cell>
          <cell r="D1" t="str">
            <v>Difficulty_Level (Casual/Medium/High)</v>
          </cell>
          <cell r="E1" t="str">
            <v>Multiplier</v>
          </cell>
        </row>
        <row r="2">
          <cell r="B2" t="str">
            <v>Carrom</v>
          </cell>
          <cell r="C2" t="str">
            <v>Indoor</v>
          </cell>
          <cell r="D2" t="str">
            <v>Casual</v>
          </cell>
          <cell r="E2">
            <v>1</v>
          </cell>
        </row>
        <row r="3">
          <cell r="B3" t="str">
            <v>Chess</v>
          </cell>
          <cell r="C3" t="str">
            <v>Indoor</v>
          </cell>
          <cell r="D3" t="str">
            <v>Medium</v>
          </cell>
          <cell r="E3">
            <v>1.3</v>
          </cell>
        </row>
        <row r="4">
          <cell r="B4" t="str">
            <v>Fuseball</v>
          </cell>
          <cell r="C4" t="str">
            <v>Indoor</v>
          </cell>
          <cell r="D4" t="str">
            <v>Casual</v>
          </cell>
          <cell r="E4">
            <v>1</v>
          </cell>
        </row>
        <row r="5">
          <cell r="B5" t="str">
            <v>Air Hockey</v>
          </cell>
          <cell r="C5" t="str">
            <v>Indoor</v>
          </cell>
          <cell r="D5" t="str">
            <v>Casual</v>
          </cell>
          <cell r="E5">
            <v>1</v>
          </cell>
        </row>
        <row r="6">
          <cell r="B6" t="str">
            <v>Table Tennis Single</v>
          </cell>
          <cell r="C6" t="str">
            <v>Indoor</v>
          </cell>
          <cell r="D6" t="str">
            <v>Medium</v>
          </cell>
          <cell r="E6">
            <v>1.5</v>
          </cell>
        </row>
        <row r="7">
          <cell r="B7" t="str">
            <v>Table tennis Double </v>
          </cell>
          <cell r="C7" t="str">
            <v>Indoor</v>
          </cell>
          <cell r="D7" t="str">
            <v>Medium</v>
          </cell>
          <cell r="E7">
            <v>1.5</v>
          </cell>
        </row>
        <row r="8">
          <cell r="B8" t="str">
            <v>Badminton Single </v>
          </cell>
          <cell r="C8" t="str">
            <v>Indoor</v>
          </cell>
          <cell r="D8" t="str">
            <v>Medium</v>
          </cell>
          <cell r="E8">
            <v>1.5</v>
          </cell>
        </row>
        <row r="9">
          <cell r="B9" t="str">
            <v>Badminton Double </v>
          </cell>
          <cell r="C9" t="str">
            <v>Indoor</v>
          </cell>
          <cell r="D9" t="str">
            <v>Medium</v>
          </cell>
          <cell r="E9">
            <v>1.5</v>
          </cell>
        </row>
        <row r="10">
          <cell r="B10" t="str">
            <v>Badminton Double Mix</v>
          </cell>
          <cell r="C10" t="str">
            <v>Indoor</v>
          </cell>
          <cell r="D10" t="str">
            <v>Medium</v>
          </cell>
          <cell r="E10">
            <v>1.5</v>
          </cell>
        </row>
        <row r="11">
          <cell r="B11" t="str">
            <v>Cricket</v>
          </cell>
          <cell r="C11" t="str">
            <v>Outdoor</v>
          </cell>
          <cell r="D11" t="str">
            <v>High</v>
          </cell>
          <cell r="E11">
            <v>1.5</v>
          </cell>
        </row>
        <row r="12">
          <cell r="B12" t="str">
            <v>Vollyball</v>
          </cell>
          <cell r="C12" t="str">
            <v>Outdoor</v>
          </cell>
          <cell r="D12" t="str">
            <v>High</v>
          </cell>
          <cell r="E12">
            <v>1.5</v>
          </cell>
        </row>
        <row r="13">
          <cell r="B13" t="str">
            <v>Basket Ball</v>
          </cell>
          <cell r="C13" t="str">
            <v>Outdoor</v>
          </cell>
          <cell r="D13" t="str">
            <v>High</v>
          </cell>
          <cell r="E13">
            <v>1.5</v>
          </cell>
        </row>
        <row r="14">
          <cell r="B14" t="str">
            <v>Walk</v>
          </cell>
          <cell r="C14" t="str">
            <v>Outdoor</v>
          </cell>
          <cell r="D14" t="str">
            <v>Medium</v>
          </cell>
          <cell r="E14">
            <v>1</v>
          </cell>
        </row>
        <row r="15">
          <cell r="B15" t="str">
            <v>Running</v>
          </cell>
          <cell r="C15" t="str">
            <v>Outdoor</v>
          </cell>
          <cell r="D15" t="str">
            <v>Medium</v>
          </cell>
          <cell r="E15">
            <v>1.5</v>
          </cell>
        </row>
        <row r="16">
          <cell r="B16" t="str">
            <v>Relay</v>
          </cell>
          <cell r="C16" t="str">
            <v>Outdoor</v>
          </cell>
          <cell r="D16" t="str">
            <v>High</v>
          </cell>
          <cell r="E16">
            <v>2</v>
          </cell>
        </row>
        <row r="17">
          <cell r="B17" t="str">
            <v>Fuseball Double</v>
          </cell>
          <cell r="C17" t="str">
            <v>Indoor</v>
          </cell>
          <cell r="D17" t="str">
            <v>Casual</v>
          </cell>
          <cell r="E17">
            <v>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23"/>
  <sheetViews>
    <sheetView topLeftCell="A34" workbookViewId="0">
      <selection activeCell="D44" sqref="D44"/>
    </sheetView>
  </sheetViews>
  <sheetFormatPr defaultColWidth="9" defaultRowHeight="16.5" outlineLevelCol="3"/>
  <cols>
    <col min="1" max="1" width="19.8545454545455" customWidth="1"/>
    <col min="2" max="2" width="38.4272727272727" customWidth="1"/>
    <col min="3" max="3" width="23.5727272727273" style="24" customWidth="1"/>
  </cols>
  <sheetData>
    <row r="1" spans="1:4">
      <c r="A1" s="25" t="s">
        <v>0</v>
      </c>
      <c r="B1" s="25" t="s">
        <v>1</v>
      </c>
      <c r="C1" s="25" t="s">
        <v>2</v>
      </c>
      <c r="D1" s="25" t="s">
        <v>3</v>
      </c>
    </row>
    <row r="2" spans="1:4">
      <c r="A2" s="7">
        <v>450230</v>
      </c>
      <c r="B2" s="7" t="s">
        <v>4</v>
      </c>
      <c r="C2" s="24" t="s">
        <v>5</v>
      </c>
      <c r="D2" t="s">
        <v>6</v>
      </c>
    </row>
    <row r="3" spans="1:4">
      <c r="A3" s="7">
        <v>452073</v>
      </c>
      <c r="B3" s="7" t="s">
        <v>7</v>
      </c>
      <c r="C3" s="24" t="s">
        <v>8</v>
      </c>
      <c r="D3" t="s">
        <v>9</v>
      </c>
    </row>
    <row r="4" spans="1:4">
      <c r="A4" s="7">
        <v>461161</v>
      </c>
      <c r="B4" s="7" t="s">
        <v>10</v>
      </c>
      <c r="C4" s="24" t="s">
        <v>11</v>
      </c>
      <c r="D4" t="s">
        <v>12</v>
      </c>
    </row>
    <row r="5" spans="1:4">
      <c r="A5" s="7">
        <v>456091</v>
      </c>
      <c r="B5" s="7" t="s">
        <v>13</v>
      </c>
      <c r="C5" s="24" t="s">
        <v>14</v>
      </c>
      <c r="D5" t="s">
        <v>6</v>
      </c>
    </row>
    <row r="6" spans="1:4">
      <c r="A6" s="7">
        <v>478308</v>
      </c>
      <c r="B6" s="7" t="s">
        <v>15</v>
      </c>
      <c r="C6" s="24" t="s">
        <v>8</v>
      </c>
      <c r="D6" t="s">
        <v>16</v>
      </c>
    </row>
    <row r="7" spans="1:4">
      <c r="A7" s="7">
        <v>478266</v>
      </c>
      <c r="B7" s="7" t="s">
        <v>17</v>
      </c>
      <c r="C7" s="24" t="s">
        <v>5</v>
      </c>
      <c r="D7" t="s">
        <v>12</v>
      </c>
    </row>
    <row r="8" spans="1:4">
      <c r="A8" s="7">
        <v>466167</v>
      </c>
      <c r="B8" s="7" t="s">
        <v>18</v>
      </c>
      <c r="C8" s="24" t="s">
        <v>5</v>
      </c>
      <c r="D8" t="s">
        <v>12</v>
      </c>
    </row>
    <row r="9" spans="1:4">
      <c r="A9" s="7">
        <v>712428</v>
      </c>
      <c r="B9" s="7" t="s">
        <v>19</v>
      </c>
      <c r="C9" s="24" t="s">
        <v>20</v>
      </c>
      <c r="D9" t="s">
        <v>16</v>
      </c>
    </row>
    <row r="10" spans="1:4">
      <c r="A10" s="7">
        <v>454456</v>
      </c>
      <c r="B10" s="7" t="s">
        <v>21</v>
      </c>
      <c r="C10" s="24" t="s">
        <v>22</v>
      </c>
      <c r="D10" t="s">
        <v>12</v>
      </c>
    </row>
    <row r="11" spans="1:4">
      <c r="A11" s="7">
        <v>452119</v>
      </c>
      <c r="B11" s="7" t="s">
        <v>23</v>
      </c>
      <c r="C11" s="24" t="s">
        <v>8</v>
      </c>
      <c r="D11" t="s">
        <v>24</v>
      </c>
    </row>
    <row r="12" spans="1:4">
      <c r="A12" s="7">
        <v>430977</v>
      </c>
      <c r="B12" s="7" t="s">
        <v>25</v>
      </c>
      <c r="C12" s="24" t="s">
        <v>26</v>
      </c>
      <c r="D12" t="s">
        <v>24</v>
      </c>
    </row>
    <row r="13" spans="1:4">
      <c r="A13" s="7">
        <v>451857</v>
      </c>
      <c r="B13" s="7" t="s">
        <v>27</v>
      </c>
      <c r="C13" s="24" t="s">
        <v>22</v>
      </c>
      <c r="D13" t="s">
        <v>12</v>
      </c>
    </row>
    <row r="14" spans="1:4">
      <c r="A14" s="7">
        <v>427568</v>
      </c>
      <c r="B14" s="7" t="s">
        <v>28</v>
      </c>
      <c r="C14" s="24" t="s">
        <v>20</v>
      </c>
      <c r="D14" t="s">
        <v>9</v>
      </c>
    </row>
    <row r="15" spans="1:4">
      <c r="A15" s="7">
        <v>469899</v>
      </c>
      <c r="B15" s="7" t="s">
        <v>29</v>
      </c>
      <c r="C15" s="24" t="s">
        <v>11</v>
      </c>
      <c r="D15" t="s">
        <v>16</v>
      </c>
    </row>
    <row r="16" spans="1:4">
      <c r="A16" s="7">
        <v>451858</v>
      </c>
      <c r="B16" s="7" t="s">
        <v>30</v>
      </c>
      <c r="C16" s="24" t="s">
        <v>22</v>
      </c>
      <c r="D16" t="s">
        <v>9</v>
      </c>
    </row>
    <row r="17" spans="1:4">
      <c r="A17" s="7">
        <v>486309</v>
      </c>
      <c r="B17" s="7" t="s">
        <v>31</v>
      </c>
      <c r="C17" s="24" t="s">
        <v>8</v>
      </c>
      <c r="D17" t="s">
        <v>24</v>
      </c>
    </row>
    <row r="18" spans="1:4">
      <c r="A18" s="7">
        <v>470301</v>
      </c>
      <c r="B18" s="7" t="s">
        <v>32</v>
      </c>
      <c r="C18" s="24" t="s">
        <v>5</v>
      </c>
      <c r="D18" t="s">
        <v>6</v>
      </c>
    </row>
    <row r="19" spans="1:4">
      <c r="A19" s="7">
        <v>468157</v>
      </c>
      <c r="B19" s="7" t="s">
        <v>33</v>
      </c>
      <c r="C19" s="24" t="s">
        <v>34</v>
      </c>
      <c r="D19" t="s">
        <v>9</v>
      </c>
    </row>
    <row r="20" spans="1:4">
      <c r="A20" s="7">
        <v>452115</v>
      </c>
      <c r="B20" s="7" t="s">
        <v>35</v>
      </c>
      <c r="C20" s="24" t="s">
        <v>11</v>
      </c>
      <c r="D20" t="s">
        <v>24</v>
      </c>
    </row>
    <row r="21" spans="1:4">
      <c r="A21" s="7">
        <v>467068</v>
      </c>
      <c r="B21" s="7" t="s">
        <v>36</v>
      </c>
      <c r="C21" s="24" t="s">
        <v>11</v>
      </c>
      <c r="D21" t="s">
        <v>24</v>
      </c>
    </row>
    <row r="22" spans="1:4">
      <c r="A22" s="7">
        <v>466367</v>
      </c>
      <c r="B22" s="7" t="s">
        <v>37</v>
      </c>
      <c r="C22" s="24" t="s">
        <v>34</v>
      </c>
      <c r="D22" t="s">
        <v>16</v>
      </c>
    </row>
    <row r="23" spans="1:4">
      <c r="A23" s="7">
        <v>492857</v>
      </c>
      <c r="B23" s="7" t="s">
        <v>38</v>
      </c>
      <c r="C23" s="24" t="s">
        <v>39</v>
      </c>
      <c r="D23" t="s">
        <v>12</v>
      </c>
    </row>
    <row r="24" spans="1:4">
      <c r="A24" s="7">
        <v>408262</v>
      </c>
      <c r="B24" s="7" t="s">
        <v>40</v>
      </c>
      <c r="C24" s="24" t="s">
        <v>20</v>
      </c>
      <c r="D24" t="s">
        <v>9</v>
      </c>
    </row>
    <row r="25" spans="1:4">
      <c r="A25" s="7">
        <v>453089</v>
      </c>
      <c r="B25" s="7" t="s">
        <v>41</v>
      </c>
      <c r="C25" s="24" t="s">
        <v>11</v>
      </c>
      <c r="D25" t="s">
        <v>6</v>
      </c>
    </row>
    <row r="26" spans="1:4">
      <c r="A26" s="7">
        <v>449890</v>
      </c>
      <c r="B26" s="7" t="s">
        <v>42</v>
      </c>
      <c r="C26" s="24" t="s">
        <v>34</v>
      </c>
      <c r="D26" t="s">
        <v>24</v>
      </c>
    </row>
    <row r="27" spans="1:4">
      <c r="A27" s="7">
        <v>453948</v>
      </c>
      <c r="B27" s="7" t="s">
        <v>43</v>
      </c>
      <c r="C27" s="24" t="s">
        <v>5</v>
      </c>
      <c r="D27" t="s">
        <v>9</v>
      </c>
    </row>
    <row r="28" spans="1:4">
      <c r="A28" s="7">
        <v>478084</v>
      </c>
      <c r="B28" s="7" t="s">
        <v>44</v>
      </c>
      <c r="C28" s="24" t="s">
        <v>34</v>
      </c>
      <c r="D28" t="s">
        <v>6</v>
      </c>
    </row>
    <row r="29" spans="1:4">
      <c r="A29" s="7">
        <v>722356</v>
      </c>
      <c r="B29" s="7" t="s">
        <v>45</v>
      </c>
      <c r="C29" s="24" t="s">
        <v>14</v>
      </c>
      <c r="D29" t="s">
        <v>16</v>
      </c>
    </row>
    <row r="30" spans="1:4">
      <c r="A30" s="7">
        <v>411573</v>
      </c>
      <c r="B30" s="7" t="s">
        <v>46</v>
      </c>
      <c r="C30" s="24" t="s">
        <v>20</v>
      </c>
      <c r="D30" t="s">
        <v>47</v>
      </c>
    </row>
    <row r="31" spans="1:4">
      <c r="A31" s="7">
        <v>468456</v>
      </c>
      <c r="B31" s="7" t="s">
        <v>48</v>
      </c>
      <c r="C31" s="24" t="s">
        <v>49</v>
      </c>
      <c r="D31" t="s">
        <v>47</v>
      </c>
    </row>
    <row r="32" spans="1:4">
      <c r="A32" s="26">
        <v>466445</v>
      </c>
      <c r="B32" s="26" t="s">
        <v>50</v>
      </c>
      <c r="C32" s="24" t="s">
        <v>34</v>
      </c>
      <c r="D32" t="s">
        <v>9</v>
      </c>
    </row>
    <row r="33" spans="1:4">
      <c r="A33" s="26">
        <v>365114</v>
      </c>
      <c r="B33" s="26" t="s">
        <v>51</v>
      </c>
      <c r="C33" s="24" t="s">
        <v>20</v>
      </c>
      <c r="D33" t="s">
        <v>16</v>
      </c>
    </row>
    <row r="34" spans="1:4">
      <c r="A34" s="7">
        <v>452058</v>
      </c>
      <c r="B34" s="7" t="s">
        <v>52</v>
      </c>
      <c r="C34" s="24" t="s">
        <v>49</v>
      </c>
      <c r="D34" t="s">
        <v>6</v>
      </c>
    </row>
    <row r="35" spans="1:4">
      <c r="A35" s="7">
        <v>721766</v>
      </c>
      <c r="B35" s="7" t="s">
        <v>53</v>
      </c>
      <c r="C35" s="24" t="s">
        <v>11</v>
      </c>
      <c r="D35" t="s">
        <v>9</v>
      </c>
    </row>
    <row r="36" spans="1:4">
      <c r="A36" s="26">
        <v>420109</v>
      </c>
      <c r="B36" s="26" t="s">
        <v>54</v>
      </c>
      <c r="C36" s="24" t="s">
        <v>20</v>
      </c>
      <c r="D36" t="s">
        <v>9</v>
      </c>
    </row>
    <row r="37" spans="1:4">
      <c r="A37" s="7">
        <v>456743</v>
      </c>
      <c r="B37" s="7" t="s">
        <v>55</v>
      </c>
      <c r="C37" s="24" t="s">
        <v>20</v>
      </c>
      <c r="D37" t="s">
        <v>9</v>
      </c>
    </row>
    <row r="38" spans="1:4">
      <c r="A38" s="7">
        <v>464500</v>
      </c>
      <c r="B38" s="7" t="s">
        <v>56</v>
      </c>
      <c r="C38" s="24" t="s">
        <v>39</v>
      </c>
      <c r="D38" t="s">
        <v>12</v>
      </c>
    </row>
    <row r="39" spans="1:4">
      <c r="A39" s="7">
        <v>456706</v>
      </c>
      <c r="B39" s="7" t="s">
        <v>57</v>
      </c>
      <c r="C39" s="24" t="s">
        <v>34</v>
      </c>
      <c r="D39" t="s">
        <v>9</v>
      </c>
    </row>
    <row r="40" spans="1:4">
      <c r="A40" s="26">
        <v>460812</v>
      </c>
      <c r="B40" s="26" t="s">
        <v>58</v>
      </c>
      <c r="C40" s="24" t="s">
        <v>20</v>
      </c>
      <c r="D40" t="s">
        <v>12</v>
      </c>
    </row>
    <row r="41" spans="1:4">
      <c r="A41" s="7">
        <v>410040</v>
      </c>
      <c r="B41" s="7" t="s">
        <v>59</v>
      </c>
      <c r="C41" s="24" t="s">
        <v>20</v>
      </c>
      <c r="D41" t="s">
        <v>47</v>
      </c>
    </row>
    <row r="42" spans="1:4">
      <c r="A42" s="7">
        <v>447096</v>
      </c>
      <c r="B42" s="7" t="s">
        <v>60</v>
      </c>
      <c r="C42" s="24" t="s">
        <v>20</v>
      </c>
      <c r="D42" t="s">
        <v>47</v>
      </c>
    </row>
    <row r="43" spans="1:4">
      <c r="A43" s="7">
        <v>455024</v>
      </c>
      <c r="B43" s="7" t="s">
        <v>61</v>
      </c>
      <c r="C43" s="24" t="s">
        <v>8</v>
      </c>
      <c r="D43" t="s">
        <v>12</v>
      </c>
    </row>
    <row r="44" spans="1:4">
      <c r="A44" s="7">
        <v>460513</v>
      </c>
      <c r="B44" s="7" t="s">
        <v>62</v>
      </c>
      <c r="C44" s="24" t="s">
        <v>34</v>
      </c>
      <c r="D44" t="s">
        <v>24</v>
      </c>
    </row>
    <row r="45" spans="1:4">
      <c r="A45" s="7">
        <v>451567</v>
      </c>
      <c r="B45" s="7" t="s">
        <v>63</v>
      </c>
      <c r="C45" s="24" t="s">
        <v>20</v>
      </c>
      <c r="D45" t="s">
        <v>6</v>
      </c>
    </row>
    <row r="46" spans="1:4">
      <c r="A46" s="7">
        <v>420533</v>
      </c>
      <c r="B46" s="7" t="s">
        <v>64</v>
      </c>
      <c r="C46" s="24" t="s">
        <v>20</v>
      </c>
      <c r="D46" t="s">
        <v>9</v>
      </c>
    </row>
    <row r="47" spans="1:4">
      <c r="A47" s="7">
        <v>465181</v>
      </c>
      <c r="B47" s="7" t="s">
        <v>65</v>
      </c>
      <c r="C47" s="24" t="s">
        <v>20</v>
      </c>
      <c r="D47" t="s">
        <v>9</v>
      </c>
    </row>
    <row r="48" spans="1:4">
      <c r="A48" s="7">
        <v>452991</v>
      </c>
      <c r="B48" s="7" t="s">
        <v>66</v>
      </c>
      <c r="C48" s="24" t="s">
        <v>11</v>
      </c>
      <c r="D48" t="s">
        <v>6</v>
      </c>
    </row>
    <row r="49" spans="1:4">
      <c r="A49" s="7">
        <v>408627</v>
      </c>
      <c r="B49" s="7" t="s">
        <v>67</v>
      </c>
      <c r="C49" s="24" t="s">
        <v>20</v>
      </c>
      <c r="D49" t="s">
        <v>24</v>
      </c>
    </row>
    <row r="50" spans="1:4">
      <c r="A50" s="7">
        <v>450436</v>
      </c>
      <c r="B50" s="7" t="s">
        <v>68</v>
      </c>
      <c r="C50" s="24" t="s">
        <v>22</v>
      </c>
      <c r="D50" t="s">
        <v>47</v>
      </c>
    </row>
    <row r="51" spans="1:4">
      <c r="A51" s="7">
        <v>463097</v>
      </c>
      <c r="B51" s="7" t="s">
        <v>69</v>
      </c>
      <c r="C51" s="24" t="s">
        <v>11</v>
      </c>
      <c r="D51" t="s">
        <v>16</v>
      </c>
    </row>
    <row r="52" spans="1:4">
      <c r="A52" s="7">
        <v>435548</v>
      </c>
      <c r="B52" s="7" t="s">
        <v>70</v>
      </c>
      <c r="C52" s="24" t="s">
        <v>20</v>
      </c>
      <c r="D52" t="s">
        <v>16</v>
      </c>
    </row>
    <row r="53" spans="1:4">
      <c r="A53" s="7">
        <v>448882</v>
      </c>
      <c r="B53" s="7" t="s">
        <v>71</v>
      </c>
      <c r="C53" s="24" t="s">
        <v>22</v>
      </c>
      <c r="D53" t="s">
        <v>6</v>
      </c>
    </row>
    <row r="54" spans="1:4">
      <c r="A54" s="7">
        <v>428544</v>
      </c>
      <c r="B54" s="7" t="s">
        <v>72</v>
      </c>
      <c r="C54" s="24" t="s">
        <v>26</v>
      </c>
      <c r="D54" t="s">
        <v>24</v>
      </c>
    </row>
    <row r="55" spans="1:4">
      <c r="A55" s="7">
        <v>479348</v>
      </c>
      <c r="B55" s="7" t="s">
        <v>73</v>
      </c>
      <c r="C55" s="24" t="s">
        <v>11</v>
      </c>
      <c r="D55" t="s">
        <v>16</v>
      </c>
    </row>
    <row r="56" spans="1:4">
      <c r="A56" s="7">
        <v>722183</v>
      </c>
      <c r="B56" s="7" t="s">
        <v>74</v>
      </c>
      <c r="C56" s="24" t="s">
        <v>34</v>
      </c>
      <c r="D56" t="s">
        <v>24</v>
      </c>
    </row>
    <row r="57" spans="1:4">
      <c r="A57" s="7">
        <v>452116</v>
      </c>
      <c r="B57" s="7" t="s">
        <v>75</v>
      </c>
      <c r="C57" s="24" t="s">
        <v>34</v>
      </c>
      <c r="D57" t="s">
        <v>47</v>
      </c>
    </row>
    <row r="58" spans="1:4">
      <c r="A58" s="7">
        <v>487476</v>
      </c>
      <c r="B58" s="7" t="s">
        <v>76</v>
      </c>
      <c r="C58" s="24" t="s">
        <v>11</v>
      </c>
      <c r="D58" t="s">
        <v>16</v>
      </c>
    </row>
    <row r="59" spans="1:4">
      <c r="A59" s="7">
        <v>464193</v>
      </c>
      <c r="B59" s="7" t="s">
        <v>77</v>
      </c>
      <c r="C59" s="24" t="s">
        <v>11</v>
      </c>
      <c r="D59" t="s">
        <v>6</v>
      </c>
    </row>
    <row r="60" spans="1:4">
      <c r="A60" s="7">
        <v>464188</v>
      </c>
      <c r="B60" s="7" t="s">
        <v>78</v>
      </c>
      <c r="C60" s="24" t="s">
        <v>20</v>
      </c>
      <c r="D60" t="s">
        <v>16</v>
      </c>
    </row>
    <row r="61" spans="1:4">
      <c r="A61" s="7">
        <v>437534</v>
      </c>
      <c r="B61" s="7" t="s">
        <v>79</v>
      </c>
      <c r="C61" s="24" t="s">
        <v>39</v>
      </c>
      <c r="D61" t="s">
        <v>24</v>
      </c>
    </row>
    <row r="62" spans="1:4">
      <c r="A62" s="7">
        <v>460764</v>
      </c>
      <c r="B62" s="7" t="s">
        <v>80</v>
      </c>
      <c r="C62" s="24" t="s">
        <v>34</v>
      </c>
      <c r="D62" t="s">
        <v>16</v>
      </c>
    </row>
    <row r="63" spans="1:4">
      <c r="A63" s="7">
        <v>479724</v>
      </c>
      <c r="B63" s="7" t="s">
        <v>81</v>
      </c>
      <c r="C63" s="24" t="s">
        <v>11</v>
      </c>
      <c r="D63" t="s">
        <v>12</v>
      </c>
    </row>
    <row r="64" spans="1:4">
      <c r="A64" s="7">
        <v>478270</v>
      </c>
      <c r="B64" s="7" t="s">
        <v>82</v>
      </c>
      <c r="C64" s="24" t="s">
        <v>22</v>
      </c>
      <c r="D64" t="s">
        <v>6</v>
      </c>
    </row>
    <row r="65" spans="1:4">
      <c r="A65" s="7">
        <v>478377</v>
      </c>
      <c r="B65" s="7" t="s">
        <v>83</v>
      </c>
      <c r="C65" s="24" t="s">
        <v>22</v>
      </c>
      <c r="D65" t="s">
        <v>6</v>
      </c>
    </row>
    <row r="66" spans="1:4">
      <c r="A66" s="7">
        <v>458702</v>
      </c>
      <c r="B66" s="7" t="s">
        <v>84</v>
      </c>
      <c r="C66" s="24" t="s">
        <v>34</v>
      </c>
      <c r="D66" t="s">
        <v>9</v>
      </c>
    </row>
    <row r="67" spans="1:4">
      <c r="A67" s="7">
        <v>473266</v>
      </c>
      <c r="B67" s="7" t="s">
        <v>85</v>
      </c>
      <c r="C67" s="24" t="s">
        <v>20</v>
      </c>
      <c r="D67" t="s">
        <v>9</v>
      </c>
    </row>
    <row r="68" spans="1:4">
      <c r="A68" s="7">
        <v>710555</v>
      </c>
      <c r="B68" s="7" t="s">
        <v>86</v>
      </c>
      <c r="C68" s="24" t="s">
        <v>14</v>
      </c>
      <c r="D68" t="s">
        <v>24</v>
      </c>
    </row>
    <row r="69" spans="1:4">
      <c r="A69" s="7">
        <v>710013</v>
      </c>
      <c r="B69" s="7" t="s">
        <v>87</v>
      </c>
      <c r="C69" s="24" t="s">
        <v>34</v>
      </c>
      <c r="D69" t="s">
        <v>24</v>
      </c>
    </row>
    <row r="70" spans="1:4">
      <c r="A70" s="7">
        <v>450256</v>
      </c>
      <c r="B70" s="7" t="s">
        <v>88</v>
      </c>
      <c r="C70" s="24" t="s">
        <v>49</v>
      </c>
      <c r="D70" t="s">
        <v>6</v>
      </c>
    </row>
    <row r="71" spans="1:4">
      <c r="A71" s="7">
        <v>436468</v>
      </c>
      <c r="B71" s="7" t="s">
        <v>89</v>
      </c>
      <c r="C71" s="24" t="s">
        <v>26</v>
      </c>
      <c r="D71" t="s">
        <v>24</v>
      </c>
    </row>
    <row r="72" spans="1:4">
      <c r="A72" s="7">
        <v>463833</v>
      </c>
      <c r="B72" s="7" t="s">
        <v>90</v>
      </c>
      <c r="C72" s="24" t="s">
        <v>11</v>
      </c>
      <c r="D72" t="s">
        <v>24</v>
      </c>
    </row>
    <row r="73" spans="1:4">
      <c r="A73" s="7">
        <v>709664</v>
      </c>
      <c r="B73" s="7" t="s">
        <v>91</v>
      </c>
      <c r="C73" s="24" t="s">
        <v>14</v>
      </c>
      <c r="D73" t="s">
        <v>9</v>
      </c>
    </row>
    <row r="74" spans="1:4">
      <c r="A74" s="7">
        <v>450694</v>
      </c>
      <c r="B74" s="7" t="s">
        <v>92</v>
      </c>
      <c r="C74" s="24" t="s">
        <v>22</v>
      </c>
      <c r="D74" t="s">
        <v>12</v>
      </c>
    </row>
    <row r="75" spans="1:4">
      <c r="A75" s="7">
        <v>416828</v>
      </c>
      <c r="B75" s="7" t="s">
        <v>93</v>
      </c>
      <c r="C75" s="24" t="s">
        <v>26</v>
      </c>
      <c r="D75" t="s">
        <v>16</v>
      </c>
    </row>
    <row r="76" spans="1:4">
      <c r="A76" s="26">
        <v>396485</v>
      </c>
      <c r="B76" s="26" t="s">
        <v>94</v>
      </c>
      <c r="C76" s="24" t="s">
        <v>34</v>
      </c>
      <c r="D76" t="s">
        <v>9</v>
      </c>
    </row>
    <row r="77" spans="1:4">
      <c r="A77" s="7">
        <v>721899</v>
      </c>
      <c r="B77" s="7" t="s">
        <v>95</v>
      </c>
      <c r="C77" s="24" t="s">
        <v>11</v>
      </c>
      <c r="D77" t="s">
        <v>24</v>
      </c>
    </row>
    <row r="78" spans="1:4">
      <c r="A78" s="7">
        <v>449891</v>
      </c>
      <c r="B78" s="7" t="s">
        <v>96</v>
      </c>
      <c r="C78" s="24" t="s">
        <v>5</v>
      </c>
      <c r="D78" t="s">
        <v>12</v>
      </c>
    </row>
    <row r="79" spans="1:4">
      <c r="A79" s="7">
        <v>722393</v>
      </c>
      <c r="B79" s="7" t="s">
        <v>97</v>
      </c>
      <c r="C79" s="24" t="s">
        <v>39</v>
      </c>
      <c r="D79" t="s">
        <v>47</v>
      </c>
    </row>
    <row r="80" spans="1:4">
      <c r="A80" s="7">
        <v>440620</v>
      </c>
      <c r="B80" s="7" t="s">
        <v>98</v>
      </c>
      <c r="C80" s="24" t="s">
        <v>22</v>
      </c>
      <c r="D80" t="s">
        <v>6</v>
      </c>
    </row>
    <row r="81" spans="1:4">
      <c r="A81" s="7">
        <v>476372</v>
      </c>
      <c r="B81" s="7" t="s">
        <v>99</v>
      </c>
      <c r="C81" s="24" t="s">
        <v>34</v>
      </c>
      <c r="D81" t="s">
        <v>6</v>
      </c>
    </row>
    <row r="82" spans="1:4">
      <c r="A82" s="7">
        <v>450224</v>
      </c>
      <c r="B82" s="7" t="s">
        <v>100</v>
      </c>
      <c r="C82" s="24" t="s">
        <v>5</v>
      </c>
      <c r="D82" t="s">
        <v>16</v>
      </c>
    </row>
    <row r="83" spans="1:4">
      <c r="A83" s="7">
        <v>460284</v>
      </c>
      <c r="B83" s="7" t="s">
        <v>101</v>
      </c>
      <c r="C83" s="24" t="s">
        <v>20</v>
      </c>
      <c r="D83" t="s">
        <v>9</v>
      </c>
    </row>
    <row r="84" spans="1:4">
      <c r="A84" s="7">
        <v>452059</v>
      </c>
      <c r="B84" s="7" t="s">
        <v>102</v>
      </c>
      <c r="C84" s="24" t="s">
        <v>5</v>
      </c>
      <c r="D84" t="s">
        <v>16</v>
      </c>
    </row>
    <row r="85" spans="1:4">
      <c r="A85" s="7">
        <v>457795</v>
      </c>
      <c r="B85" s="7" t="s">
        <v>103</v>
      </c>
      <c r="C85" s="24" t="s">
        <v>34</v>
      </c>
      <c r="D85" t="s">
        <v>16</v>
      </c>
    </row>
    <row r="86" spans="1:4">
      <c r="A86" s="7">
        <v>434518</v>
      </c>
      <c r="B86" s="7" t="s">
        <v>104</v>
      </c>
      <c r="C86" s="24" t="s">
        <v>20</v>
      </c>
      <c r="D86" t="s">
        <v>9</v>
      </c>
    </row>
    <row r="87" spans="1:4">
      <c r="A87" s="7">
        <v>450030</v>
      </c>
      <c r="B87" s="7" t="s">
        <v>105</v>
      </c>
      <c r="C87" s="24" t="s">
        <v>34</v>
      </c>
      <c r="D87" t="s">
        <v>24</v>
      </c>
    </row>
    <row r="88" spans="1:4">
      <c r="A88" s="7">
        <v>487107</v>
      </c>
      <c r="B88" s="7" t="s">
        <v>106</v>
      </c>
      <c r="C88" s="24" t="s">
        <v>26</v>
      </c>
      <c r="D88" t="s">
        <v>9</v>
      </c>
    </row>
    <row r="89" spans="1:4">
      <c r="A89" s="7">
        <v>452799</v>
      </c>
      <c r="B89" s="7" t="s">
        <v>107</v>
      </c>
      <c r="C89" s="24" t="s">
        <v>5</v>
      </c>
      <c r="D89" t="s">
        <v>12</v>
      </c>
    </row>
    <row r="90" spans="1:4">
      <c r="A90" s="7">
        <v>433939</v>
      </c>
      <c r="B90" s="7" t="s">
        <v>108</v>
      </c>
      <c r="C90" s="24" t="s">
        <v>20</v>
      </c>
      <c r="D90" t="s">
        <v>9</v>
      </c>
    </row>
    <row r="91" spans="1:4">
      <c r="A91" s="7">
        <v>457430</v>
      </c>
      <c r="B91" s="7" t="s">
        <v>108</v>
      </c>
      <c r="C91" s="24" t="s">
        <v>11</v>
      </c>
      <c r="D91" t="s">
        <v>12</v>
      </c>
    </row>
    <row r="92" spans="1:4">
      <c r="A92" s="7">
        <v>459464</v>
      </c>
      <c r="B92" s="7" t="s">
        <v>109</v>
      </c>
      <c r="C92" s="24" t="s">
        <v>22</v>
      </c>
      <c r="D92" t="s">
        <v>12</v>
      </c>
    </row>
    <row r="93" spans="1:4">
      <c r="A93" s="7">
        <v>458749</v>
      </c>
      <c r="B93" s="7" t="s">
        <v>110</v>
      </c>
      <c r="C93" s="24" t="s">
        <v>34</v>
      </c>
      <c r="D93" t="s">
        <v>9</v>
      </c>
    </row>
    <row r="94" spans="1:4">
      <c r="A94" s="7">
        <v>416087</v>
      </c>
      <c r="B94" s="7" t="s">
        <v>111</v>
      </c>
      <c r="C94" s="24" t="s">
        <v>39</v>
      </c>
      <c r="D94" t="e">
        <v>#N/A</v>
      </c>
    </row>
    <row r="95" spans="1:4">
      <c r="A95" s="7">
        <v>450171</v>
      </c>
      <c r="B95" s="7" t="s">
        <v>112</v>
      </c>
      <c r="C95" s="24" t="s">
        <v>5</v>
      </c>
      <c r="D95" t="s">
        <v>9</v>
      </c>
    </row>
    <row r="96" spans="1:4">
      <c r="A96" s="7">
        <v>452075</v>
      </c>
      <c r="B96" s="7" t="s">
        <v>113</v>
      </c>
      <c r="C96" s="24" t="s">
        <v>8</v>
      </c>
      <c r="D96" t="s">
        <v>24</v>
      </c>
    </row>
    <row r="97" spans="1:4">
      <c r="A97" s="26">
        <v>460692</v>
      </c>
      <c r="B97" s="26" t="s">
        <v>114</v>
      </c>
      <c r="C97" s="24" t="s">
        <v>5</v>
      </c>
      <c r="D97" t="s">
        <v>12</v>
      </c>
    </row>
    <row r="98" spans="1:4">
      <c r="A98" s="7">
        <v>440774</v>
      </c>
      <c r="B98" s="7" t="s">
        <v>115</v>
      </c>
      <c r="C98" s="24" t="s">
        <v>34</v>
      </c>
      <c r="D98" t="s">
        <v>16</v>
      </c>
    </row>
    <row r="99" spans="1:4">
      <c r="A99" s="7">
        <v>468224</v>
      </c>
      <c r="B99" s="7" t="s">
        <v>116</v>
      </c>
      <c r="C99" s="24" t="s">
        <v>22</v>
      </c>
      <c r="D99" t="s">
        <v>24</v>
      </c>
    </row>
    <row r="100" spans="1:4">
      <c r="A100" s="7">
        <v>464871</v>
      </c>
      <c r="B100" s="7" t="s">
        <v>117</v>
      </c>
      <c r="C100" s="24" t="s">
        <v>34</v>
      </c>
      <c r="D100" t="s">
        <v>6</v>
      </c>
    </row>
    <row r="101" spans="1:4">
      <c r="A101" s="7">
        <v>465255</v>
      </c>
      <c r="B101" s="7" t="s">
        <v>118</v>
      </c>
      <c r="C101" s="24" t="s">
        <v>11</v>
      </c>
      <c r="D101" t="s">
        <v>6</v>
      </c>
    </row>
    <row r="102" spans="1:4">
      <c r="A102" s="7">
        <v>465254</v>
      </c>
      <c r="B102" s="7" t="s">
        <v>119</v>
      </c>
      <c r="C102" s="24" t="s">
        <v>11</v>
      </c>
      <c r="D102" t="s">
        <v>12</v>
      </c>
    </row>
    <row r="103" spans="1:4">
      <c r="A103" s="7">
        <v>424332</v>
      </c>
      <c r="B103" s="7" t="s">
        <v>120</v>
      </c>
      <c r="C103" s="24" t="s">
        <v>14</v>
      </c>
      <c r="D103" t="s">
        <v>9</v>
      </c>
    </row>
    <row r="104" spans="1:4">
      <c r="A104" s="7">
        <v>716610</v>
      </c>
      <c r="B104" s="7" t="s">
        <v>121</v>
      </c>
      <c r="C104" s="24" t="s">
        <v>14</v>
      </c>
      <c r="D104" t="s">
        <v>12</v>
      </c>
    </row>
    <row r="105" spans="1:4">
      <c r="A105" s="26">
        <v>453949</v>
      </c>
      <c r="B105" s="26" t="s">
        <v>122</v>
      </c>
      <c r="C105" s="24" t="s">
        <v>11</v>
      </c>
      <c r="D105" t="s">
        <v>24</v>
      </c>
    </row>
    <row r="106" spans="1:4">
      <c r="A106" s="7">
        <v>471387</v>
      </c>
      <c r="B106" s="7" t="s">
        <v>123</v>
      </c>
      <c r="C106" s="24" t="s">
        <v>5</v>
      </c>
      <c r="D106" t="s">
        <v>9</v>
      </c>
    </row>
    <row r="107" spans="1:4">
      <c r="A107" s="26">
        <v>488518</v>
      </c>
      <c r="B107" s="26" t="s">
        <v>124</v>
      </c>
      <c r="C107" s="24" t="s">
        <v>39</v>
      </c>
      <c r="D107" t="s">
        <v>12</v>
      </c>
    </row>
    <row r="108" spans="1:4">
      <c r="A108" s="7">
        <v>450225</v>
      </c>
      <c r="B108" s="7" t="s">
        <v>125</v>
      </c>
      <c r="C108" s="24" t="s">
        <v>22</v>
      </c>
      <c r="D108" t="s">
        <v>12</v>
      </c>
    </row>
    <row r="109" spans="1:4">
      <c r="A109" s="7">
        <v>452121</v>
      </c>
      <c r="B109" s="7" t="s">
        <v>126</v>
      </c>
      <c r="C109" s="24" t="s">
        <v>8</v>
      </c>
      <c r="D109" t="s">
        <v>24</v>
      </c>
    </row>
    <row r="110" spans="1:4">
      <c r="A110" s="7">
        <v>451513</v>
      </c>
      <c r="B110" s="7" t="s">
        <v>127</v>
      </c>
      <c r="C110" s="24" t="s">
        <v>22</v>
      </c>
      <c r="D110" t="s">
        <v>16</v>
      </c>
    </row>
    <row r="111" spans="1:4">
      <c r="A111" s="26">
        <v>435877</v>
      </c>
      <c r="B111" s="26" t="s">
        <v>128</v>
      </c>
      <c r="C111" s="24" t="s">
        <v>5</v>
      </c>
      <c r="D111" t="s">
        <v>16</v>
      </c>
    </row>
    <row r="112" spans="1:4">
      <c r="A112" s="7">
        <v>445891</v>
      </c>
      <c r="B112" s="7" t="s">
        <v>129</v>
      </c>
      <c r="C112" s="24" t="s">
        <v>14</v>
      </c>
      <c r="D112" t="s">
        <v>9</v>
      </c>
    </row>
    <row r="113" spans="1:4">
      <c r="A113" s="7">
        <v>473015</v>
      </c>
      <c r="B113" s="7" t="s">
        <v>130</v>
      </c>
      <c r="C113" s="24" t="s">
        <v>34</v>
      </c>
      <c r="D113" t="s">
        <v>9</v>
      </c>
    </row>
    <row r="114" spans="1:4">
      <c r="A114" s="7">
        <v>463059</v>
      </c>
      <c r="B114" s="7" t="s">
        <v>131</v>
      </c>
      <c r="C114" s="24" t="s">
        <v>5</v>
      </c>
      <c r="D114" t="s">
        <v>12</v>
      </c>
    </row>
    <row r="115" spans="1:4">
      <c r="A115" s="7">
        <v>468887</v>
      </c>
      <c r="B115" s="7" t="s">
        <v>132</v>
      </c>
      <c r="C115" s="24" t="s">
        <v>5</v>
      </c>
      <c r="D115" t="s">
        <v>9</v>
      </c>
    </row>
    <row r="116" spans="1:4">
      <c r="A116" s="7">
        <v>484877</v>
      </c>
      <c r="B116" s="7" t="s">
        <v>133</v>
      </c>
      <c r="C116" s="24" t="s">
        <v>20</v>
      </c>
      <c r="D116" t="s">
        <v>24</v>
      </c>
    </row>
    <row r="117" spans="1:4">
      <c r="A117" s="7">
        <v>440317</v>
      </c>
      <c r="B117" s="7" t="s">
        <v>134</v>
      </c>
      <c r="C117" s="24" t="s">
        <v>8</v>
      </c>
      <c r="D117" t="s">
        <v>6</v>
      </c>
    </row>
    <row r="118" spans="1:4">
      <c r="A118" s="7">
        <v>707131</v>
      </c>
      <c r="B118" s="7" t="s">
        <v>135</v>
      </c>
      <c r="C118" s="24" t="s">
        <v>34</v>
      </c>
      <c r="D118" t="s">
        <v>16</v>
      </c>
    </row>
    <row r="119" spans="1:4">
      <c r="A119" s="7">
        <v>467915</v>
      </c>
      <c r="B119" s="7" t="s">
        <v>136</v>
      </c>
      <c r="C119" s="24" t="s">
        <v>22</v>
      </c>
      <c r="D119" t="s">
        <v>47</v>
      </c>
    </row>
    <row r="120" spans="1:4">
      <c r="A120" s="7">
        <v>469627</v>
      </c>
      <c r="B120" s="7" t="s">
        <v>137</v>
      </c>
      <c r="C120" s="24" t="s">
        <v>11</v>
      </c>
      <c r="D120" t="s">
        <v>16</v>
      </c>
    </row>
    <row r="121" spans="1:4">
      <c r="A121" s="7">
        <v>438864</v>
      </c>
      <c r="B121" s="7" t="s">
        <v>138</v>
      </c>
      <c r="C121" s="24" t="s">
        <v>5</v>
      </c>
      <c r="D121" t="s">
        <v>6</v>
      </c>
    </row>
    <row r="122" spans="1:4">
      <c r="A122" s="7">
        <v>447836</v>
      </c>
      <c r="B122" s="7" t="s">
        <v>139</v>
      </c>
      <c r="C122" s="24" t="s">
        <v>34</v>
      </c>
      <c r="D122" t="s">
        <v>16</v>
      </c>
    </row>
    <row r="123" spans="1:4">
      <c r="A123" s="7">
        <v>449551</v>
      </c>
      <c r="B123" s="7" t="s">
        <v>140</v>
      </c>
      <c r="C123" s="24" t="s">
        <v>5</v>
      </c>
      <c r="D123" t="s">
        <v>6</v>
      </c>
    </row>
    <row r="124" spans="1:4">
      <c r="A124" s="7">
        <v>438957</v>
      </c>
      <c r="B124" s="7" t="s">
        <v>141</v>
      </c>
      <c r="C124" s="24" t="s">
        <v>26</v>
      </c>
      <c r="D124" t="s">
        <v>6</v>
      </c>
    </row>
    <row r="125" spans="1:4">
      <c r="A125" s="7">
        <v>459234</v>
      </c>
      <c r="B125" s="7" t="s">
        <v>142</v>
      </c>
      <c r="C125" s="24" t="s">
        <v>11</v>
      </c>
      <c r="D125" t="s">
        <v>6</v>
      </c>
    </row>
    <row r="126" spans="1:4">
      <c r="A126" s="7">
        <v>467075</v>
      </c>
      <c r="B126" s="7" t="s">
        <v>143</v>
      </c>
      <c r="C126" s="24" t="s">
        <v>11</v>
      </c>
      <c r="D126" t="s">
        <v>6</v>
      </c>
    </row>
    <row r="127" spans="1:4">
      <c r="A127" s="7">
        <v>452118</v>
      </c>
      <c r="B127" s="7" t="s">
        <v>144</v>
      </c>
      <c r="C127" s="24" t="s">
        <v>22</v>
      </c>
      <c r="D127" t="s">
        <v>24</v>
      </c>
    </row>
    <row r="128" spans="1:4">
      <c r="A128" s="7">
        <v>427154</v>
      </c>
      <c r="B128" s="7" t="s">
        <v>145</v>
      </c>
      <c r="C128" s="24" t="s">
        <v>26</v>
      </c>
      <c r="D128" t="s">
        <v>6</v>
      </c>
    </row>
    <row r="129" spans="1:4">
      <c r="A129" s="7">
        <v>463660</v>
      </c>
      <c r="B129" s="7" t="s">
        <v>146</v>
      </c>
      <c r="C129" s="24" t="s">
        <v>20</v>
      </c>
      <c r="D129" t="s">
        <v>24</v>
      </c>
    </row>
    <row r="130" spans="1:4">
      <c r="A130" s="7">
        <v>474194</v>
      </c>
      <c r="B130" s="7" t="s">
        <v>147</v>
      </c>
      <c r="C130" s="24" t="s">
        <v>34</v>
      </c>
      <c r="D130" t="s">
        <v>16</v>
      </c>
    </row>
    <row r="131" spans="1:4">
      <c r="A131" s="7">
        <v>452056</v>
      </c>
      <c r="B131" s="7" t="s">
        <v>148</v>
      </c>
      <c r="C131" s="24" t="s">
        <v>11</v>
      </c>
      <c r="D131" t="s">
        <v>24</v>
      </c>
    </row>
    <row r="132" spans="1:4">
      <c r="A132" s="7">
        <v>432865</v>
      </c>
      <c r="B132" s="7" t="s">
        <v>149</v>
      </c>
      <c r="C132" s="24" t="s">
        <v>34</v>
      </c>
      <c r="D132" t="s">
        <v>6</v>
      </c>
    </row>
    <row r="133" spans="1:4">
      <c r="A133" s="7">
        <v>457157</v>
      </c>
      <c r="B133" s="7" t="s">
        <v>150</v>
      </c>
      <c r="C133" s="24" t="s">
        <v>34</v>
      </c>
      <c r="D133" t="s">
        <v>24</v>
      </c>
    </row>
    <row r="134" spans="1:4">
      <c r="A134" s="7">
        <v>450693</v>
      </c>
      <c r="B134" s="7" t="s">
        <v>151</v>
      </c>
      <c r="C134" s="24" t="s">
        <v>11</v>
      </c>
      <c r="D134" t="s">
        <v>9</v>
      </c>
    </row>
    <row r="135" spans="1:4">
      <c r="A135" s="7">
        <v>452057</v>
      </c>
      <c r="B135" s="7" t="s">
        <v>152</v>
      </c>
      <c r="C135" s="24" t="s">
        <v>11</v>
      </c>
      <c r="D135" t="s">
        <v>6</v>
      </c>
    </row>
    <row r="136" spans="1:4">
      <c r="A136" s="7">
        <v>705995</v>
      </c>
      <c r="B136" s="7" t="s">
        <v>153</v>
      </c>
      <c r="C136" s="24" t="s">
        <v>5</v>
      </c>
      <c r="D136" t="s">
        <v>24</v>
      </c>
    </row>
    <row r="137" spans="1:4">
      <c r="A137" s="7">
        <v>468660</v>
      </c>
      <c r="B137" s="7" t="s">
        <v>154</v>
      </c>
      <c r="C137" s="24" t="s">
        <v>22</v>
      </c>
      <c r="D137" t="s">
        <v>6</v>
      </c>
    </row>
    <row r="138" spans="1:4">
      <c r="A138" s="26">
        <v>412273</v>
      </c>
      <c r="B138" s="26" t="s">
        <v>155</v>
      </c>
      <c r="C138" s="24" t="s">
        <v>14</v>
      </c>
      <c r="D138" t="s">
        <v>24</v>
      </c>
    </row>
    <row r="139" spans="1:4">
      <c r="A139" s="7">
        <v>407302</v>
      </c>
      <c r="B139" s="7" t="s">
        <v>156</v>
      </c>
      <c r="C139" s="24" t="s">
        <v>20</v>
      </c>
      <c r="D139" t="s">
        <v>16</v>
      </c>
    </row>
    <row r="140" spans="1:4">
      <c r="A140" s="7">
        <v>472322</v>
      </c>
      <c r="B140" s="7" t="s">
        <v>157</v>
      </c>
      <c r="C140" s="24" t="s">
        <v>11</v>
      </c>
      <c r="D140" t="s">
        <v>16</v>
      </c>
    </row>
    <row r="141" spans="1:4">
      <c r="A141" s="26">
        <v>438679</v>
      </c>
      <c r="B141" s="26" t="s">
        <v>158</v>
      </c>
      <c r="C141" s="24" t="s">
        <v>49</v>
      </c>
      <c r="D141" t="s">
        <v>9</v>
      </c>
    </row>
    <row r="142" spans="1:4">
      <c r="A142" s="7">
        <v>478269</v>
      </c>
      <c r="B142" s="7" t="s">
        <v>159</v>
      </c>
      <c r="C142" s="24" t="s">
        <v>5</v>
      </c>
      <c r="D142" t="s">
        <v>24</v>
      </c>
    </row>
    <row r="143" spans="1:4">
      <c r="A143" s="7">
        <v>700216</v>
      </c>
      <c r="B143" s="7" t="s">
        <v>160</v>
      </c>
      <c r="C143" s="24" t="s">
        <v>20</v>
      </c>
      <c r="D143" t="s">
        <v>9</v>
      </c>
    </row>
    <row r="144" spans="1:4">
      <c r="A144" s="7">
        <v>452076</v>
      </c>
      <c r="B144" s="7" t="s">
        <v>161</v>
      </c>
      <c r="C144" s="24" t="s">
        <v>5</v>
      </c>
      <c r="D144" t="s">
        <v>16</v>
      </c>
    </row>
    <row r="145" spans="1:4">
      <c r="A145" s="7">
        <v>450228</v>
      </c>
      <c r="B145" s="7" t="s">
        <v>162</v>
      </c>
      <c r="C145" s="24" t="s">
        <v>11</v>
      </c>
      <c r="D145" t="s">
        <v>16</v>
      </c>
    </row>
    <row r="146" spans="1:4">
      <c r="A146" s="7">
        <v>708792</v>
      </c>
      <c r="B146" s="7" t="s">
        <v>163</v>
      </c>
      <c r="C146" s="24" t="s">
        <v>20</v>
      </c>
      <c r="D146" t="s">
        <v>16</v>
      </c>
    </row>
    <row r="147" spans="1:4">
      <c r="A147" s="7">
        <v>446300</v>
      </c>
      <c r="B147" s="7" t="s">
        <v>164</v>
      </c>
      <c r="C147" s="24" t="s">
        <v>8</v>
      </c>
      <c r="D147" t="s">
        <v>9</v>
      </c>
    </row>
    <row r="148" spans="1:4">
      <c r="A148" s="7">
        <v>450325</v>
      </c>
      <c r="B148" s="7" t="s">
        <v>165</v>
      </c>
      <c r="C148" s="24" t="s">
        <v>34</v>
      </c>
      <c r="D148" t="s">
        <v>47</v>
      </c>
    </row>
    <row r="149" spans="1:4">
      <c r="A149" s="7">
        <v>720995</v>
      </c>
      <c r="B149" s="7" t="s">
        <v>166</v>
      </c>
      <c r="C149" s="24" t="s">
        <v>26</v>
      </c>
      <c r="D149" t="s">
        <v>24</v>
      </c>
    </row>
    <row r="150" spans="1:4">
      <c r="A150" s="7">
        <v>469617</v>
      </c>
      <c r="B150" s="7" t="s">
        <v>167</v>
      </c>
      <c r="C150" s="24" t="s">
        <v>11</v>
      </c>
      <c r="D150" t="s">
        <v>6</v>
      </c>
    </row>
    <row r="151" spans="1:4">
      <c r="A151" s="7">
        <v>460628</v>
      </c>
      <c r="B151" s="7" t="s">
        <v>168</v>
      </c>
      <c r="C151" s="24" t="s">
        <v>11</v>
      </c>
      <c r="D151" t="s">
        <v>9</v>
      </c>
    </row>
    <row r="152" spans="1:4">
      <c r="A152" s="7">
        <v>721765</v>
      </c>
      <c r="B152" s="7" t="s">
        <v>169</v>
      </c>
      <c r="C152" s="24" t="s">
        <v>11</v>
      </c>
      <c r="D152" t="s">
        <v>6</v>
      </c>
    </row>
    <row r="153" spans="1:4">
      <c r="A153" s="7">
        <v>452074</v>
      </c>
      <c r="B153" s="7" t="s">
        <v>170</v>
      </c>
      <c r="C153" s="24" t="s">
        <v>22</v>
      </c>
      <c r="D153" t="s">
        <v>12</v>
      </c>
    </row>
    <row r="154" spans="1:4">
      <c r="A154" s="26">
        <v>706181</v>
      </c>
      <c r="B154" s="26" t="s">
        <v>171</v>
      </c>
      <c r="C154" s="24" t="s">
        <v>20</v>
      </c>
      <c r="D154" t="s">
        <v>16</v>
      </c>
    </row>
    <row r="155" spans="1:4">
      <c r="A155" s="7">
        <v>706306</v>
      </c>
      <c r="B155" s="7" t="s">
        <v>172</v>
      </c>
      <c r="C155" s="24" t="s">
        <v>14</v>
      </c>
      <c r="D155" t="s">
        <v>12</v>
      </c>
    </row>
    <row r="156" spans="1:4">
      <c r="A156" s="26">
        <v>479827</v>
      </c>
      <c r="B156" s="26" t="s">
        <v>173</v>
      </c>
      <c r="C156" s="24" t="s">
        <v>20</v>
      </c>
      <c r="D156" t="s">
        <v>24</v>
      </c>
    </row>
    <row r="157" spans="1:4">
      <c r="A157" s="7">
        <v>472840</v>
      </c>
      <c r="B157" s="7" t="s">
        <v>174</v>
      </c>
      <c r="C157" s="24" t="s">
        <v>34</v>
      </c>
      <c r="D157" t="s">
        <v>12</v>
      </c>
    </row>
    <row r="158" spans="1:4">
      <c r="A158" s="7">
        <v>460627</v>
      </c>
      <c r="B158" s="7" t="s">
        <v>175</v>
      </c>
      <c r="C158" s="24" t="s">
        <v>11</v>
      </c>
      <c r="D158" t="s">
        <v>12</v>
      </c>
    </row>
    <row r="159" spans="1:4">
      <c r="A159" s="7">
        <v>449635</v>
      </c>
      <c r="B159" s="7" t="s">
        <v>176</v>
      </c>
      <c r="C159" s="24" t="s">
        <v>34</v>
      </c>
      <c r="D159" t="s">
        <v>12</v>
      </c>
    </row>
    <row r="160" spans="1:4">
      <c r="A160" s="7">
        <v>705909</v>
      </c>
      <c r="B160" s="7" t="s">
        <v>177</v>
      </c>
      <c r="C160" s="24" t="s">
        <v>20</v>
      </c>
      <c r="D160" t="s">
        <v>24</v>
      </c>
    </row>
    <row r="161" spans="1:4">
      <c r="A161" s="26">
        <v>423859</v>
      </c>
      <c r="B161" s="26" t="s">
        <v>178</v>
      </c>
      <c r="C161" s="24" t="s">
        <v>49</v>
      </c>
      <c r="D161" t="s">
        <v>6</v>
      </c>
    </row>
    <row r="162" spans="1:4">
      <c r="A162" s="26">
        <v>450437</v>
      </c>
      <c r="B162" s="26" t="s">
        <v>179</v>
      </c>
      <c r="C162" s="24" t="s">
        <v>11</v>
      </c>
      <c r="D162" t="s">
        <v>9</v>
      </c>
    </row>
    <row r="163" spans="1:4">
      <c r="A163" s="26">
        <v>426232</v>
      </c>
      <c r="B163" s="26" t="s">
        <v>180</v>
      </c>
      <c r="C163" s="24" t="s">
        <v>14</v>
      </c>
      <c r="D163" t="s">
        <v>24</v>
      </c>
    </row>
    <row r="164" spans="1:4">
      <c r="A164" s="7">
        <v>466562</v>
      </c>
      <c r="B164" s="7" t="s">
        <v>181</v>
      </c>
      <c r="C164" s="24" t="s">
        <v>34</v>
      </c>
      <c r="D164" t="s">
        <v>16</v>
      </c>
    </row>
    <row r="165" spans="1:4">
      <c r="A165" s="26">
        <v>438263</v>
      </c>
      <c r="B165" s="26" t="s">
        <v>182</v>
      </c>
      <c r="C165" s="24" t="s">
        <v>20</v>
      </c>
      <c r="D165" t="s">
        <v>12</v>
      </c>
    </row>
    <row r="166" spans="1:4">
      <c r="A166" s="7">
        <v>467544</v>
      </c>
      <c r="B166" s="7" t="s">
        <v>183</v>
      </c>
      <c r="C166" s="24" t="s">
        <v>34</v>
      </c>
      <c r="D166" t="s">
        <v>16</v>
      </c>
    </row>
    <row r="167" spans="1:4">
      <c r="A167" s="7">
        <v>468536</v>
      </c>
      <c r="B167" s="7" t="s">
        <v>184</v>
      </c>
      <c r="C167" s="24" t="s">
        <v>11</v>
      </c>
      <c r="D167" t="s">
        <v>6</v>
      </c>
    </row>
    <row r="168" spans="1:4">
      <c r="A168" s="7">
        <v>470292</v>
      </c>
      <c r="B168" s="7" t="s">
        <v>185</v>
      </c>
      <c r="C168" s="24" t="s">
        <v>20</v>
      </c>
      <c r="D168" t="s">
        <v>47</v>
      </c>
    </row>
    <row r="169" spans="1:4">
      <c r="A169" s="26">
        <v>451509</v>
      </c>
      <c r="B169" s="26" t="s">
        <v>186</v>
      </c>
      <c r="C169" s="24" t="s">
        <v>20</v>
      </c>
      <c r="D169" t="s">
        <v>9</v>
      </c>
    </row>
    <row r="170" spans="1:4">
      <c r="A170" s="26">
        <v>451609</v>
      </c>
      <c r="B170" s="26" t="s">
        <v>187</v>
      </c>
      <c r="C170" s="24" t="s">
        <v>14</v>
      </c>
      <c r="D170" t="s">
        <v>16</v>
      </c>
    </row>
    <row r="171" spans="1:4">
      <c r="A171" s="7">
        <v>467519</v>
      </c>
      <c r="B171" s="7" t="s">
        <v>188</v>
      </c>
      <c r="C171" s="24" t="s">
        <v>14</v>
      </c>
      <c r="D171" t="s">
        <v>16</v>
      </c>
    </row>
    <row r="172" spans="1:4">
      <c r="A172" s="7">
        <v>460888</v>
      </c>
      <c r="B172" s="7" t="s">
        <v>189</v>
      </c>
      <c r="C172" s="24" t="s">
        <v>34</v>
      </c>
      <c r="D172" t="s">
        <v>6</v>
      </c>
    </row>
    <row r="173" ht="14.5" spans="3:3">
      <c r="C173"/>
    </row>
    <row r="174" ht="14.5" spans="3:3">
      <c r="C174"/>
    </row>
    <row r="175" ht="14.5" spans="3:3">
      <c r="C175"/>
    </row>
    <row r="176" ht="14.5" spans="3:3">
      <c r="C176"/>
    </row>
    <row r="177" ht="14.5" spans="3:3">
      <c r="C177"/>
    </row>
    <row r="178" ht="14.5" spans="3:3">
      <c r="C178"/>
    </row>
    <row r="179" ht="14.5" spans="3:3">
      <c r="C179"/>
    </row>
    <row r="180" ht="14.5" spans="3:3">
      <c r="C180"/>
    </row>
    <row r="181" ht="14.5" spans="3:3">
      <c r="C181"/>
    </row>
    <row r="182" ht="14.5" spans="3:3">
      <c r="C182"/>
    </row>
    <row r="183" ht="14.5" spans="3:3">
      <c r="C183"/>
    </row>
    <row r="184" ht="14.5" spans="3:3">
      <c r="C184"/>
    </row>
    <row r="185" ht="14.5" spans="3:3">
      <c r="C185"/>
    </row>
    <row r="186" ht="14.5" spans="3:3">
      <c r="C186"/>
    </row>
    <row r="187" ht="14.5" spans="3:3">
      <c r="C187"/>
    </row>
    <row r="188" ht="14.5" spans="3:3">
      <c r="C188"/>
    </row>
    <row r="189" ht="14.5" spans="3:3">
      <c r="C189"/>
    </row>
    <row r="190" ht="14.5" spans="3:3">
      <c r="C190"/>
    </row>
    <row r="191" ht="14.5" spans="3:3">
      <c r="C191"/>
    </row>
    <row r="192" ht="14.5" spans="3:3">
      <c r="C192"/>
    </row>
    <row r="193" ht="14.5" spans="3:3">
      <c r="C193"/>
    </row>
    <row r="194" ht="14.5" spans="3:3">
      <c r="C194"/>
    </row>
    <row r="195" ht="14.5" spans="3:3">
      <c r="C195"/>
    </row>
    <row r="196" ht="14.5" spans="3:3">
      <c r="C196"/>
    </row>
    <row r="197" ht="14.5" spans="3:3">
      <c r="C197"/>
    </row>
    <row r="198" ht="14.5" spans="3:3">
      <c r="C198"/>
    </row>
    <row r="199" ht="14.5" spans="3:3">
      <c r="C199"/>
    </row>
    <row r="200" ht="14.5" spans="3:3">
      <c r="C200"/>
    </row>
    <row r="201" ht="14.5" spans="3:3">
      <c r="C201"/>
    </row>
    <row r="202" ht="14.5" spans="3:3">
      <c r="C202"/>
    </row>
    <row r="203" ht="14.5" spans="3:3">
      <c r="C203"/>
    </row>
    <row r="204" ht="14.5" spans="3:3">
      <c r="C204"/>
    </row>
    <row r="205" ht="14.5" spans="3:3">
      <c r="C205"/>
    </row>
    <row r="206" ht="14.5" spans="3:3">
      <c r="C206"/>
    </row>
    <row r="207" ht="14.5" spans="3:3">
      <c r="C207"/>
    </row>
    <row r="208" ht="14.5" spans="3:3">
      <c r="C208"/>
    </row>
    <row r="209" ht="14.5" spans="3:3">
      <c r="C209"/>
    </row>
    <row r="210" ht="14.5" spans="3:3">
      <c r="C210"/>
    </row>
    <row r="211" ht="14.5" spans="3:3">
      <c r="C211"/>
    </row>
    <row r="212" ht="14.5" spans="3:3">
      <c r="C212"/>
    </row>
    <row r="213" ht="14.5" spans="3:3">
      <c r="C213"/>
    </row>
    <row r="214" ht="14.5" spans="3:3">
      <c r="C214"/>
    </row>
    <row r="215" ht="14.5" spans="3:3">
      <c r="C215"/>
    </row>
    <row r="216" ht="14.5" spans="3:3">
      <c r="C216"/>
    </row>
    <row r="217" ht="14.5" spans="3:3">
      <c r="C217"/>
    </row>
    <row r="218" ht="14.5" spans="3:3">
      <c r="C218"/>
    </row>
    <row r="219" ht="14.5" spans="3:3">
      <c r="C219"/>
    </row>
    <row r="220" ht="14.5" spans="3:3">
      <c r="C220"/>
    </row>
    <row r="221" ht="14.5" spans="3:3">
      <c r="C221"/>
    </row>
    <row r="222" ht="14.5" spans="3:3">
      <c r="C222"/>
    </row>
    <row r="223" ht="14.5" spans="3:3">
      <c r="C223"/>
    </row>
    <row r="224" ht="14.5" spans="3:3">
      <c r="C224"/>
    </row>
    <row r="225" ht="14.5" spans="3:3">
      <c r="C225"/>
    </row>
    <row r="226" ht="14.5" spans="3:3">
      <c r="C226"/>
    </row>
    <row r="227" ht="14.5" spans="3:3">
      <c r="C227"/>
    </row>
    <row r="228" ht="14.5" spans="3:3">
      <c r="C228"/>
    </row>
    <row r="229" ht="14.5" spans="3:3">
      <c r="C229"/>
    </row>
    <row r="230" ht="14.5" spans="3:3">
      <c r="C230"/>
    </row>
    <row r="231" ht="14.5" spans="3:3">
      <c r="C231"/>
    </row>
    <row r="232" ht="14.5" spans="3:3">
      <c r="C232"/>
    </row>
    <row r="233" ht="14.5" spans="3:3">
      <c r="C233"/>
    </row>
    <row r="234" ht="14.5" spans="3:3">
      <c r="C234"/>
    </row>
    <row r="235" ht="14.5" spans="3:3">
      <c r="C235"/>
    </row>
    <row r="236" ht="14.5" spans="3:3">
      <c r="C236"/>
    </row>
    <row r="237" ht="14.5" spans="3:3">
      <c r="C237"/>
    </row>
    <row r="238" ht="14.5" spans="3:3">
      <c r="C238"/>
    </row>
    <row r="239" ht="14.5" spans="3:3">
      <c r="C239"/>
    </row>
    <row r="240" ht="14.5" spans="3:3">
      <c r="C240"/>
    </row>
    <row r="241" ht="14.5" spans="3:3">
      <c r="C241"/>
    </row>
    <row r="242" ht="14.5" spans="3:3">
      <c r="C242"/>
    </row>
    <row r="243" ht="14.5" spans="3:3">
      <c r="C243"/>
    </row>
    <row r="244" ht="14.5" spans="3:3">
      <c r="C244"/>
    </row>
    <row r="245" ht="14.5" spans="3:3">
      <c r="C245"/>
    </row>
    <row r="246" ht="14.5" spans="3:3">
      <c r="C246"/>
    </row>
    <row r="247" ht="14.5" spans="3:3">
      <c r="C247"/>
    </row>
    <row r="248" ht="14.5" spans="3:3">
      <c r="C248"/>
    </row>
    <row r="249" ht="14.5" spans="3:3">
      <c r="C249"/>
    </row>
    <row r="250" ht="14.5" spans="3:3">
      <c r="C250"/>
    </row>
    <row r="251" ht="14.5" spans="3:3">
      <c r="C251"/>
    </row>
    <row r="252" ht="14.5" spans="3:3">
      <c r="C252"/>
    </row>
    <row r="253" ht="14.5" spans="3:3">
      <c r="C253"/>
    </row>
    <row r="254" ht="14.5" spans="3:3">
      <c r="C254"/>
    </row>
    <row r="255" ht="14.5" spans="3:3">
      <c r="C255"/>
    </row>
    <row r="256" ht="14.5" spans="3:3">
      <c r="C256"/>
    </row>
    <row r="257" ht="14.5" spans="3:3">
      <c r="C257"/>
    </row>
    <row r="258" ht="14.5" spans="3:3">
      <c r="C258"/>
    </row>
    <row r="259" ht="14.5" spans="3:3">
      <c r="C259"/>
    </row>
    <row r="260" ht="14.5" spans="3:3">
      <c r="C260"/>
    </row>
    <row r="261" ht="14.5" spans="3:3">
      <c r="C261"/>
    </row>
    <row r="262" ht="14.5" spans="3:3">
      <c r="C262"/>
    </row>
    <row r="263" ht="14.5" spans="3:3">
      <c r="C263"/>
    </row>
    <row r="264" ht="14.5" spans="3:3">
      <c r="C264"/>
    </row>
    <row r="265" ht="14.5" spans="3:3">
      <c r="C265"/>
    </row>
    <row r="266" ht="14.5" spans="3:3">
      <c r="C266"/>
    </row>
    <row r="267" ht="14.5" spans="3:3">
      <c r="C267"/>
    </row>
    <row r="268" ht="14.5" spans="3:3">
      <c r="C268"/>
    </row>
    <row r="269" ht="14.5" spans="3:3">
      <c r="C269"/>
    </row>
    <row r="270" ht="14.5" spans="3:3">
      <c r="C270"/>
    </row>
    <row r="271" ht="14.5" spans="3:3">
      <c r="C271"/>
    </row>
    <row r="272" ht="14.5" spans="3:3">
      <c r="C272"/>
    </row>
    <row r="273" ht="14.5" spans="3:3">
      <c r="C273"/>
    </row>
    <row r="274" ht="14.5" spans="3:3">
      <c r="C274"/>
    </row>
    <row r="275" ht="14.5" spans="3:3">
      <c r="C275"/>
    </row>
    <row r="276" ht="14.5" spans="3:3">
      <c r="C276"/>
    </row>
    <row r="277" ht="14.5" spans="3:3">
      <c r="C277"/>
    </row>
    <row r="278" ht="14.5" spans="3:3">
      <c r="C278"/>
    </row>
    <row r="279" ht="14.5" spans="3:3">
      <c r="C279"/>
    </row>
    <row r="280" ht="14.5" spans="3:3">
      <c r="C280"/>
    </row>
    <row r="281" ht="14.5" spans="3:3">
      <c r="C281"/>
    </row>
    <row r="282" ht="14.5" spans="3:3">
      <c r="C282"/>
    </row>
    <row r="283" ht="14.5" spans="3:3">
      <c r="C283"/>
    </row>
    <row r="284" ht="14.5" spans="3:3">
      <c r="C284"/>
    </row>
    <row r="285" ht="14.5" spans="3:3">
      <c r="C285"/>
    </row>
    <row r="286" ht="14.5" spans="3:3">
      <c r="C286"/>
    </row>
    <row r="287" ht="14.5" spans="3:3">
      <c r="C287"/>
    </row>
    <row r="288" ht="14.5" spans="3:3">
      <c r="C288"/>
    </row>
    <row r="289" ht="14.5" spans="3:3">
      <c r="C289"/>
    </row>
    <row r="290" ht="14.5" spans="3:3">
      <c r="C290"/>
    </row>
    <row r="291" ht="14.5" spans="3:3">
      <c r="C291"/>
    </row>
    <row r="292" ht="14.5" spans="3:3">
      <c r="C292"/>
    </row>
    <row r="293" ht="14.5" spans="3:3">
      <c r="C293"/>
    </row>
    <row r="294" ht="14.5" spans="3:3">
      <c r="C294"/>
    </row>
    <row r="295" ht="14.5" spans="3:3">
      <c r="C295"/>
    </row>
    <row r="296" ht="14.5" spans="3:3">
      <c r="C296"/>
    </row>
    <row r="297" ht="14.5" spans="3:3">
      <c r="C297"/>
    </row>
    <row r="298" ht="14.5" spans="3:3">
      <c r="C298"/>
    </row>
    <row r="299" ht="14.5" spans="3:3">
      <c r="C299"/>
    </row>
    <row r="300" ht="14.5" spans="3:3">
      <c r="C300"/>
    </row>
    <row r="301" ht="14.5" spans="3:3">
      <c r="C301"/>
    </row>
    <row r="302" ht="14.5" spans="3:3">
      <c r="C302"/>
    </row>
    <row r="303" ht="14.5" spans="3:3">
      <c r="C303"/>
    </row>
    <row r="304" ht="14.5" spans="3:3">
      <c r="C304"/>
    </row>
    <row r="305" ht="14.5" spans="3:3">
      <c r="C305"/>
    </row>
    <row r="306" ht="14.5" spans="3:3">
      <c r="C306"/>
    </row>
    <row r="307" ht="14.5" spans="3:3">
      <c r="C307"/>
    </row>
    <row r="308" ht="14.5" spans="3:3">
      <c r="C308"/>
    </row>
    <row r="309" ht="14.5" spans="3:3">
      <c r="C309"/>
    </row>
    <row r="310" ht="14.5" spans="3:3">
      <c r="C310"/>
    </row>
    <row r="311" ht="14.5" spans="3:3">
      <c r="C311"/>
    </row>
    <row r="312" ht="14.5" spans="3:3">
      <c r="C312"/>
    </row>
    <row r="313" ht="14.5" spans="3:3">
      <c r="C313"/>
    </row>
    <row r="314" ht="14.5" spans="3:3">
      <c r="C314"/>
    </row>
    <row r="315" ht="14.5" spans="3:3">
      <c r="C315"/>
    </row>
    <row r="316" ht="14.5" spans="3:3">
      <c r="C316"/>
    </row>
    <row r="317" ht="14.5" spans="3:3">
      <c r="C317"/>
    </row>
    <row r="318" ht="14.5" spans="3:3">
      <c r="C318"/>
    </row>
    <row r="319" ht="14.5" spans="3:3">
      <c r="C319"/>
    </row>
    <row r="320" ht="14.5" spans="3:3">
      <c r="C320"/>
    </row>
    <row r="321" ht="14.5" spans="3:3">
      <c r="C321"/>
    </row>
    <row r="322" ht="14.5" spans="3:3">
      <c r="C322"/>
    </row>
    <row r="323" ht="14.5" spans="3:3">
      <c r="C323"/>
    </row>
    <row r="324" ht="14.5" spans="3:3">
      <c r="C324"/>
    </row>
    <row r="325" ht="14.5" spans="3:3">
      <c r="C325"/>
    </row>
    <row r="326" ht="14.5" spans="3:3">
      <c r="C326"/>
    </row>
    <row r="327" ht="14.5" spans="3:3">
      <c r="C327"/>
    </row>
    <row r="328" ht="14.5" spans="3:3">
      <c r="C328"/>
    </row>
    <row r="329" ht="14.5" spans="3:3">
      <c r="C329"/>
    </row>
    <row r="330" ht="14.5" spans="3:3">
      <c r="C330"/>
    </row>
    <row r="331" ht="14.5" spans="3:3">
      <c r="C331"/>
    </row>
    <row r="332" ht="14.5" spans="3:3">
      <c r="C332"/>
    </row>
    <row r="333" ht="14.5" spans="3:3">
      <c r="C333"/>
    </row>
    <row r="334" ht="14.5" spans="3:3">
      <c r="C334"/>
    </row>
    <row r="335" ht="14.5" spans="3:3">
      <c r="C335"/>
    </row>
    <row r="336" ht="14.5" spans="3:3">
      <c r="C336"/>
    </row>
    <row r="337" ht="14.5" spans="3:3">
      <c r="C337"/>
    </row>
    <row r="338" ht="14.5" spans="3:3">
      <c r="C338"/>
    </row>
    <row r="339" ht="14.5" spans="3:3">
      <c r="C339"/>
    </row>
    <row r="340" ht="14.5" spans="3:3">
      <c r="C340"/>
    </row>
    <row r="341" ht="14.5" spans="3:3">
      <c r="C341"/>
    </row>
    <row r="342" ht="14.5" spans="3:3">
      <c r="C342"/>
    </row>
    <row r="343" ht="14.5" spans="3:3">
      <c r="C343"/>
    </row>
    <row r="344" ht="14.5" spans="3:3">
      <c r="C344"/>
    </row>
    <row r="345" ht="14.5" spans="3:3">
      <c r="C345"/>
    </row>
    <row r="346" ht="14.5" spans="3:3">
      <c r="C346"/>
    </row>
    <row r="347" ht="14.5" spans="3:3">
      <c r="C347"/>
    </row>
    <row r="348" ht="14.5" spans="3:3">
      <c r="C348"/>
    </row>
    <row r="349" ht="14.5" spans="3:3">
      <c r="C349"/>
    </row>
    <row r="350" ht="14.5" spans="3:3">
      <c r="C350"/>
    </row>
    <row r="351" ht="14.5" spans="3:3">
      <c r="C351"/>
    </row>
    <row r="352" ht="14.5" spans="3:3">
      <c r="C352"/>
    </row>
    <row r="353" ht="14.5" spans="3:3">
      <c r="C353"/>
    </row>
    <row r="354" ht="14.5" spans="3:3">
      <c r="C354"/>
    </row>
    <row r="355" ht="14.5" spans="3:3">
      <c r="C355"/>
    </row>
    <row r="356" ht="14.5" spans="3:3">
      <c r="C356"/>
    </row>
    <row r="357" ht="14.5" spans="3:3">
      <c r="C357"/>
    </row>
    <row r="358" ht="14.5" spans="3:3">
      <c r="C358"/>
    </row>
    <row r="359" ht="14.5" spans="3:3">
      <c r="C359"/>
    </row>
    <row r="360" ht="14.5" spans="3:3">
      <c r="C360"/>
    </row>
    <row r="361" ht="14.5" spans="3:3">
      <c r="C361"/>
    </row>
    <row r="362" ht="14.5" spans="3:3">
      <c r="C362"/>
    </row>
    <row r="363" ht="14.5" spans="3:3">
      <c r="C363"/>
    </row>
    <row r="364" ht="14.5" spans="3:3">
      <c r="C364"/>
    </row>
    <row r="365" ht="14.5" spans="3:3">
      <c r="C365"/>
    </row>
    <row r="366" ht="14.5" spans="3:3">
      <c r="C366"/>
    </row>
    <row r="367" ht="14.5" spans="3:3">
      <c r="C367"/>
    </row>
    <row r="368" ht="14.5" spans="3:3">
      <c r="C368"/>
    </row>
    <row r="369" ht="14.5" spans="3:3">
      <c r="C369"/>
    </row>
    <row r="370" ht="14.5" spans="3:3">
      <c r="C370"/>
    </row>
    <row r="371" ht="14.5" spans="3:3">
      <c r="C371"/>
    </row>
    <row r="372" ht="14.5" spans="3:3">
      <c r="C372"/>
    </row>
    <row r="373" ht="14.5" spans="3:3">
      <c r="C373"/>
    </row>
    <row r="374" ht="14.5" spans="3:3">
      <c r="C374"/>
    </row>
    <row r="375" ht="14.5" spans="3:3">
      <c r="C375"/>
    </row>
    <row r="376" ht="14.5" spans="3:3">
      <c r="C376"/>
    </row>
    <row r="377" ht="14.5" spans="3:3">
      <c r="C377"/>
    </row>
    <row r="378" ht="14.5" spans="3:3">
      <c r="C378"/>
    </row>
    <row r="379" ht="14.5" spans="3:3">
      <c r="C379"/>
    </row>
    <row r="380" ht="14.5" spans="3:3">
      <c r="C380"/>
    </row>
    <row r="381" ht="14.5" spans="3:3">
      <c r="C381"/>
    </row>
    <row r="382" ht="14.5" spans="3:3">
      <c r="C382"/>
    </row>
    <row r="383" ht="14.5" spans="3:3">
      <c r="C383"/>
    </row>
    <row r="384" ht="14.5" spans="3:3">
      <c r="C384"/>
    </row>
    <row r="385" ht="14.5" spans="3:3">
      <c r="C385"/>
    </row>
    <row r="386" ht="14.5" spans="3:3">
      <c r="C386"/>
    </row>
    <row r="387" ht="14.5" spans="3:3">
      <c r="C387"/>
    </row>
    <row r="388" ht="14.5" spans="3:3">
      <c r="C388"/>
    </row>
    <row r="389" ht="14.5" spans="3:3">
      <c r="C389"/>
    </row>
    <row r="390" ht="14.5" spans="3:3">
      <c r="C390"/>
    </row>
    <row r="391" ht="14.5" spans="3:3">
      <c r="C391"/>
    </row>
    <row r="392" ht="14.5" spans="3:3">
      <c r="C392"/>
    </row>
    <row r="393" ht="14.5" spans="3:3">
      <c r="C393"/>
    </row>
    <row r="394" ht="14.5" spans="3:3">
      <c r="C394"/>
    </row>
    <row r="395" ht="14.5" spans="3:3">
      <c r="C395"/>
    </row>
    <row r="396" ht="14.5" spans="3:3">
      <c r="C396"/>
    </row>
    <row r="397" ht="14.5" spans="3:3">
      <c r="C397"/>
    </row>
    <row r="398" ht="14.5" spans="3:3">
      <c r="C398"/>
    </row>
    <row r="399" ht="14.5" spans="3:3">
      <c r="C399"/>
    </row>
    <row r="400" ht="14.5" spans="3:3">
      <c r="C400"/>
    </row>
    <row r="401" ht="14.5" spans="3:3">
      <c r="C401"/>
    </row>
    <row r="402" ht="14.5" spans="3:3">
      <c r="C402"/>
    </row>
    <row r="403" ht="14.5" spans="3:3">
      <c r="C403"/>
    </row>
    <row r="404" ht="14.5" spans="3:3">
      <c r="C404"/>
    </row>
    <row r="405" ht="14.5" spans="3:3">
      <c r="C405"/>
    </row>
    <row r="406" ht="14.5" spans="3:3">
      <c r="C406"/>
    </row>
    <row r="407" ht="14.5" spans="3:3">
      <c r="C407"/>
    </row>
    <row r="408" ht="14.5" spans="3:3">
      <c r="C408"/>
    </row>
    <row r="409" ht="14.5" spans="3:3">
      <c r="C409"/>
    </row>
    <row r="410" ht="14.5" spans="3:3">
      <c r="C410"/>
    </row>
    <row r="411" ht="14.5" spans="3:3">
      <c r="C411"/>
    </row>
    <row r="412" ht="14.5" spans="3:3">
      <c r="C412"/>
    </row>
    <row r="413" ht="14.5" spans="3:3">
      <c r="C413"/>
    </row>
    <row r="414" ht="14.5" spans="3:3">
      <c r="C414"/>
    </row>
    <row r="415" ht="14.5" spans="3:3">
      <c r="C415"/>
    </row>
    <row r="416" ht="14.5" spans="3:3">
      <c r="C416"/>
    </row>
    <row r="417" ht="14.5" spans="3:3">
      <c r="C417"/>
    </row>
    <row r="418" ht="14.5" spans="3:3">
      <c r="C418"/>
    </row>
    <row r="419" ht="14.5" spans="3:3">
      <c r="C419"/>
    </row>
    <row r="420" ht="14.5" spans="3:3">
      <c r="C420"/>
    </row>
    <row r="421" ht="14.5" spans="3:3">
      <c r="C421"/>
    </row>
    <row r="422" ht="14.5" spans="3:3">
      <c r="C422"/>
    </row>
    <row r="423" ht="14.5" spans="3:3">
      <c r="C423"/>
    </row>
    <row r="424" ht="14.5" spans="3:3">
      <c r="C424"/>
    </row>
    <row r="425" ht="14.5" spans="3:3">
      <c r="C425"/>
    </row>
    <row r="426" ht="14.5" spans="3:3">
      <c r="C426"/>
    </row>
    <row r="427" ht="14.5" spans="3:3">
      <c r="C427"/>
    </row>
    <row r="428" ht="14.5" spans="3:3">
      <c r="C428"/>
    </row>
    <row r="429" ht="14.5" spans="3:3">
      <c r="C429"/>
    </row>
    <row r="430" ht="14.5" spans="3:3">
      <c r="C430"/>
    </row>
    <row r="431" ht="14.5" spans="3:3">
      <c r="C431"/>
    </row>
    <row r="432" ht="14.5" spans="3:3">
      <c r="C432"/>
    </row>
    <row r="433" ht="14.5" spans="3:3">
      <c r="C433"/>
    </row>
    <row r="434" ht="14.5" spans="3:3">
      <c r="C434"/>
    </row>
    <row r="435" ht="14.5" spans="3:3">
      <c r="C435"/>
    </row>
    <row r="436" ht="14.5" spans="3:3">
      <c r="C436"/>
    </row>
    <row r="437" ht="14.5" spans="3:3">
      <c r="C437"/>
    </row>
    <row r="438" ht="14.5" spans="3:3">
      <c r="C438"/>
    </row>
    <row r="439" ht="14.5" spans="3:3">
      <c r="C439"/>
    </row>
    <row r="440" ht="14.5" spans="3:3">
      <c r="C440"/>
    </row>
    <row r="441" ht="14.5" spans="3:3">
      <c r="C441"/>
    </row>
    <row r="442" ht="14.5" spans="3:3">
      <c r="C442"/>
    </row>
    <row r="443" ht="14.5" spans="3:3">
      <c r="C443"/>
    </row>
    <row r="444" ht="14.5" spans="3:3">
      <c r="C444"/>
    </row>
    <row r="445" ht="14.5" spans="3:3">
      <c r="C445"/>
    </row>
    <row r="446" ht="14.5" spans="3:3">
      <c r="C446"/>
    </row>
    <row r="447" ht="14.5" spans="3:3">
      <c r="C447"/>
    </row>
    <row r="448" ht="14.5" spans="3:3">
      <c r="C448"/>
    </row>
    <row r="449" ht="14.5" spans="3:3">
      <c r="C449"/>
    </row>
    <row r="450" ht="14.5" spans="3:3">
      <c r="C450"/>
    </row>
    <row r="451" ht="14.5" spans="3:3">
      <c r="C451"/>
    </row>
    <row r="452" ht="14.5" spans="3:3">
      <c r="C452"/>
    </row>
    <row r="453" ht="14.5" spans="3:3">
      <c r="C453"/>
    </row>
    <row r="454" ht="14.5" spans="3:3">
      <c r="C454"/>
    </row>
    <row r="455" ht="14.5" spans="3:3">
      <c r="C455"/>
    </row>
    <row r="456" ht="14.5" spans="3:3">
      <c r="C456"/>
    </row>
    <row r="457" ht="14.5" spans="3:3">
      <c r="C457"/>
    </row>
    <row r="458" ht="14.5" spans="3:3">
      <c r="C458"/>
    </row>
    <row r="459" ht="14.5" spans="3:3">
      <c r="C459"/>
    </row>
    <row r="460" ht="14.5" spans="3:3">
      <c r="C460"/>
    </row>
    <row r="461" ht="14.5" spans="3:3">
      <c r="C461"/>
    </row>
    <row r="462" ht="14.5" spans="3:3">
      <c r="C462"/>
    </row>
    <row r="463" ht="14.5" spans="3:3">
      <c r="C463"/>
    </row>
    <row r="464" ht="14.5" spans="3:3">
      <c r="C464"/>
    </row>
    <row r="465" ht="14.5" spans="3:3">
      <c r="C465"/>
    </row>
    <row r="466" ht="14.5" spans="3:3">
      <c r="C466"/>
    </row>
    <row r="467" ht="14.5" spans="3:3">
      <c r="C467"/>
    </row>
    <row r="468" ht="14.5" spans="3:3">
      <c r="C468"/>
    </row>
    <row r="469" ht="14.5" spans="3:3">
      <c r="C469"/>
    </row>
    <row r="470" ht="14.5" spans="3:3">
      <c r="C470"/>
    </row>
    <row r="471" ht="14.5" spans="3:3">
      <c r="C471"/>
    </row>
    <row r="472" ht="14.5" spans="3:3">
      <c r="C472"/>
    </row>
    <row r="473" ht="14.5" spans="3:3">
      <c r="C473"/>
    </row>
    <row r="474" ht="14.5" spans="3:3">
      <c r="C474"/>
    </row>
    <row r="475" ht="14.5" spans="3:3">
      <c r="C475"/>
    </row>
    <row r="476" ht="14.5" spans="3:3">
      <c r="C476"/>
    </row>
    <row r="477" ht="14.5" spans="3:3">
      <c r="C477"/>
    </row>
    <row r="478" ht="14.5" spans="3:3">
      <c r="C478"/>
    </row>
    <row r="479" ht="14.5" spans="3:3">
      <c r="C479"/>
    </row>
    <row r="480" ht="14.5" spans="3:3">
      <c r="C480"/>
    </row>
    <row r="481" ht="14.5" spans="3:3">
      <c r="C481"/>
    </row>
    <row r="482" ht="14.5" spans="3:3">
      <c r="C482"/>
    </row>
    <row r="483" ht="14.5" spans="3:3">
      <c r="C483"/>
    </row>
    <row r="484" ht="14.5" spans="3:3">
      <c r="C484"/>
    </row>
    <row r="485" ht="14.5" spans="3:3">
      <c r="C485"/>
    </row>
    <row r="486" ht="14.5" spans="3:3">
      <c r="C486"/>
    </row>
    <row r="487" ht="14.5" spans="3:3">
      <c r="C487"/>
    </row>
    <row r="488" ht="14.5" spans="3:3">
      <c r="C488"/>
    </row>
    <row r="489" ht="14.5" spans="3:3">
      <c r="C489"/>
    </row>
    <row r="490" ht="14.5" spans="3:3">
      <c r="C490"/>
    </row>
    <row r="491" ht="14.5" spans="3:3">
      <c r="C491"/>
    </row>
    <row r="492" ht="14.5" spans="3:3">
      <c r="C492"/>
    </row>
    <row r="493" ht="14.5" spans="3:3">
      <c r="C493"/>
    </row>
    <row r="494" ht="14.5" spans="3:3">
      <c r="C494"/>
    </row>
    <row r="495" ht="14.5" spans="3:3">
      <c r="C495"/>
    </row>
    <row r="496" ht="14.5" spans="3:3">
      <c r="C496"/>
    </row>
    <row r="497" ht="14.5" spans="3:3">
      <c r="C497"/>
    </row>
    <row r="498" ht="14.5" spans="3:3">
      <c r="C498"/>
    </row>
    <row r="499" ht="14.5" spans="3:3">
      <c r="C499"/>
    </row>
    <row r="500" ht="14.5" spans="3:3">
      <c r="C500"/>
    </row>
    <row r="501" ht="14.5" spans="3:3">
      <c r="C501"/>
    </row>
    <row r="502" ht="14.5" spans="3:3">
      <c r="C502"/>
    </row>
    <row r="503" ht="14.5" spans="3:3">
      <c r="C503"/>
    </row>
    <row r="504" ht="14.5" spans="3:3">
      <c r="C504"/>
    </row>
    <row r="505" ht="14.5" spans="3:3">
      <c r="C505"/>
    </row>
    <row r="506" ht="14.5" spans="3:3">
      <c r="C506"/>
    </row>
    <row r="507" ht="14.5" spans="3:3">
      <c r="C507"/>
    </row>
    <row r="508" ht="14.5" spans="3:3">
      <c r="C508"/>
    </row>
    <row r="509" ht="14.5" spans="3:3">
      <c r="C509"/>
    </row>
    <row r="510" ht="14.5" spans="3:3">
      <c r="C510"/>
    </row>
    <row r="511" ht="14.5" spans="3:3">
      <c r="C511"/>
    </row>
    <row r="512" ht="14.5" spans="3:3">
      <c r="C512"/>
    </row>
    <row r="513" ht="14.5" spans="3:3">
      <c r="C513"/>
    </row>
    <row r="514" ht="14.5" spans="3:3">
      <c r="C514"/>
    </row>
    <row r="515" ht="14.5" spans="3:3">
      <c r="C515"/>
    </row>
    <row r="516" ht="14.5" spans="3:3">
      <c r="C516"/>
    </row>
    <row r="517" ht="14.5" spans="3:3">
      <c r="C517"/>
    </row>
    <row r="518" ht="14.5" spans="3:3">
      <c r="C518"/>
    </row>
    <row r="519" ht="14.5" spans="3:3">
      <c r="C519"/>
    </row>
    <row r="520" ht="14.5" spans="3:3">
      <c r="C520"/>
    </row>
    <row r="521" ht="14.5" spans="3:3">
      <c r="C521"/>
    </row>
    <row r="522" ht="14.5" spans="3:3">
      <c r="C522"/>
    </row>
    <row r="523" ht="14.5" spans="3:3">
      <c r="C523"/>
    </row>
    <row r="524" ht="14.5" spans="3:3">
      <c r="C524"/>
    </row>
    <row r="525" ht="14.5" spans="3:3">
      <c r="C525"/>
    </row>
    <row r="526" ht="14.5" spans="3:3">
      <c r="C526"/>
    </row>
    <row r="527" ht="14.5" spans="3:3">
      <c r="C527"/>
    </row>
    <row r="528" ht="14.5" spans="3:3">
      <c r="C528"/>
    </row>
    <row r="529" ht="14.5" spans="3:3">
      <c r="C529"/>
    </row>
    <row r="530" ht="14.5" spans="3:3">
      <c r="C530"/>
    </row>
    <row r="531" ht="14.5" spans="3:3">
      <c r="C531"/>
    </row>
    <row r="532" ht="14.5" spans="3:3">
      <c r="C532"/>
    </row>
    <row r="533" ht="14.5" spans="3:3">
      <c r="C533"/>
    </row>
    <row r="534" ht="14.5" spans="3:3">
      <c r="C534"/>
    </row>
    <row r="535" ht="14.5" spans="3:3">
      <c r="C535"/>
    </row>
    <row r="536" ht="14.5" spans="3:3">
      <c r="C536"/>
    </row>
    <row r="537" ht="14.5" spans="3:3">
      <c r="C537"/>
    </row>
    <row r="538" ht="14.5" spans="3:3">
      <c r="C538"/>
    </row>
    <row r="539" ht="14.5" spans="3:3">
      <c r="C539"/>
    </row>
    <row r="540" ht="14.5" spans="3:3">
      <c r="C540"/>
    </row>
    <row r="541" ht="14.5" spans="3:3">
      <c r="C541"/>
    </row>
    <row r="542" ht="14.5" spans="3:3">
      <c r="C542"/>
    </row>
    <row r="543" ht="14.5" spans="3:3">
      <c r="C543"/>
    </row>
    <row r="544" ht="14.5" spans="3:3">
      <c r="C544"/>
    </row>
    <row r="545" ht="14.5" spans="3:3">
      <c r="C545"/>
    </row>
    <row r="546" ht="14.5" spans="3:3">
      <c r="C546"/>
    </row>
    <row r="547" ht="14.5" spans="3:3">
      <c r="C547"/>
    </row>
    <row r="548" ht="14.5" spans="3:3">
      <c r="C548"/>
    </row>
    <row r="549" ht="14.5" spans="3:3">
      <c r="C549"/>
    </row>
    <row r="550" ht="14.5" spans="3:3">
      <c r="C550"/>
    </row>
    <row r="551" ht="14.5" spans="3:3">
      <c r="C551"/>
    </row>
    <row r="552" ht="14.5" spans="3:3">
      <c r="C552"/>
    </row>
    <row r="553" ht="14.5" spans="3:3">
      <c r="C553"/>
    </row>
    <row r="554" ht="14.5" spans="3:3">
      <c r="C554"/>
    </row>
    <row r="555" ht="14.5" spans="3:3">
      <c r="C555"/>
    </row>
    <row r="556" ht="14.5" spans="3:3">
      <c r="C556"/>
    </row>
    <row r="557" ht="14.5" spans="3:3">
      <c r="C557"/>
    </row>
    <row r="558" ht="14.5" spans="3:3">
      <c r="C558"/>
    </row>
    <row r="559" ht="14.5" spans="3:3">
      <c r="C559"/>
    </row>
    <row r="560" ht="14.5" spans="3:3">
      <c r="C560"/>
    </row>
    <row r="561" ht="14.5" spans="3:3">
      <c r="C561"/>
    </row>
    <row r="562" ht="14.5" spans="3:3">
      <c r="C562"/>
    </row>
    <row r="563" ht="14.5" spans="3:3">
      <c r="C563"/>
    </row>
    <row r="564" ht="14.5" spans="3:3">
      <c r="C564"/>
    </row>
    <row r="565" ht="14.5" spans="3:3">
      <c r="C565"/>
    </row>
    <row r="566" ht="14.5" spans="3:3">
      <c r="C566"/>
    </row>
    <row r="567" ht="14.5" spans="3:3">
      <c r="C567"/>
    </row>
    <row r="568" ht="14.5" spans="3:3">
      <c r="C568"/>
    </row>
    <row r="569" ht="14.5" spans="3:3">
      <c r="C569"/>
    </row>
    <row r="570" ht="14.5" spans="3:3">
      <c r="C570"/>
    </row>
    <row r="571" ht="14.5" spans="3:3">
      <c r="C571"/>
    </row>
    <row r="572" ht="14.5" spans="3:3">
      <c r="C572"/>
    </row>
    <row r="573" ht="14.5" spans="3:3">
      <c r="C573"/>
    </row>
    <row r="574" ht="14.5" spans="3:3">
      <c r="C574"/>
    </row>
    <row r="575" ht="14.5" spans="3:3">
      <c r="C575"/>
    </row>
    <row r="576" ht="14.5" spans="3:3">
      <c r="C576"/>
    </row>
    <row r="577" ht="14.5" spans="3:3">
      <c r="C577"/>
    </row>
    <row r="578" ht="14.5" spans="3:3">
      <c r="C578"/>
    </row>
    <row r="579" ht="14.5" spans="3:3">
      <c r="C579"/>
    </row>
    <row r="580" ht="14.5" spans="3:3">
      <c r="C580"/>
    </row>
    <row r="581" ht="14.5" spans="3:3">
      <c r="C581"/>
    </row>
    <row r="582" ht="14.5" spans="3:3">
      <c r="C582"/>
    </row>
    <row r="583" ht="14.5" spans="3:3">
      <c r="C583"/>
    </row>
    <row r="584" ht="14.5" spans="3:3">
      <c r="C584"/>
    </row>
    <row r="585" ht="14.5" spans="3:3">
      <c r="C585"/>
    </row>
    <row r="586" ht="14.5" spans="3:3">
      <c r="C586"/>
    </row>
    <row r="587" ht="14.5" spans="3:3">
      <c r="C587"/>
    </row>
    <row r="588" ht="14.5" spans="3:3">
      <c r="C588"/>
    </row>
    <row r="589" ht="14.5" spans="3:3">
      <c r="C589"/>
    </row>
    <row r="590" ht="14.5" spans="3:3">
      <c r="C590"/>
    </row>
    <row r="591" ht="14.5" spans="3:3">
      <c r="C591"/>
    </row>
    <row r="592" ht="14.5" spans="3:3">
      <c r="C592"/>
    </row>
    <row r="593" ht="14.5" spans="3:3">
      <c r="C593"/>
    </row>
    <row r="594" ht="14.5" spans="3:3">
      <c r="C594"/>
    </row>
    <row r="595" ht="14.5" spans="3:3">
      <c r="C595"/>
    </row>
    <row r="596" ht="14.5" spans="3:3">
      <c r="C596"/>
    </row>
    <row r="597" ht="14.5" spans="3:3">
      <c r="C597"/>
    </row>
    <row r="598" ht="14.5" spans="3:3">
      <c r="C598"/>
    </row>
    <row r="599" ht="14.5" spans="3:3">
      <c r="C599"/>
    </row>
    <row r="600" ht="14.5" spans="3:3">
      <c r="C600"/>
    </row>
    <row r="601" ht="14.5" spans="3:3">
      <c r="C601"/>
    </row>
    <row r="602" ht="14.5" spans="3:3">
      <c r="C602"/>
    </row>
    <row r="603" ht="14.5" spans="3:3">
      <c r="C603"/>
    </row>
    <row r="604" ht="14.5" spans="3:3">
      <c r="C604"/>
    </row>
    <row r="605" ht="14.5" spans="3:3">
      <c r="C605"/>
    </row>
    <row r="606" ht="14.5" spans="3:3">
      <c r="C606"/>
    </row>
    <row r="607" ht="14.5" spans="3:3">
      <c r="C607"/>
    </row>
    <row r="608" ht="14.5" spans="3:3">
      <c r="C608"/>
    </row>
    <row r="609" ht="14.5" spans="3:3">
      <c r="C609"/>
    </row>
    <row r="610" ht="14.5" spans="3:3">
      <c r="C610"/>
    </row>
    <row r="611" ht="14.5" spans="3:3">
      <c r="C611"/>
    </row>
    <row r="612" ht="14.5" spans="3:3">
      <c r="C612"/>
    </row>
    <row r="613" ht="14.5" spans="3:3">
      <c r="C613"/>
    </row>
    <row r="614" ht="14.5" spans="3:3">
      <c r="C614"/>
    </row>
    <row r="615" ht="14.5" spans="3:3">
      <c r="C615"/>
    </row>
    <row r="616" ht="14.5" spans="3:3">
      <c r="C616"/>
    </row>
    <row r="617" ht="14.5" spans="3:3">
      <c r="C617"/>
    </row>
    <row r="618" ht="14.5" spans="3:3">
      <c r="C618"/>
    </row>
    <row r="619" ht="14.5" spans="3:3">
      <c r="C619"/>
    </row>
    <row r="620" ht="14.5" spans="3:3">
      <c r="C620"/>
    </row>
    <row r="621" ht="14.5" spans="3:3">
      <c r="C621"/>
    </row>
    <row r="622" ht="14.5" spans="3:3">
      <c r="C622"/>
    </row>
    <row r="623" ht="14.5" spans="3:3">
      <c r="C623"/>
    </row>
    <row r="624" ht="14.5" spans="3:3">
      <c r="C624"/>
    </row>
    <row r="625" ht="14.5" spans="3:3">
      <c r="C625"/>
    </row>
    <row r="626" ht="14.5" spans="3:3">
      <c r="C626"/>
    </row>
    <row r="627" ht="14.5" spans="3:3">
      <c r="C627"/>
    </row>
    <row r="628" ht="14.5" spans="3:3">
      <c r="C628"/>
    </row>
    <row r="629" ht="14.5" spans="3:3">
      <c r="C629"/>
    </row>
    <row r="630" ht="14.5" spans="3:3">
      <c r="C630"/>
    </row>
    <row r="631" ht="14.5" spans="3:3">
      <c r="C631"/>
    </row>
    <row r="632" ht="14.5" spans="3:3">
      <c r="C632"/>
    </row>
    <row r="633" ht="14.5" spans="3:3">
      <c r="C633"/>
    </row>
    <row r="634" ht="14.5" spans="3:3">
      <c r="C634"/>
    </row>
    <row r="635" ht="14.5" spans="3:3">
      <c r="C635"/>
    </row>
    <row r="636" ht="14.5" spans="3:3">
      <c r="C636"/>
    </row>
    <row r="637" ht="14.5" spans="3:3">
      <c r="C637"/>
    </row>
    <row r="638" ht="14.5" spans="3:3">
      <c r="C638"/>
    </row>
    <row r="639" ht="14.5" spans="3:3">
      <c r="C639"/>
    </row>
    <row r="640" ht="14.5" spans="3:3">
      <c r="C640"/>
    </row>
    <row r="641" ht="14.5" spans="3:3">
      <c r="C641"/>
    </row>
    <row r="642" ht="14.5" spans="3:3">
      <c r="C642"/>
    </row>
    <row r="643" ht="14.5" spans="3:3">
      <c r="C643"/>
    </row>
    <row r="644" ht="14.5" spans="3:3">
      <c r="C644"/>
    </row>
    <row r="645" ht="14.5" spans="3:3">
      <c r="C645"/>
    </row>
    <row r="646" ht="14.5" spans="3:3">
      <c r="C646"/>
    </row>
    <row r="647" ht="14.5" spans="3:3">
      <c r="C647"/>
    </row>
    <row r="648" ht="14.5" spans="3:3">
      <c r="C648"/>
    </row>
    <row r="649" ht="14.5" spans="3:3">
      <c r="C649"/>
    </row>
    <row r="650" ht="14.5" spans="3:3">
      <c r="C650"/>
    </row>
    <row r="651" ht="14.5" spans="3:3">
      <c r="C651"/>
    </row>
    <row r="652" ht="14.5" spans="3:3">
      <c r="C652"/>
    </row>
    <row r="653" ht="14.5" spans="3:3">
      <c r="C653"/>
    </row>
    <row r="654" ht="14.5" spans="3:3">
      <c r="C654"/>
    </row>
    <row r="655" ht="14.5" spans="3:3">
      <c r="C655"/>
    </row>
    <row r="656" ht="14.5" spans="3:3">
      <c r="C656"/>
    </row>
    <row r="657" ht="14.5" spans="3:3">
      <c r="C657"/>
    </row>
    <row r="658" ht="14.5" spans="3:3">
      <c r="C658"/>
    </row>
    <row r="659" ht="14.5" spans="3:3">
      <c r="C659"/>
    </row>
    <row r="660" ht="14.5" spans="3:3">
      <c r="C660"/>
    </row>
    <row r="661" ht="14.5" spans="3:3">
      <c r="C661"/>
    </row>
    <row r="662" ht="14.5" spans="3:3">
      <c r="C662"/>
    </row>
    <row r="663" ht="14.5" spans="3:3">
      <c r="C663"/>
    </row>
    <row r="664" ht="14.5" spans="3:3">
      <c r="C664"/>
    </row>
    <row r="665" ht="14.5" spans="3:3">
      <c r="C665"/>
    </row>
    <row r="666" ht="14.5" spans="3:3">
      <c r="C666"/>
    </row>
    <row r="667" ht="14.5" spans="3:3">
      <c r="C667"/>
    </row>
    <row r="668" ht="14.5" spans="3:3">
      <c r="C668"/>
    </row>
    <row r="669" ht="14.5" spans="3:3">
      <c r="C669"/>
    </row>
    <row r="670" ht="14.5" spans="3:3">
      <c r="C670"/>
    </row>
    <row r="671" ht="14.5" spans="3:3">
      <c r="C671"/>
    </row>
    <row r="672" ht="14.5" spans="3:3">
      <c r="C672"/>
    </row>
    <row r="673" ht="14.5" spans="3:3">
      <c r="C673"/>
    </row>
    <row r="674" ht="14.5" spans="3:3">
      <c r="C674"/>
    </row>
    <row r="675" ht="14.5" spans="3:3">
      <c r="C675"/>
    </row>
    <row r="676" ht="14.5" spans="3:3">
      <c r="C676"/>
    </row>
    <row r="677" ht="14.5" spans="3:3">
      <c r="C677"/>
    </row>
    <row r="678" ht="14.5" spans="3:3">
      <c r="C678"/>
    </row>
    <row r="679" ht="14.5" spans="3:3">
      <c r="C679"/>
    </row>
    <row r="680" ht="14.5" spans="3:3">
      <c r="C680"/>
    </row>
    <row r="681" ht="14.5" spans="3:3">
      <c r="C681"/>
    </row>
    <row r="682" ht="14.5" spans="3:3">
      <c r="C682"/>
    </row>
    <row r="683" ht="14.5" spans="3:3">
      <c r="C683"/>
    </row>
    <row r="684" ht="14.5" spans="3:3">
      <c r="C684"/>
    </row>
    <row r="685" ht="14.5" spans="3:3">
      <c r="C685"/>
    </row>
    <row r="686" ht="14.5" spans="3:3">
      <c r="C686"/>
    </row>
    <row r="687" ht="14.5" spans="3:3">
      <c r="C687"/>
    </row>
    <row r="688" ht="14.5" spans="3:3">
      <c r="C688"/>
    </row>
    <row r="689" ht="14.5" spans="3:3">
      <c r="C689"/>
    </row>
    <row r="690" ht="14.5" spans="3:3">
      <c r="C690"/>
    </row>
    <row r="691" ht="14.5" spans="3:3">
      <c r="C691"/>
    </row>
    <row r="692" ht="14.5" spans="3:3">
      <c r="C692"/>
    </row>
    <row r="693" ht="14.5" spans="3:3">
      <c r="C693"/>
    </row>
    <row r="694" ht="14.5" spans="3:3">
      <c r="C694"/>
    </row>
    <row r="695" ht="14.5" spans="3:3">
      <c r="C695"/>
    </row>
    <row r="696" ht="14.5" spans="3:3">
      <c r="C696"/>
    </row>
    <row r="697" ht="14.5" spans="3:3">
      <c r="C697"/>
    </row>
    <row r="698" ht="14.5" spans="3:3">
      <c r="C698"/>
    </row>
    <row r="699" ht="14.5" spans="3:3">
      <c r="C699"/>
    </row>
    <row r="700" ht="14.5" spans="3:3">
      <c r="C700"/>
    </row>
    <row r="701" ht="14.5" spans="3:3">
      <c r="C701"/>
    </row>
    <row r="702" ht="14.5" spans="3:3">
      <c r="C702"/>
    </row>
    <row r="703" ht="14.5" spans="3:3">
      <c r="C703"/>
    </row>
    <row r="704" ht="14.5" spans="3:3">
      <c r="C704"/>
    </row>
    <row r="705" ht="14.5" spans="3:3">
      <c r="C705"/>
    </row>
    <row r="706" ht="14.5" spans="3:3">
      <c r="C706"/>
    </row>
    <row r="707" ht="14.5" spans="3:3">
      <c r="C707"/>
    </row>
    <row r="708" ht="14.5" spans="3:3">
      <c r="C708"/>
    </row>
    <row r="709" ht="14.5" spans="3:3">
      <c r="C709"/>
    </row>
    <row r="710" ht="14.5" spans="3:3">
      <c r="C710"/>
    </row>
    <row r="711" ht="14.5" spans="3:3">
      <c r="C711"/>
    </row>
    <row r="712" ht="14.5" spans="3:3">
      <c r="C712"/>
    </row>
    <row r="713" ht="14.5" spans="3:3">
      <c r="C713"/>
    </row>
    <row r="714" ht="14.5" spans="3:3">
      <c r="C714"/>
    </row>
    <row r="715" ht="14.5" spans="3:3">
      <c r="C715"/>
    </row>
    <row r="716" ht="14.5" spans="3:3">
      <c r="C716"/>
    </row>
    <row r="717" ht="14.5" spans="3:3">
      <c r="C717"/>
    </row>
    <row r="718" ht="14.5" spans="3:3">
      <c r="C718"/>
    </row>
    <row r="719" ht="14.5" spans="3:3">
      <c r="C719"/>
    </row>
    <row r="720" ht="14.5" spans="3:3">
      <c r="C720"/>
    </row>
    <row r="721" ht="14.5" spans="3:3">
      <c r="C721"/>
    </row>
    <row r="722" ht="14.5" spans="3:3">
      <c r="C722"/>
    </row>
    <row r="723" ht="14.5" spans="3:3">
      <c r="C723"/>
    </row>
    <row r="724" ht="14.5" spans="3:3">
      <c r="C724"/>
    </row>
    <row r="725" ht="14.5" spans="3:3">
      <c r="C725"/>
    </row>
    <row r="726" ht="14.5" spans="3:3">
      <c r="C726"/>
    </row>
    <row r="727" ht="14.5" spans="3:3">
      <c r="C727"/>
    </row>
    <row r="728" ht="14.5" spans="3:3">
      <c r="C728"/>
    </row>
    <row r="729" ht="14.5" spans="3:3">
      <c r="C729"/>
    </row>
    <row r="730" ht="14.5" spans="3:3">
      <c r="C730"/>
    </row>
    <row r="731" ht="14.5" spans="3:3">
      <c r="C731"/>
    </row>
    <row r="732" ht="14.5" spans="3:3">
      <c r="C732"/>
    </row>
    <row r="733" ht="14.5" spans="3:3">
      <c r="C733"/>
    </row>
    <row r="734" ht="14.5" spans="3:3">
      <c r="C734"/>
    </row>
    <row r="735" ht="14.5" spans="3:3">
      <c r="C735"/>
    </row>
    <row r="736" ht="14.5" spans="3:3">
      <c r="C736"/>
    </row>
    <row r="737" ht="14.5" spans="3:3">
      <c r="C737"/>
    </row>
    <row r="738" ht="14.5" spans="3:3">
      <c r="C738"/>
    </row>
    <row r="739" ht="14.5" spans="3:3">
      <c r="C739"/>
    </row>
    <row r="740" ht="14.5" spans="3:3">
      <c r="C740"/>
    </row>
    <row r="741" ht="14.5" spans="3:3">
      <c r="C741"/>
    </row>
    <row r="742" ht="14.5" spans="3:3">
      <c r="C742"/>
    </row>
    <row r="743" ht="14.5" spans="3:3">
      <c r="C743"/>
    </row>
    <row r="744" ht="14.5" spans="3:3">
      <c r="C744"/>
    </row>
    <row r="745" ht="14.5" spans="3:3">
      <c r="C745"/>
    </row>
    <row r="746" ht="14.5" spans="3:3">
      <c r="C746"/>
    </row>
    <row r="747" ht="14.5" spans="3:3">
      <c r="C747"/>
    </row>
    <row r="748" ht="14.5" spans="3:3">
      <c r="C748"/>
    </row>
    <row r="749" ht="14.5" spans="3:3">
      <c r="C749"/>
    </row>
    <row r="750" ht="14.5" spans="3:3">
      <c r="C750"/>
    </row>
    <row r="751" ht="14.5" spans="3:3">
      <c r="C751"/>
    </row>
    <row r="752" ht="14.5" spans="3:3">
      <c r="C752"/>
    </row>
    <row r="753" ht="14.5" spans="3:3">
      <c r="C753"/>
    </row>
    <row r="754" ht="14.5" spans="3:3">
      <c r="C754"/>
    </row>
    <row r="755" ht="14.5" spans="3:3">
      <c r="C755"/>
    </row>
    <row r="756" ht="14.5" spans="3:3">
      <c r="C756"/>
    </row>
    <row r="757" ht="14.5" spans="3:3">
      <c r="C757"/>
    </row>
    <row r="758" ht="14.5" spans="3:3">
      <c r="C758"/>
    </row>
    <row r="759" ht="14.5" spans="3:3">
      <c r="C759"/>
    </row>
    <row r="760" ht="14.5" spans="3:3">
      <c r="C760"/>
    </row>
    <row r="761" ht="14.5" spans="3:3">
      <c r="C761"/>
    </row>
    <row r="762" ht="14.5" spans="3:3">
      <c r="C762"/>
    </row>
    <row r="763" ht="14.5" spans="3:3">
      <c r="C763"/>
    </row>
    <row r="764" ht="14.5" spans="3:3">
      <c r="C764"/>
    </row>
    <row r="765" ht="14.5" spans="3:3">
      <c r="C765"/>
    </row>
    <row r="766" ht="14.5" spans="3:3">
      <c r="C766"/>
    </row>
    <row r="767" ht="14.5" spans="3:3">
      <c r="C767"/>
    </row>
    <row r="768" ht="14.5" spans="3:3">
      <c r="C768"/>
    </row>
    <row r="769" ht="14.5" spans="3:3">
      <c r="C769"/>
    </row>
    <row r="770" ht="14.5" spans="3:3">
      <c r="C770"/>
    </row>
    <row r="771" ht="14.5" spans="3:3">
      <c r="C771"/>
    </row>
    <row r="772" ht="14.5" spans="3:3">
      <c r="C772"/>
    </row>
    <row r="773" ht="14.5" spans="3:3">
      <c r="C773"/>
    </row>
    <row r="774" ht="14.5" spans="3:3">
      <c r="C774"/>
    </row>
    <row r="775" ht="14.5" spans="3:3">
      <c r="C775"/>
    </row>
    <row r="776" ht="14.5" spans="3:3">
      <c r="C776"/>
    </row>
    <row r="777" ht="14.5" spans="3:3">
      <c r="C777"/>
    </row>
    <row r="778" ht="14.5" spans="3:3">
      <c r="C778"/>
    </row>
    <row r="779" ht="14.5" spans="3:3">
      <c r="C779"/>
    </row>
    <row r="780" ht="14.5" spans="3:3">
      <c r="C780"/>
    </row>
    <row r="781" ht="14.5" spans="3:3">
      <c r="C781"/>
    </row>
    <row r="782" ht="14.5" spans="3:3">
      <c r="C782"/>
    </row>
    <row r="783" ht="14.5" spans="3:3">
      <c r="C783"/>
    </row>
    <row r="784" ht="14.5" spans="3:3">
      <c r="C784"/>
    </row>
    <row r="785" ht="14.5" spans="3:3">
      <c r="C785"/>
    </row>
    <row r="786" ht="14.5" spans="3:3">
      <c r="C786"/>
    </row>
    <row r="787" ht="14.5" spans="3:3">
      <c r="C787"/>
    </row>
    <row r="788" ht="14.5" spans="3:3">
      <c r="C788"/>
    </row>
    <row r="789" ht="14.5" spans="3:3">
      <c r="C789"/>
    </row>
    <row r="790" ht="14.5" spans="3:3">
      <c r="C790"/>
    </row>
    <row r="791" ht="14.5" spans="3:3">
      <c r="C791"/>
    </row>
    <row r="792" ht="14.5" spans="3:3">
      <c r="C792"/>
    </row>
    <row r="793" ht="14.5" spans="3:3">
      <c r="C793"/>
    </row>
    <row r="794" ht="14.5" spans="3:3">
      <c r="C794"/>
    </row>
    <row r="795" ht="14.5" spans="3:3">
      <c r="C795"/>
    </row>
    <row r="796" ht="14.5" spans="3:3">
      <c r="C796"/>
    </row>
    <row r="797" ht="14.5" spans="3:3">
      <c r="C797"/>
    </row>
    <row r="798" ht="14.5" spans="3:3">
      <c r="C798"/>
    </row>
    <row r="799" ht="14.5" spans="3:3">
      <c r="C799"/>
    </row>
    <row r="800" ht="14.5" spans="3:3">
      <c r="C800"/>
    </row>
    <row r="801" ht="14.5" spans="3:3">
      <c r="C801"/>
    </row>
    <row r="802" ht="14.5" spans="3:3">
      <c r="C802"/>
    </row>
    <row r="803" ht="14.5" spans="3:3">
      <c r="C803"/>
    </row>
    <row r="804" ht="14.5" spans="3:3">
      <c r="C804"/>
    </row>
    <row r="805" ht="14.5" spans="3:3">
      <c r="C805"/>
    </row>
    <row r="806" ht="14.5" spans="3:3">
      <c r="C806"/>
    </row>
    <row r="807" ht="14.5" spans="3:3">
      <c r="C807"/>
    </row>
    <row r="808" ht="14.5" spans="3:3">
      <c r="C808"/>
    </row>
    <row r="809" ht="14.5" spans="3:3">
      <c r="C809"/>
    </row>
    <row r="810" ht="14.5" spans="3:3">
      <c r="C810"/>
    </row>
    <row r="811" ht="14.5" spans="3:3">
      <c r="C811"/>
    </row>
    <row r="812" ht="14.5" spans="3:3">
      <c r="C812"/>
    </row>
    <row r="813" ht="14.5" spans="3:3">
      <c r="C813"/>
    </row>
    <row r="814" ht="14.5" spans="3:3">
      <c r="C814"/>
    </row>
    <row r="815" ht="14.5" spans="3:3">
      <c r="C815"/>
    </row>
    <row r="816" ht="14.5" spans="3:3">
      <c r="C816"/>
    </row>
    <row r="817" ht="14.5" spans="3:3">
      <c r="C817"/>
    </row>
    <row r="818" ht="14.5" spans="3:3">
      <c r="C818"/>
    </row>
    <row r="819" ht="14.5" spans="3:3">
      <c r="C819"/>
    </row>
    <row r="820" ht="14.5" spans="3:3">
      <c r="C820"/>
    </row>
    <row r="821" ht="14.5" spans="3:3">
      <c r="C821"/>
    </row>
    <row r="822" ht="14.5" spans="3:3">
      <c r="C822"/>
    </row>
    <row r="823" ht="14.5" spans="3:3">
      <c r="C823"/>
    </row>
    <row r="824" ht="14.5" spans="3:3">
      <c r="C824"/>
    </row>
    <row r="825" ht="14.5" spans="3:3">
      <c r="C825"/>
    </row>
    <row r="826" ht="14.5" spans="3:3">
      <c r="C826"/>
    </row>
    <row r="827" ht="14.5" spans="3:3">
      <c r="C827"/>
    </row>
    <row r="828" ht="14.5" spans="3:3">
      <c r="C828"/>
    </row>
    <row r="829" ht="14.5" spans="3:3">
      <c r="C829"/>
    </row>
    <row r="830" ht="14.5" spans="3:3">
      <c r="C830"/>
    </row>
    <row r="831" ht="14.5" spans="3:3">
      <c r="C831"/>
    </row>
    <row r="832" ht="14.5" spans="3:3">
      <c r="C832"/>
    </row>
    <row r="833" ht="14.5" spans="3:3">
      <c r="C833"/>
    </row>
    <row r="834" ht="14.5" spans="3:3">
      <c r="C834"/>
    </row>
    <row r="835" ht="14.5" spans="3:3">
      <c r="C835"/>
    </row>
    <row r="836" ht="14.5" spans="3:3">
      <c r="C836"/>
    </row>
    <row r="837" ht="14.5" spans="3:3">
      <c r="C837"/>
    </row>
    <row r="838" ht="14.5" spans="3:3">
      <c r="C838"/>
    </row>
    <row r="839" ht="14.5" spans="3:3">
      <c r="C839"/>
    </row>
    <row r="840" ht="14.5" spans="3:3">
      <c r="C840"/>
    </row>
    <row r="841" ht="14.5" spans="3:3">
      <c r="C841"/>
    </row>
    <row r="842" ht="14.5" spans="3:3">
      <c r="C842"/>
    </row>
    <row r="843" ht="14.5" spans="3:3">
      <c r="C843"/>
    </row>
    <row r="844" ht="14.5" spans="3:3">
      <c r="C844"/>
    </row>
    <row r="845" ht="14.5" spans="3:3">
      <c r="C845"/>
    </row>
    <row r="846" ht="14.5" spans="3:3">
      <c r="C846"/>
    </row>
    <row r="847" ht="14.5" spans="3:3">
      <c r="C847"/>
    </row>
    <row r="848" ht="14.5" spans="3:3">
      <c r="C848"/>
    </row>
    <row r="849" ht="14.5" spans="3:3">
      <c r="C849"/>
    </row>
    <row r="850" ht="14.5" spans="3:3">
      <c r="C850"/>
    </row>
    <row r="851" ht="14.5" spans="3:3">
      <c r="C851"/>
    </row>
    <row r="852" ht="14.5" spans="3:3">
      <c r="C852"/>
    </row>
    <row r="853" ht="14.5" spans="3:3">
      <c r="C853"/>
    </row>
    <row r="854" ht="14.5" spans="3:3">
      <c r="C854"/>
    </row>
    <row r="855" ht="14.5" spans="3:3">
      <c r="C855"/>
    </row>
    <row r="856" ht="14.5" spans="3:3">
      <c r="C856"/>
    </row>
    <row r="857" ht="14.5" spans="3:3">
      <c r="C857"/>
    </row>
    <row r="858" ht="14.5" spans="3:3">
      <c r="C858"/>
    </row>
    <row r="859" ht="14.5" spans="3:3">
      <c r="C859"/>
    </row>
    <row r="860" ht="14.5" spans="3:3">
      <c r="C860"/>
    </row>
    <row r="861" ht="14.5" spans="3:3">
      <c r="C861"/>
    </row>
    <row r="862" ht="14.5" spans="3:3">
      <c r="C862"/>
    </row>
    <row r="863" ht="14.5" spans="3:3">
      <c r="C863"/>
    </row>
    <row r="864" ht="14.5" spans="3:3">
      <c r="C864"/>
    </row>
    <row r="865" ht="14.5" spans="3:3">
      <c r="C865"/>
    </row>
    <row r="866" ht="14.5" spans="3:3">
      <c r="C866"/>
    </row>
    <row r="867" ht="14.5" spans="3:3">
      <c r="C867"/>
    </row>
    <row r="868" ht="14.5" spans="3:3">
      <c r="C868"/>
    </row>
    <row r="869" ht="14.5" spans="3:3">
      <c r="C869"/>
    </row>
    <row r="870" ht="14.5" spans="3:3">
      <c r="C870"/>
    </row>
    <row r="871" ht="14.5" spans="3:3">
      <c r="C871"/>
    </row>
    <row r="872" ht="14.5" spans="3:3">
      <c r="C872"/>
    </row>
    <row r="873" ht="14.5" spans="3:3">
      <c r="C873"/>
    </row>
    <row r="874" ht="14.5" spans="3:3">
      <c r="C874"/>
    </row>
    <row r="875" ht="14.5" spans="3:3">
      <c r="C875"/>
    </row>
    <row r="876" ht="14.5" spans="3:3">
      <c r="C876"/>
    </row>
    <row r="877" ht="14.5" spans="3:3">
      <c r="C877"/>
    </row>
    <row r="878" ht="14.5" spans="3:3">
      <c r="C878"/>
    </row>
    <row r="879" ht="14.5" spans="3:3">
      <c r="C879"/>
    </row>
    <row r="880" ht="14.5" spans="3:3">
      <c r="C880"/>
    </row>
    <row r="881" ht="14.5" spans="3:3">
      <c r="C881"/>
    </row>
    <row r="882" ht="14.5" spans="3:3">
      <c r="C882"/>
    </row>
    <row r="883" ht="14.5" spans="3:3">
      <c r="C883"/>
    </row>
    <row r="884" ht="14.5" spans="3:3">
      <c r="C884"/>
    </row>
    <row r="885" ht="14.5" spans="3:3">
      <c r="C885"/>
    </row>
    <row r="886" ht="14.5" spans="3:3">
      <c r="C886"/>
    </row>
    <row r="887" ht="14.5" spans="3:3">
      <c r="C887"/>
    </row>
    <row r="888" ht="14.5" spans="3:3">
      <c r="C888"/>
    </row>
    <row r="889" ht="14.5" spans="3:3">
      <c r="C889"/>
    </row>
    <row r="890" ht="14.5" spans="3:3">
      <c r="C890"/>
    </row>
    <row r="891" ht="14.5" spans="3:3">
      <c r="C891"/>
    </row>
    <row r="892" ht="14.5" spans="3:3">
      <c r="C892"/>
    </row>
    <row r="893" ht="14.5" spans="3:3">
      <c r="C893"/>
    </row>
    <row r="894" ht="14.5" spans="3:3">
      <c r="C894"/>
    </row>
    <row r="895" ht="14.5" spans="3:3">
      <c r="C895"/>
    </row>
    <row r="896" ht="14.5" spans="3:3">
      <c r="C896"/>
    </row>
    <row r="897" ht="14.5" spans="3:3">
      <c r="C897"/>
    </row>
    <row r="898" ht="14.5" spans="3:3">
      <c r="C898"/>
    </row>
    <row r="899" ht="14.5" spans="3:3">
      <c r="C899"/>
    </row>
    <row r="900" ht="14.5" spans="3:3">
      <c r="C900"/>
    </row>
    <row r="901" ht="14.5" spans="3:3">
      <c r="C901"/>
    </row>
    <row r="902" ht="14.5" spans="3:3">
      <c r="C902"/>
    </row>
    <row r="903" ht="14.5" spans="3:3">
      <c r="C903"/>
    </row>
    <row r="904" ht="14.5" spans="3:3">
      <c r="C904"/>
    </row>
    <row r="905" ht="14.5" spans="3:3">
      <c r="C905"/>
    </row>
    <row r="906" ht="14.5" spans="3:3">
      <c r="C906"/>
    </row>
    <row r="907" ht="14.5" spans="3:3">
      <c r="C907"/>
    </row>
    <row r="908" ht="14.5" spans="3:3">
      <c r="C908"/>
    </row>
    <row r="909" ht="14.5" spans="3:3">
      <c r="C909"/>
    </row>
    <row r="910" ht="14.5" spans="3:3">
      <c r="C910"/>
    </row>
    <row r="911" ht="14.5" spans="3:3">
      <c r="C911"/>
    </row>
    <row r="912" ht="14.5" spans="3:3">
      <c r="C912"/>
    </row>
    <row r="913" ht="14.5" spans="3:3">
      <c r="C913"/>
    </row>
    <row r="914" ht="14.5" spans="3:3">
      <c r="C914"/>
    </row>
    <row r="915" ht="14.5" spans="3:3">
      <c r="C915"/>
    </row>
    <row r="916" ht="14.5" spans="3:3">
      <c r="C916"/>
    </row>
    <row r="917" ht="14.5" spans="3:3">
      <c r="C917"/>
    </row>
    <row r="918" ht="14.5" spans="3:3">
      <c r="C918"/>
    </row>
    <row r="919" ht="14.5" spans="3:3">
      <c r="C919"/>
    </row>
    <row r="920" ht="14.5" spans="3:3">
      <c r="C920"/>
    </row>
    <row r="921" ht="14.5" spans="3:3">
      <c r="C921"/>
    </row>
    <row r="922" ht="14.5" spans="3:3">
      <c r="C922"/>
    </row>
    <row r="923" ht="14.5" spans="3:3">
      <c r="C923"/>
    </row>
    <row r="924" ht="14.5" spans="3:3">
      <c r="C924"/>
    </row>
    <row r="925" ht="14.5" spans="3:3">
      <c r="C925"/>
    </row>
    <row r="926" ht="14.5" spans="3:3">
      <c r="C926"/>
    </row>
    <row r="927" ht="14.5" spans="3:3">
      <c r="C927"/>
    </row>
    <row r="928" ht="14.5" spans="3:3">
      <c r="C928"/>
    </row>
    <row r="929" ht="14.5" spans="3:3">
      <c r="C929"/>
    </row>
    <row r="930" ht="14.5" spans="3:3">
      <c r="C930"/>
    </row>
    <row r="931" ht="14.5" spans="3:3">
      <c r="C931"/>
    </row>
    <row r="932" ht="14.5" spans="3:3">
      <c r="C932"/>
    </row>
    <row r="933" ht="14.5" spans="3:3">
      <c r="C933"/>
    </row>
    <row r="934" ht="14.5" spans="3:3">
      <c r="C934"/>
    </row>
    <row r="935" ht="14.5" spans="3:3">
      <c r="C935"/>
    </row>
    <row r="936" ht="14.5" spans="3:3">
      <c r="C936"/>
    </row>
    <row r="937" ht="14.5" spans="3:3">
      <c r="C937"/>
    </row>
    <row r="938" ht="14.5" spans="3:3">
      <c r="C938"/>
    </row>
    <row r="939" ht="14.5" spans="3:3">
      <c r="C939"/>
    </row>
    <row r="940" ht="14.5" spans="3:3">
      <c r="C940"/>
    </row>
    <row r="941" ht="14.5" spans="3:3">
      <c r="C941"/>
    </row>
    <row r="942" ht="14.5" spans="3:3">
      <c r="C942"/>
    </row>
    <row r="943" ht="14.5" spans="3:3">
      <c r="C943"/>
    </row>
    <row r="944" ht="14.5" spans="3:3">
      <c r="C944"/>
    </row>
    <row r="945" ht="14.5" spans="3:3">
      <c r="C945"/>
    </row>
    <row r="946" ht="14.5" spans="3:3">
      <c r="C946"/>
    </row>
    <row r="947" ht="14.5" spans="3:3">
      <c r="C947"/>
    </row>
    <row r="948" ht="14.5" spans="3:3">
      <c r="C948"/>
    </row>
    <row r="949" ht="14.5" spans="3:3">
      <c r="C949"/>
    </row>
    <row r="950" ht="14.5" spans="3:3">
      <c r="C950"/>
    </row>
    <row r="951" ht="14.5" spans="3:3">
      <c r="C951"/>
    </row>
    <row r="952" ht="14.5" spans="3:3">
      <c r="C952"/>
    </row>
    <row r="953" ht="14.5" spans="3:3">
      <c r="C953"/>
    </row>
    <row r="954" ht="14.5" spans="3:3">
      <c r="C954"/>
    </row>
    <row r="955" ht="14.5" spans="3:3">
      <c r="C955"/>
    </row>
    <row r="956" ht="14.5" spans="3:3">
      <c r="C956"/>
    </row>
    <row r="957" ht="14.5" spans="3:3">
      <c r="C957"/>
    </row>
    <row r="958" ht="14.5" spans="3:3">
      <c r="C958"/>
    </row>
    <row r="959" ht="14.5" spans="3:3">
      <c r="C959"/>
    </row>
    <row r="960" ht="14.5" spans="3:3">
      <c r="C960"/>
    </row>
    <row r="961" ht="14.5" spans="3:3">
      <c r="C961"/>
    </row>
    <row r="962" ht="14.5" spans="3:3">
      <c r="C962"/>
    </row>
    <row r="963" ht="14.5" spans="3:3">
      <c r="C963"/>
    </row>
    <row r="964" ht="14.5" spans="3:3">
      <c r="C964"/>
    </row>
    <row r="965" ht="14.5" spans="3:3">
      <c r="C965"/>
    </row>
    <row r="966" ht="14.5" spans="3:3">
      <c r="C966"/>
    </row>
    <row r="967" ht="14.5" spans="3:3">
      <c r="C967"/>
    </row>
    <row r="968" ht="14.5" spans="3:3">
      <c r="C968"/>
    </row>
    <row r="969" ht="14.5" spans="3:3">
      <c r="C969"/>
    </row>
    <row r="970" ht="14.5" spans="3:3">
      <c r="C970"/>
    </row>
    <row r="971" ht="14.5" spans="3:3">
      <c r="C971"/>
    </row>
    <row r="972" ht="14.5" spans="3:3">
      <c r="C972"/>
    </row>
    <row r="973" ht="14.5" spans="3:3">
      <c r="C973"/>
    </row>
    <row r="974" ht="14.5" spans="3:3">
      <c r="C974"/>
    </row>
    <row r="975" ht="14.5" spans="3:3">
      <c r="C975"/>
    </row>
    <row r="976" ht="14.5" spans="3:3">
      <c r="C976"/>
    </row>
    <row r="977" ht="14.5" spans="3:3">
      <c r="C977"/>
    </row>
    <row r="978" ht="14.5" spans="3:3">
      <c r="C978"/>
    </row>
    <row r="979" ht="14.5" spans="3:3">
      <c r="C979"/>
    </row>
    <row r="980" ht="14.5" spans="3:3">
      <c r="C980"/>
    </row>
    <row r="981" ht="14.5" spans="3:3">
      <c r="C981"/>
    </row>
    <row r="982" ht="14.5" spans="3:3">
      <c r="C982"/>
    </row>
    <row r="983" ht="14.5" spans="3:3">
      <c r="C983"/>
    </row>
    <row r="984" ht="14.5" spans="3:3">
      <c r="C984"/>
    </row>
    <row r="985" ht="14.5" spans="3:3">
      <c r="C985"/>
    </row>
    <row r="986" ht="14.5" spans="3:3">
      <c r="C986"/>
    </row>
    <row r="987" ht="14.5" spans="3:3">
      <c r="C987"/>
    </row>
    <row r="988" ht="14.5" spans="3:3">
      <c r="C988"/>
    </row>
    <row r="989" ht="14.5" spans="3:3">
      <c r="C989"/>
    </row>
    <row r="990" ht="14.5" spans="3:3">
      <c r="C990"/>
    </row>
    <row r="991" ht="14.5" spans="3:3">
      <c r="C991"/>
    </row>
    <row r="992" ht="14.5" spans="3:3">
      <c r="C992"/>
    </row>
    <row r="993" ht="14.5" spans="3:3">
      <c r="C993"/>
    </row>
    <row r="994" ht="14.5" spans="3:3">
      <c r="C994"/>
    </row>
    <row r="995" ht="14.5" spans="3:3">
      <c r="C995"/>
    </row>
    <row r="996" ht="14.5" spans="3:3">
      <c r="C996"/>
    </row>
    <row r="997" ht="14.5" spans="3:3">
      <c r="C997"/>
    </row>
    <row r="998" ht="14.5" spans="3:3">
      <c r="C998"/>
    </row>
    <row r="999" ht="14.5" spans="3:3">
      <c r="C999"/>
    </row>
    <row r="1000" ht="14.5" spans="3:3">
      <c r="C1000"/>
    </row>
    <row r="1001" ht="14.5" spans="3:3">
      <c r="C1001"/>
    </row>
    <row r="1002" ht="14.5" spans="3:3">
      <c r="C1002"/>
    </row>
    <row r="1003" ht="14.5" spans="3:3">
      <c r="C1003"/>
    </row>
    <row r="1004" ht="14.5" spans="3:3">
      <c r="C1004"/>
    </row>
    <row r="1005" ht="14.5" spans="3:3">
      <c r="C1005"/>
    </row>
    <row r="1006" ht="14.5" spans="3:3">
      <c r="C1006"/>
    </row>
    <row r="1007" ht="14.5" spans="3:3">
      <c r="C1007"/>
    </row>
    <row r="1008" ht="14.5" spans="3:3">
      <c r="C1008"/>
    </row>
    <row r="1009" ht="14.5" spans="3:3">
      <c r="C1009"/>
    </row>
    <row r="1010" ht="14.5" spans="3:3">
      <c r="C1010"/>
    </row>
    <row r="1011" ht="14.5" spans="3:3">
      <c r="C1011"/>
    </row>
    <row r="1012" ht="14.5" spans="3:3">
      <c r="C1012"/>
    </row>
    <row r="1013" ht="14.5" spans="3:3">
      <c r="C1013"/>
    </row>
    <row r="1014" ht="14.5" spans="3:3">
      <c r="C1014"/>
    </row>
    <row r="1015" ht="14.5" spans="3:3">
      <c r="C1015"/>
    </row>
    <row r="1016" ht="14.5" spans="3:3">
      <c r="C1016"/>
    </row>
    <row r="1017" ht="14.5" spans="3:3">
      <c r="C1017"/>
    </row>
    <row r="1018" ht="14.5" spans="3:3">
      <c r="C1018"/>
    </row>
    <row r="1019" ht="14.5" spans="3:3">
      <c r="C1019"/>
    </row>
    <row r="1020" ht="14.5" spans="3:3">
      <c r="C1020"/>
    </row>
    <row r="1021" ht="14.5" spans="3:3">
      <c r="C1021"/>
    </row>
    <row r="1022" ht="14.5" spans="3:3">
      <c r="C1022"/>
    </row>
    <row r="1023" ht="14.5" spans="3:3">
      <c r="C1023"/>
    </row>
    <row r="1024" ht="14.5" spans="3:3">
      <c r="C1024"/>
    </row>
    <row r="1025" ht="14.5" spans="3:3">
      <c r="C1025"/>
    </row>
    <row r="1026" ht="14.5" spans="3:3">
      <c r="C1026"/>
    </row>
    <row r="1027" ht="14.5" spans="3:3">
      <c r="C1027"/>
    </row>
    <row r="1028" ht="14.5" spans="3:3">
      <c r="C1028"/>
    </row>
    <row r="1029" ht="14.5" spans="3:3">
      <c r="C1029"/>
    </row>
    <row r="1030" ht="14.5" spans="3:3">
      <c r="C1030"/>
    </row>
    <row r="1031" ht="14.5" spans="3:3">
      <c r="C1031"/>
    </row>
    <row r="1032" ht="14.5" spans="3:3">
      <c r="C1032"/>
    </row>
    <row r="1033" ht="14.5" spans="3:3">
      <c r="C1033"/>
    </row>
    <row r="1034" ht="14.5" spans="3:3">
      <c r="C1034"/>
    </row>
    <row r="1035" ht="14.5" spans="3:3">
      <c r="C1035"/>
    </row>
    <row r="1036" ht="14.5" spans="3:3">
      <c r="C1036"/>
    </row>
    <row r="1037" ht="14.5" spans="3:3">
      <c r="C1037"/>
    </row>
    <row r="1038" ht="14.5" spans="3:3">
      <c r="C1038"/>
    </row>
    <row r="1039" ht="14.5" spans="3:3">
      <c r="C1039"/>
    </row>
    <row r="1040" ht="14.5" spans="3:3">
      <c r="C1040"/>
    </row>
    <row r="1041" ht="14.5" spans="3:3">
      <c r="C1041"/>
    </row>
    <row r="1042" ht="14.5" spans="3:3">
      <c r="C1042"/>
    </row>
    <row r="1043" ht="14.5" spans="3:3">
      <c r="C1043"/>
    </row>
    <row r="1044" ht="14.5" spans="3:3">
      <c r="C1044"/>
    </row>
    <row r="1045" ht="14.5" spans="3:3">
      <c r="C1045"/>
    </row>
    <row r="1046" ht="14.5" spans="3:3">
      <c r="C1046"/>
    </row>
    <row r="1047" ht="14.5" spans="3:3">
      <c r="C1047"/>
    </row>
    <row r="1048" ht="14.5" spans="3:3">
      <c r="C1048"/>
    </row>
    <row r="1049" ht="14.5" spans="3:3">
      <c r="C1049"/>
    </row>
    <row r="1050" ht="14.5" spans="3:3">
      <c r="C1050"/>
    </row>
    <row r="1051" ht="14.5" spans="3:3">
      <c r="C1051"/>
    </row>
    <row r="1052" ht="14.5" spans="3:3">
      <c r="C1052"/>
    </row>
    <row r="1053" ht="14.5" spans="3:3">
      <c r="C1053"/>
    </row>
    <row r="1054" ht="14.5" spans="3:3">
      <c r="C1054"/>
    </row>
    <row r="1055" ht="14.5" spans="3:3">
      <c r="C1055"/>
    </row>
    <row r="1056" ht="14.5" spans="3:3">
      <c r="C1056"/>
    </row>
    <row r="1057" ht="14.5" spans="3:3">
      <c r="C1057"/>
    </row>
    <row r="1058" ht="14.5" spans="3:3">
      <c r="C1058"/>
    </row>
    <row r="1059" ht="14.5" spans="3:3">
      <c r="C1059"/>
    </row>
    <row r="1060" ht="14.5" spans="3:3">
      <c r="C1060"/>
    </row>
    <row r="1061" ht="14.5" spans="3:3">
      <c r="C1061"/>
    </row>
    <row r="1062" ht="14.5" spans="3:3">
      <c r="C1062"/>
    </row>
    <row r="1063" ht="14.5" spans="3:3">
      <c r="C1063"/>
    </row>
    <row r="1064" ht="14.5" spans="3:3">
      <c r="C1064"/>
    </row>
    <row r="1065" ht="14.5" spans="3:3">
      <c r="C1065"/>
    </row>
    <row r="1066" ht="14.5" spans="3:3">
      <c r="C1066"/>
    </row>
    <row r="1067" ht="14.5" spans="3:3">
      <c r="C1067"/>
    </row>
    <row r="1068" ht="14.5" spans="3:3">
      <c r="C1068"/>
    </row>
    <row r="1069" ht="14.5" spans="3:3">
      <c r="C1069"/>
    </row>
    <row r="1070" ht="14.5" spans="3:3">
      <c r="C1070"/>
    </row>
    <row r="1071" ht="14.5" spans="3:3">
      <c r="C1071"/>
    </row>
    <row r="1072" ht="14.5" spans="3:3">
      <c r="C1072"/>
    </row>
    <row r="1073" ht="14.5" spans="3:3">
      <c r="C1073"/>
    </row>
    <row r="1074" ht="14.5" spans="3:3">
      <c r="C1074"/>
    </row>
    <row r="1075" ht="14.5" spans="3:3">
      <c r="C1075"/>
    </row>
    <row r="1076" ht="14.5" spans="3:3">
      <c r="C1076"/>
    </row>
    <row r="1077" ht="14.5" spans="3:3">
      <c r="C1077"/>
    </row>
    <row r="1078" ht="14.5" spans="3:3">
      <c r="C1078"/>
    </row>
    <row r="1079" ht="14.5" spans="3:3">
      <c r="C1079"/>
    </row>
    <row r="1080" ht="14.5" spans="3:3">
      <c r="C1080"/>
    </row>
    <row r="1081" ht="14.5" spans="3:3">
      <c r="C1081"/>
    </row>
    <row r="1082" ht="14.5" spans="3:3">
      <c r="C1082"/>
    </row>
    <row r="1083" ht="14.5" spans="3:3">
      <c r="C1083"/>
    </row>
    <row r="1084" ht="14.5" spans="3:3">
      <c r="C1084"/>
    </row>
    <row r="1085" ht="14.5" spans="3:3">
      <c r="C1085"/>
    </row>
    <row r="1086" ht="14.5" spans="3:3">
      <c r="C1086"/>
    </row>
    <row r="1087" ht="14.5" spans="3:3">
      <c r="C1087"/>
    </row>
    <row r="1088" ht="14.5" spans="3:3">
      <c r="C1088"/>
    </row>
    <row r="1089" ht="14.5" spans="3:3">
      <c r="C1089"/>
    </row>
    <row r="1090" ht="14.5" spans="3:3">
      <c r="C1090"/>
    </row>
    <row r="1091" ht="14.5" spans="3:3">
      <c r="C1091"/>
    </row>
    <row r="1092" ht="14.5" spans="3:3">
      <c r="C1092"/>
    </row>
    <row r="1093" ht="14.5" spans="3:3">
      <c r="C1093"/>
    </row>
    <row r="1094" ht="14.5" spans="3:3">
      <c r="C1094"/>
    </row>
    <row r="1095" ht="14.5" spans="3:3">
      <c r="C1095"/>
    </row>
    <row r="1096" ht="14.5" spans="3:3">
      <c r="C1096"/>
    </row>
    <row r="1097" ht="14.5" spans="3:3">
      <c r="C1097"/>
    </row>
    <row r="1098" ht="14.5" spans="3:3">
      <c r="C1098"/>
    </row>
    <row r="1099" ht="14.5" spans="3:3">
      <c r="C1099"/>
    </row>
    <row r="1100" ht="14.5" spans="3:3">
      <c r="C1100"/>
    </row>
    <row r="1101" ht="14.5" spans="3:3">
      <c r="C1101"/>
    </row>
    <row r="1102" ht="14.5" spans="3:3">
      <c r="C1102"/>
    </row>
    <row r="1103" ht="14.5" spans="3:3">
      <c r="C1103"/>
    </row>
    <row r="1104" ht="14.5" spans="3:3">
      <c r="C1104"/>
    </row>
    <row r="1105" ht="14.5" spans="3:3">
      <c r="C1105"/>
    </row>
    <row r="1106" ht="14.5" spans="3:3">
      <c r="C1106"/>
    </row>
    <row r="1107" ht="14.5" spans="3:3">
      <c r="C1107"/>
    </row>
    <row r="1108" ht="14.5" spans="3:3">
      <c r="C1108"/>
    </row>
    <row r="1109" ht="14.5" spans="3:3">
      <c r="C1109"/>
    </row>
    <row r="1110" ht="14.5" spans="3:3">
      <c r="C1110"/>
    </row>
    <row r="1111" ht="14.5" spans="3:3">
      <c r="C1111"/>
    </row>
    <row r="1112" ht="14.5" spans="3:3">
      <c r="C1112"/>
    </row>
    <row r="1113" ht="14.5" spans="3:3">
      <c r="C1113"/>
    </row>
    <row r="1114" ht="14.5" spans="3:3">
      <c r="C1114"/>
    </row>
    <row r="1115" ht="14.5" spans="3:3">
      <c r="C1115"/>
    </row>
    <row r="1116" ht="14.5" spans="3:3">
      <c r="C1116"/>
    </row>
    <row r="1117" ht="14.5" spans="3:3">
      <c r="C1117"/>
    </row>
    <row r="1118" ht="14.5" spans="3:3">
      <c r="C1118"/>
    </row>
    <row r="1119" ht="14.5" spans="3:3">
      <c r="C1119"/>
    </row>
    <row r="1120" ht="14.5" spans="3:3">
      <c r="C1120"/>
    </row>
    <row r="1121" ht="14.5" spans="3:3">
      <c r="C1121"/>
    </row>
    <row r="1122" ht="14.5" spans="3:3">
      <c r="C1122"/>
    </row>
    <row r="1123" ht="14.5" spans="3:3">
      <c r="C1123"/>
    </row>
    <row r="1124" ht="14.5" spans="3:3">
      <c r="C1124"/>
    </row>
    <row r="1125" ht="14.5" spans="3:3">
      <c r="C1125"/>
    </row>
    <row r="1126" ht="14.5" spans="3:3">
      <c r="C1126"/>
    </row>
    <row r="1127" ht="14.5" spans="3:3">
      <c r="C1127"/>
    </row>
    <row r="1128" ht="14.5" spans="3:3">
      <c r="C1128"/>
    </row>
    <row r="1129" ht="14.5" spans="3:3">
      <c r="C1129"/>
    </row>
    <row r="1130" ht="14.5" spans="3:3">
      <c r="C1130"/>
    </row>
    <row r="1131" ht="14.5" spans="3:3">
      <c r="C1131"/>
    </row>
    <row r="1132" ht="14.5" spans="3:3">
      <c r="C1132"/>
    </row>
    <row r="1133" ht="14.5" spans="3:3">
      <c r="C1133"/>
    </row>
    <row r="1134" ht="14.5" spans="3:3">
      <c r="C1134"/>
    </row>
    <row r="1135" ht="14.5" spans="3:3">
      <c r="C1135"/>
    </row>
    <row r="1136" ht="14.5" spans="3:3">
      <c r="C1136"/>
    </row>
    <row r="1137" ht="14.5" spans="3:3">
      <c r="C1137"/>
    </row>
    <row r="1138" ht="14.5" spans="3:3">
      <c r="C1138"/>
    </row>
    <row r="1139" ht="14.5" spans="3:3">
      <c r="C1139"/>
    </row>
    <row r="1140" ht="14.5" spans="3:3">
      <c r="C1140"/>
    </row>
    <row r="1141" ht="14.5" spans="3:3">
      <c r="C1141"/>
    </row>
    <row r="1142" ht="14.5" spans="3:3">
      <c r="C1142"/>
    </row>
    <row r="1143" ht="14.5" spans="3:3">
      <c r="C1143"/>
    </row>
    <row r="1144" ht="14.5" spans="3:3">
      <c r="C1144"/>
    </row>
    <row r="1145" ht="14.5" spans="3:3">
      <c r="C1145"/>
    </row>
    <row r="1146" ht="14.5" spans="3:3">
      <c r="C1146"/>
    </row>
    <row r="1147" ht="14.5" spans="3:3">
      <c r="C1147"/>
    </row>
    <row r="1148" ht="14.5" spans="3:3">
      <c r="C1148"/>
    </row>
    <row r="1149" ht="14.5" spans="3:3">
      <c r="C1149"/>
    </row>
    <row r="1150" ht="14.5" spans="3:3">
      <c r="C1150"/>
    </row>
    <row r="1151" ht="14.5" spans="3:3">
      <c r="C1151"/>
    </row>
    <row r="1152" ht="14.5" spans="3:3">
      <c r="C1152"/>
    </row>
    <row r="1153" ht="14.5" spans="3:3">
      <c r="C1153"/>
    </row>
    <row r="1154" ht="14.5" spans="3:3">
      <c r="C1154"/>
    </row>
    <row r="1155" ht="14.5" spans="3:3">
      <c r="C1155"/>
    </row>
    <row r="1156" ht="14.5" spans="3:3">
      <c r="C1156"/>
    </row>
    <row r="1157" ht="14.5" spans="3:3">
      <c r="C1157"/>
    </row>
    <row r="1158" ht="14.5" spans="3:3">
      <c r="C1158"/>
    </row>
    <row r="1159" ht="14.5" spans="3:3">
      <c r="C1159"/>
    </row>
    <row r="1160" ht="14.5" spans="3:3">
      <c r="C1160"/>
    </row>
    <row r="1161" ht="14.5" spans="3:3">
      <c r="C1161"/>
    </row>
    <row r="1162" ht="14.5" spans="3:3">
      <c r="C1162"/>
    </row>
    <row r="1163" ht="14.5" spans="3:3">
      <c r="C1163"/>
    </row>
    <row r="1164" ht="14.5" spans="3:3">
      <c r="C1164"/>
    </row>
    <row r="1165" ht="14.5" spans="3:3">
      <c r="C1165"/>
    </row>
    <row r="1166" ht="14.5" spans="3:3">
      <c r="C1166"/>
    </row>
    <row r="1167" ht="14.5" spans="3:3">
      <c r="C1167"/>
    </row>
    <row r="1168" ht="14.5" spans="3:3">
      <c r="C1168"/>
    </row>
    <row r="1169" ht="14.5" spans="3:3">
      <c r="C1169"/>
    </row>
    <row r="1170" ht="14.5" spans="3:3">
      <c r="C1170"/>
    </row>
    <row r="1171" ht="14.5" spans="3:3">
      <c r="C1171"/>
    </row>
    <row r="1172" ht="14.5" spans="3:3">
      <c r="C1172"/>
    </row>
    <row r="1173" ht="14.5" spans="3:3">
      <c r="C1173"/>
    </row>
    <row r="1174" ht="14.5" spans="3:3">
      <c r="C1174"/>
    </row>
    <row r="1175" ht="14.5" spans="3:3">
      <c r="C1175"/>
    </row>
    <row r="1176" ht="14.5" spans="3:3">
      <c r="C1176"/>
    </row>
    <row r="1177" ht="14.5" spans="3:3">
      <c r="C1177"/>
    </row>
    <row r="1178" ht="14.5" spans="3:3">
      <c r="C1178"/>
    </row>
    <row r="1179" ht="14.5" spans="3:3">
      <c r="C1179"/>
    </row>
    <row r="1180" ht="14.5" spans="3:3">
      <c r="C1180"/>
    </row>
    <row r="1181" ht="14.5" spans="3:3">
      <c r="C1181"/>
    </row>
    <row r="1182" ht="14.5" spans="3:3">
      <c r="C1182"/>
    </row>
    <row r="1183" ht="14.5" spans="3:3">
      <c r="C1183"/>
    </row>
    <row r="1184" ht="14.5" spans="3:3">
      <c r="C1184"/>
    </row>
    <row r="1185" ht="14.5" spans="3:3">
      <c r="C1185"/>
    </row>
    <row r="1186" ht="14.5" spans="3:3">
      <c r="C1186"/>
    </row>
    <row r="1187" ht="14.5" spans="3:3">
      <c r="C1187"/>
    </row>
    <row r="1188" ht="14.5" spans="3:3">
      <c r="C1188"/>
    </row>
    <row r="1189" ht="14.5" spans="3:3">
      <c r="C1189"/>
    </row>
    <row r="1190" ht="14.5" spans="3:3">
      <c r="C1190"/>
    </row>
    <row r="1191" ht="14.5" spans="3:3">
      <c r="C1191"/>
    </row>
    <row r="1192" ht="14.5" spans="3:3">
      <c r="C1192"/>
    </row>
    <row r="1193" ht="14.5" spans="3:3">
      <c r="C1193"/>
    </row>
    <row r="1194" ht="14.5" spans="3:3">
      <c r="C1194"/>
    </row>
    <row r="1195" ht="14.5" spans="3:3">
      <c r="C1195"/>
    </row>
    <row r="1196" ht="14.5" spans="3:3">
      <c r="C1196"/>
    </row>
    <row r="1197" ht="14.5" spans="3:3">
      <c r="C1197"/>
    </row>
    <row r="1198" ht="14.5" spans="3:3">
      <c r="C1198"/>
    </row>
    <row r="1199" ht="14.5" spans="3:3">
      <c r="C1199"/>
    </row>
    <row r="1200" ht="14.5" spans="3:3">
      <c r="C1200"/>
    </row>
    <row r="1201" ht="14.5" spans="3:3">
      <c r="C1201"/>
    </row>
    <row r="1202" ht="14.5" spans="3:3">
      <c r="C1202"/>
    </row>
    <row r="1203" ht="14.5" spans="3:3">
      <c r="C1203"/>
    </row>
    <row r="1204" ht="14.5" spans="3:3">
      <c r="C1204"/>
    </row>
    <row r="1205" ht="14.5" spans="3:3">
      <c r="C1205"/>
    </row>
    <row r="1206" ht="14.5" spans="3:3">
      <c r="C1206"/>
    </row>
    <row r="1207" ht="14.5" spans="3:3">
      <c r="C1207"/>
    </row>
    <row r="1208" ht="14.5" spans="3:3">
      <c r="C1208"/>
    </row>
    <row r="1209" ht="14.5" spans="3:3">
      <c r="C1209"/>
    </row>
    <row r="1210" ht="14.5" spans="3:3">
      <c r="C1210"/>
    </row>
    <row r="1211" ht="14.5" spans="3:3">
      <c r="C1211"/>
    </row>
    <row r="1212" ht="14.5" spans="3:3">
      <c r="C1212"/>
    </row>
    <row r="1213" ht="14.5" spans="3:3">
      <c r="C1213"/>
    </row>
    <row r="1214" ht="14.5" spans="3:3">
      <c r="C1214"/>
    </row>
    <row r="1215" ht="14.5" spans="3:3">
      <c r="C1215"/>
    </row>
    <row r="1216" ht="14.5" spans="3:3">
      <c r="C1216"/>
    </row>
    <row r="1217" ht="14.5" spans="3:3">
      <c r="C1217"/>
    </row>
    <row r="1218" ht="14.5" spans="3:3">
      <c r="C1218"/>
    </row>
    <row r="1219" ht="14.5" spans="3:3">
      <c r="C1219"/>
    </row>
    <row r="1220" ht="14.5" spans="3:3">
      <c r="C1220"/>
    </row>
    <row r="1221" ht="14.5" spans="3:3">
      <c r="C1221"/>
    </row>
    <row r="1222" ht="14.5" spans="3:3">
      <c r="C1222"/>
    </row>
    <row r="1223" ht="14.5" spans="3:3">
      <c r="C1223"/>
    </row>
    <row r="1224" ht="14.5" spans="3:3">
      <c r="C1224"/>
    </row>
    <row r="1225" ht="14.5" spans="3:3">
      <c r="C1225"/>
    </row>
    <row r="1226" ht="14.5" spans="3:3">
      <c r="C1226"/>
    </row>
    <row r="1227" ht="14.5" spans="3:3">
      <c r="C1227"/>
    </row>
    <row r="1228" ht="14.5" spans="3:3">
      <c r="C1228"/>
    </row>
    <row r="1229" ht="14.5" spans="3:3">
      <c r="C1229"/>
    </row>
    <row r="1230" ht="14.5" spans="3:3">
      <c r="C1230"/>
    </row>
    <row r="1231" ht="14.5" spans="3:3">
      <c r="C1231"/>
    </row>
    <row r="1232" ht="14.5" spans="3:3">
      <c r="C1232"/>
    </row>
    <row r="1233" ht="14.5" spans="3:3">
      <c r="C1233"/>
    </row>
    <row r="1234" ht="14.5" spans="3:3">
      <c r="C1234"/>
    </row>
    <row r="1235" ht="14.5" spans="3:3">
      <c r="C1235"/>
    </row>
    <row r="1236" ht="14.5" spans="3:3">
      <c r="C1236"/>
    </row>
    <row r="1237" ht="14.5" spans="3:3">
      <c r="C1237"/>
    </row>
    <row r="1238" ht="14.5" spans="3:3">
      <c r="C1238"/>
    </row>
    <row r="1239" ht="14.5" spans="3:3">
      <c r="C1239"/>
    </row>
    <row r="1240" ht="14.5" spans="3:3">
      <c r="C1240"/>
    </row>
    <row r="1241" ht="14.5" spans="3:3">
      <c r="C1241"/>
    </row>
    <row r="1242" ht="14.5" spans="3:3">
      <c r="C1242"/>
    </row>
    <row r="1243" ht="14.5" spans="3:3">
      <c r="C1243"/>
    </row>
    <row r="1244" ht="14.5" spans="3:3">
      <c r="C1244"/>
    </row>
    <row r="1245" ht="14.5" spans="3:3">
      <c r="C1245"/>
    </row>
    <row r="1246" ht="14.5" spans="3:3">
      <c r="C1246"/>
    </row>
    <row r="1247" ht="14.5" spans="3:3">
      <c r="C1247"/>
    </row>
    <row r="1248" ht="14.5" spans="3:3">
      <c r="C1248"/>
    </row>
    <row r="1249" ht="14.5" spans="3:3">
      <c r="C1249"/>
    </row>
    <row r="1250" ht="14.5" spans="3:3">
      <c r="C1250"/>
    </row>
    <row r="1251" ht="14.5" spans="3:3">
      <c r="C1251"/>
    </row>
    <row r="1252" ht="14.5" spans="3:3">
      <c r="C1252"/>
    </row>
    <row r="1253" ht="14.5" spans="3:3">
      <c r="C1253"/>
    </row>
    <row r="1254" ht="14.5" spans="3:3">
      <c r="C1254"/>
    </row>
    <row r="1255" ht="14.5" spans="3:3">
      <c r="C1255"/>
    </row>
    <row r="1256" ht="14.5" spans="3:3">
      <c r="C1256"/>
    </row>
    <row r="1257" ht="14.5" spans="3:3">
      <c r="C1257"/>
    </row>
    <row r="1258" ht="14.5" spans="3:3">
      <c r="C1258"/>
    </row>
    <row r="1259" ht="14.5" spans="3:3">
      <c r="C1259"/>
    </row>
    <row r="1260" ht="14.5" spans="3:3">
      <c r="C1260"/>
    </row>
    <row r="1261" ht="14.5" spans="3:3">
      <c r="C1261"/>
    </row>
    <row r="1262" ht="14.5" spans="3:3">
      <c r="C1262"/>
    </row>
    <row r="1263" ht="14.5" spans="3:3">
      <c r="C1263"/>
    </row>
    <row r="1264" ht="14.5" spans="3:3">
      <c r="C1264"/>
    </row>
    <row r="1265" ht="14.5" spans="3:3">
      <c r="C1265"/>
    </row>
    <row r="1266" ht="14.5" spans="3:3">
      <c r="C1266"/>
    </row>
    <row r="1267" ht="14.5" spans="3:3">
      <c r="C1267"/>
    </row>
    <row r="1268" ht="14.5" spans="3:3">
      <c r="C1268"/>
    </row>
    <row r="1269" ht="14.5" spans="3:3">
      <c r="C1269"/>
    </row>
    <row r="1270" ht="14.5" spans="3:3">
      <c r="C1270"/>
    </row>
    <row r="1271" ht="14.5" spans="3:3">
      <c r="C1271"/>
    </row>
    <row r="1272" ht="14.5" spans="3:3">
      <c r="C1272"/>
    </row>
    <row r="1273" ht="14.5" spans="3:3">
      <c r="C1273"/>
    </row>
    <row r="1274" ht="14.5" spans="3:3">
      <c r="C1274"/>
    </row>
    <row r="1275" ht="14.5" spans="3:3">
      <c r="C1275"/>
    </row>
    <row r="1276" ht="14.5" spans="3:3">
      <c r="C1276"/>
    </row>
    <row r="1277" ht="14.5" spans="3:3">
      <c r="C1277"/>
    </row>
    <row r="1278" ht="14.5" spans="3:3">
      <c r="C1278"/>
    </row>
    <row r="1279" ht="14.5" spans="3:3">
      <c r="C1279"/>
    </row>
    <row r="1280" ht="14.5" spans="3:3">
      <c r="C1280"/>
    </row>
    <row r="1281" ht="14.5" spans="3:3">
      <c r="C1281"/>
    </row>
    <row r="1282" ht="14.5" spans="3:3">
      <c r="C1282"/>
    </row>
    <row r="1283" ht="14.5" spans="3:3">
      <c r="C1283"/>
    </row>
    <row r="1284" ht="14.5" spans="3:3">
      <c r="C1284"/>
    </row>
    <row r="1285" ht="14.5" spans="3:3">
      <c r="C1285"/>
    </row>
    <row r="1286" ht="14.5" spans="3:3">
      <c r="C1286"/>
    </row>
    <row r="1287" ht="14.5" spans="3:3">
      <c r="C1287"/>
    </row>
    <row r="1288" ht="14.5" spans="3:3">
      <c r="C1288"/>
    </row>
    <row r="1289" ht="14.5" spans="3:3">
      <c r="C1289"/>
    </row>
    <row r="1290" ht="14.5" spans="3:3">
      <c r="C1290"/>
    </row>
    <row r="1291" ht="14.5" spans="3:3">
      <c r="C1291"/>
    </row>
    <row r="1292" ht="14.5" spans="3:3">
      <c r="C1292"/>
    </row>
    <row r="1293" ht="14.5" spans="3:3">
      <c r="C1293"/>
    </row>
    <row r="1294" ht="14.5" spans="3:3">
      <c r="C1294"/>
    </row>
    <row r="1295" ht="14.5" spans="3:3">
      <c r="C1295"/>
    </row>
    <row r="1296" ht="14.5" spans="3:3">
      <c r="C1296"/>
    </row>
    <row r="1297" ht="14.5" spans="3:3">
      <c r="C1297"/>
    </row>
    <row r="1298" ht="14.5" spans="3:3">
      <c r="C1298"/>
    </row>
    <row r="1299" ht="14.5" spans="3:3">
      <c r="C1299"/>
    </row>
    <row r="1300" ht="14.5" spans="3:3">
      <c r="C1300"/>
    </row>
    <row r="1301" ht="14.5" spans="3:3">
      <c r="C1301"/>
    </row>
    <row r="1302" ht="14.5" spans="3:3">
      <c r="C1302"/>
    </row>
    <row r="1303" ht="14.5" spans="3:3">
      <c r="C1303"/>
    </row>
    <row r="1304" ht="14.5" spans="3:3">
      <c r="C1304"/>
    </row>
    <row r="1305" ht="14.5" spans="3:3">
      <c r="C1305"/>
    </row>
    <row r="1306" ht="14.5" spans="3:3">
      <c r="C1306"/>
    </row>
    <row r="1307" ht="14.5" spans="3:3">
      <c r="C1307"/>
    </row>
    <row r="1308" ht="14.5" spans="3:3">
      <c r="C1308"/>
    </row>
    <row r="1309" ht="14.5" spans="3:3">
      <c r="C1309"/>
    </row>
    <row r="1310" ht="14.5" spans="3:3">
      <c r="C1310"/>
    </row>
    <row r="1311" ht="14.5" spans="3:3">
      <c r="C1311"/>
    </row>
    <row r="1312" ht="14.5" spans="3:3">
      <c r="C1312"/>
    </row>
    <row r="1313" ht="14.5" spans="3:3">
      <c r="C1313"/>
    </row>
    <row r="1314" ht="14.5" spans="3:3">
      <c r="C1314"/>
    </row>
    <row r="1315" ht="14.5" spans="3:3">
      <c r="C1315"/>
    </row>
    <row r="1316" ht="14.5" spans="3:3">
      <c r="C1316"/>
    </row>
    <row r="1317" ht="14.5" spans="3:3">
      <c r="C1317"/>
    </row>
    <row r="1318" ht="14.5" spans="3:3">
      <c r="C1318"/>
    </row>
    <row r="1319" ht="14.5" spans="3:3">
      <c r="C1319"/>
    </row>
    <row r="1320" ht="14.5" spans="3:3">
      <c r="C1320"/>
    </row>
    <row r="1321" ht="14.5" spans="3:3">
      <c r="C1321"/>
    </row>
    <row r="1322" ht="14.5" spans="3:3">
      <c r="C1322"/>
    </row>
    <row r="1323" ht="14.5" spans="3:3">
      <c r="C1323"/>
    </row>
    <row r="1324" ht="14.5" spans="3:3">
      <c r="C1324"/>
    </row>
    <row r="1325" ht="14.5" spans="3:3">
      <c r="C1325"/>
    </row>
    <row r="1326" ht="14.5" spans="3:3">
      <c r="C1326"/>
    </row>
    <row r="1327" ht="14.5" spans="3:3">
      <c r="C1327"/>
    </row>
    <row r="1328" ht="14.5" spans="3:3">
      <c r="C1328"/>
    </row>
    <row r="1329" ht="14.5" spans="3:3">
      <c r="C1329"/>
    </row>
    <row r="1330" ht="14.5" spans="3:3">
      <c r="C1330"/>
    </row>
    <row r="1331" ht="14.5" spans="3:3">
      <c r="C1331"/>
    </row>
    <row r="1332" ht="14.5" spans="3:3">
      <c r="C1332"/>
    </row>
    <row r="1333" ht="14.5" spans="3:3">
      <c r="C1333"/>
    </row>
    <row r="1334" ht="14.5" spans="3:3">
      <c r="C1334"/>
    </row>
    <row r="1335" ht="14.5" spans="3:3">
      <c r="C1335"/>
    </row>
    <row r="1336" ht="14.5" spans="3:3">
      <c r="C1336"/>
    </row>
    <row r="1337" ht="14.5" spans="3:3">
      <c r="C1337"/>
    </row>
    <row r="1338" ht="14.5" spans="3:3">
      <c r="C1338"/>
    </row>
    <row r="1339" ht="14.5" spans="3:3">
      <c r="C1339"/>
    </row>
    <row r="1340" ht="14.5" spans="3:3">
      <c r="C1340"/>
    </row>
    <row r="1341" ht="14.5" spans="3:3">
      <c r="C1341"/>
    </row>
    <row r="1342" ht="14.5" spans="3:3">
      <c r="C1342"/>
    </row>
    <row r="1343" ht="14.5" spans="3:3">
      <c r="C1343"/>
    </row>
    <row r="1344" ht="14.5" spans="3:3">
      <c r="C1344"/>
    </row>
    <row r="1345" ht="14.5" spans="3:3">
      <c r="C1345"/>
    </row>
    <row r="1346" ht="14.5" spans="3:3">
      <c r="C1346"/>
    </row>
    <row r="1347" ht="14.5" spans="3:3">
      <c r="C1347"/>
    </row>
    <row r="1348" ht="14.5" spans="3:3">
      <c r="C1348"/>
    </row>
    <row r="1349" ht="14.5" spans="3:3">
      <c r="C1349"/>
    </row>
    <row r="1350" ht="14.5" spans="3:3">
      <c r="C1350"/>
    </row>
    <row r="1351" ht="14.5" spans="3:3">
      <c r="C1351"/>
    </row>
    <row r="1352" ht="14.5" spans="3:3">
      <c r="C1352"/>
    </row>
    <row r="1353" ht="14.5" spans="3:3">
      <c r="C1353"/>
    </row>
    <row r="1354" ht="14.5" spans="3:3">
      <c r="C1354"/>
    </row>
    <row r="1355" ht="14.5" spans="3:3">
      <c r="C1355"/>
    </row>
    <row r="1356" ht="14.5" spans="3:3">
      <c r="C1356"/>
    </row>
    <row r="1357" ht="14.5" spans="3:3">
      <c r="C1357"/>
    </row>
    <row r="1358" ht="14.5" spans="3:3">
      <c r="C1358"/>
    </row>
    <row r="1359" ht="14.5" spans="3:3">
      <c r="C1359"/>
    </row>
    <row r="1360" ht="14.5" spans="3:3">
      <c r="C1360"/>
    </row>
    <row r="1361" ht="14.5" spans="3:3">
      <c r="C1361"/>
    </row>
    <row r="1362" ht="14.5" spans="3:3">
      <c r="C1362"/>
    </row>
    <row r="1363" ht="14.5" spans="3:3">
      <c r="C1363"/>
    </row>
    <row r="1364" ht="14.5" spans="3:3">
      <c r="C1364"/>
    </row>
    <row r="1365" ht="14.5" spans="3:3">
      <c r="C1365"/>
    </row>
    <row r="1366" ht="14.5" spans="3:3">
      <c r="C1366"/>
    </row>
    <row r="1367" ht="14.5" spans="3:3">
      <c r="C1367"/>
    </row>
    <row r="1368" ht="14.5" spans="3:3">
      <c r="C1368"/>
    </row>
    <row r="1369" ht="14.5" spans="3:3">
      <c r="C1369"/>
    </row>
    <row r="1370" ht="14.5" spans="3:3">
      <c r="C1370"/>
    </row>
    <row r="1371" ht="14.5" spans="3:3">
      <c r="C1371"/>
    </row>
    <row r="1372" ht="14.5" spans="3:3">
      <c r="C1372"/>
    </row>
    <row r="1373" ht="14.5" spans="3:3">
      <c r="C1373"/>
    </row>
    <row r="1374" ht="14.5" spans="3:3">
      <c r="C1374"/>
    </row>
    <row r="1375" ht="14.5" spans="3:3">
      <c r="C1375"/>
    </row>
    <row r="1376" ht="14.5" spans="3:3">
      <c r="C1376"/>
    </row>
    <row r="1377" ht="14.5" spans="3:3">
      <c r="C1377"/>
    </row>
    <row r="1378" ht="14.5" spans="3:3">
      <c r="C1378"/>
    </row>
    <row r="1379" ht="14.5" spans="3:3">
      <c r="C1379"/>
    </row>
    <row r="1380" ht="14.5" spans="3:3">
      <c r="C1380"/>
    </row>
    <row r="1381" ht="14.5" spans="3:3">
      <c r="C1381"/>
    </row>
    <row r="1382" ht="14.5" spans="3:3">
      <c r="C1382"/>
    </row>
    <row r="1383" ht="14.5" spans="3:3">
      <c r="C1383"/>
    </row>
    <row r="1384" ht="14.5" spans="3:3">
      <c r="C1384"/>
    </row>
    <row r="1385" ht="14.5" spans="3:3">
      <c r="C1385"/>
    </row>
    <row r="1386" ht="14.5" spans="3:3">
      <c r="C1386"/>
    </row>
    <row r="1387" ht="14.5" spans="3:3">
      <c r="C1387"/>
    </row>
    <row r="1388" ht="14.5" spans="3:3">
      <c r="C1388"/>
    </row>
    <row r="1389" ht="14.5" spans="3:3">
      <c r="C1389"/>
    </row>
    <row r="1390" ht="14.5" spans="3:3">
      <c r="C1390"/>
    </row>
    <row r="1391" ht="14.5" spans="3:3">
      <c r="C1391"/>
    </row>
    <row r="1392" ht="14.5" spans="3:3">
      <c r="C1392"/>
    </row>
    <row r="1393" ht="14.5" spans="3:3">
      <c r="C1393"/>
    </row>
    <row r="1394" ht="14.5" spans="3:3">
      <c r="C1394"/>
    </row>
    <row r="1395" ht="14.5" spans="3:3">
      <c r="C1395"/>
    </row>
    <row r="1396" ht="14.5" spans="3:3">
      <c r="C1396"/>
    </row>
    <row r="1397" ht="14.5" spans="3:3">
      <c r="C1397"/>
    </row>
    <row r="1398" ht="14.5" spans="3:3">
      <c r="C1398"/>
    </row>
    <row r="1399" ht="14.5" spans="3:3">
      <c r="C1399"/>
    </row>
    <row r="1400" ht="14.5" spans="3:3">
      <c r="C1400"/>
    </row>
    <row r="1401" ht="14.5" spans="3:3">
      <c r="C1401"/>
    </row>
    <row r="1402" ht="14.5" spans="3:3">
      <c r="C1402"/>
    </row>
    <row r="1403" ht="14.5" spans="3:3">
      <c r="C1403"/>
    </row>
    <row r="1404" ht="14.5" spans="3:3">
      <c r="C1404"/>
    </row>
    <row r="1405" ht="14.5" spans="3:3">
      <c r="C1405"/>
    </row>
    <row r="1406" ht="14.5" spans="3:3">
      <c r="C1406"/>
    </row>
    <row r="1407" ht="14.5" spans="3:3">
      <c r="C1407"/>
    </row>
    <row r="1408" ht="14.5" spans="3:3">
      <c r="C1408"/>
    </row>
    <row r="1409" ht="14.5" spans="3:3">
      <c r="C1409"/>
    </row>
    <row r="1410" ht="14.5" spans="3:3">
      <c r="C1410"/>
    </row>
    <row r="1411" ht="14.5" spans="3:3">
      <c r="C1411"/>
    </row>
    <row r="1412" ht="14.5" spans="3:3">
      <c r="C1412"/>
    </row>
    <row r="1413" ht="14.5" spans="3:3">
      <c r="C1413"/>
    </row>
    <row r="1414" ht="14.5" spans="3:3">
      <c r="C1414"/>
    </row>
    <row r="1415" ht="14.5" spans="3:3">
      <c r="C1415"/>
    </row>
    <row r="1416" ht="14.5" spans="3:3">
      <c r="C1416"/>
    </row>
    <row r="1417" ht="14.5" spans="3:3">
      <c r="C1417"/>
    </row>
    <row r="1418" ht="14.5" spans="3:3">
      <c r="C1418"/>
    </row>
    <row r="1419" ht="14.5" spans="3:3">
      <c r="C1419"/>
    </row>
    <row r="1420" ht="14.5" spans="3:3">
      <c r="C1420"/>
    </row>
    <row r="1421" ht="14.5" spans="3:3">
      <c r="C1421"/>
    </row>
    <row r="1422" ht="14.5" spans="3:3">
      <c r="C1422"/>
    </row>
    <row r="1423" ht="14.5" spans="3:3">
      <c r="C1423"/>
    </row>
    <row r="1424" ht="14.5" spans="3:3">
      <c r="C1424"/>
    </row>
    <row r="1425" ht="14.5" spans="3:3">
      <c r="C1425"/>
    </row>
    <row r="1426" ht="14.5" spans="3:3">
      <c r="C1426"/>
    </row>
    <row r="1427" ht="14.5" spans="3:3">
      <c r="C1427"/>
    </row>
    <row r="1428" ht="14.5" spans="3:3">
      <c r="C1428"/>
    </row>
    <row r="1429" ht="14.5" spans="3:3">
      <c r="C1429"/>
    </row>
    <row r="1430" ht="14.5" spans="3:3">
      <c r="C1430"/>
    </row>
    <row r="1431" ht="14.5" spans="3:3">
      <c r="C1431"/>
    </row>
    <row r="1432" ht="14.5" spans="3:3">
      <c r="C1432"/>
    </row>
    <row r="1433" ht="14.5" spans="3:3">
      <c r="C1433"/>
    </row>
    <row r="1434" ht="14.5" spans="3:3">
      <c r="C1434"/>
    </row>
    <row r="1435" ht="14.5" spans="3:3">
      <c r="C1435"/>
    </row>
    <row r="1436" ht="14.5" spans="3:3">
      <c r="C1436"/>
    </row>
    <row r="1437" ht="14.5" spans="3:3">
      <c r="C1437"/>
    </row>
    <row r="1438" ht="14.5" spans="3:3">
      <c r="C1438"/>
    </row>
    <row r="1439" ht="14.5" spans="3:3">
      <c r="C1439"/>
    </row>
    <row r="1440" ht="14.5" spans="3:3">
      <c r="C1440"/>
    </row>
    <row r="1441" ht="14.5" spans="3:3">
      <c r="C1441"/>
    </row>
    <row r="1442" ht="14.5" spans="3:3">
      <c r="C1442"/>
    </row>
    <row r="1443" ht="14.5" spans="3:3">
      <c r="C1443"/>
    </row>
    <row r="1444" ht="14.5" spans="3:3">
      <c r="C1444"/>
    </row>
    <row r="1445" ht="14.5" spans="3:3">
      <c r="C1445"/>
    </row>
    <row r="1446" ht="14.5" spans="3:3">
      <c r="C1446"/>
    </row>
    <row r="1447" ht="14.5" spans="3:3">
      <c r="C1447"/>
    </row>
    <row r="1448" ht="14.5" spans="3:3">
      <c r="C1448"/>
    </row>
    <row r="1449" ht="14.5" spans="3:3">
      <c r="C1449"/>
    </row>
    <row r="1450" ht="14.5" spans="3:3">
      <c r="C1450"/>
    </row>
    <row r="1451" ht="14.5" spans="3:3">
      <c r="C1451"/>
    </row>
    <row r="1452" ht="14.5" spans="3:3">
      <c r="C1452"/>
    </row>
    <row r="1453" ht="14.5" spans="3:3">
      <c r="C1453"/>
    </row>
    <row r="1454" ht="14.5" spans="3:3">
      <c r="C1454"/>
    </row>
    <row r="1455" ht="14.5" spans="3:3">
      <c r="C1455"/>
    </row>
    <row r="1456" ht="14.5" spans="3:3">
      <c r="C1456"/>
    </row>
    <row r="1457" ht="14.5" spans="3:3">
      <c r="C1457"/>
    </row>
    <row r="1458" ht="14.5" spans="3:3">
      <c r="C1458"/>
    </row>
    <row r="1459" ht="14.5" spans="3:3">
      <c r="C1459"/>
    </row>
    <row r="1460" ht="14.5" spans="3:3">
      <c r="C1460"/>
    </row>
    <row r="1461" ht="14.5" spans="3:3">
      <c r="C1461"/>
    </row>
    <row r="1462" ht="14.5" spans="3:3">
      <c r="C1462"/>
    </row>
    <row r="1463" ht="14.5" spans="3:3">
      <c r="C1463"/>
    </row>
    <row r="1464" ht="14.5" spans="3:3">
      <c r="C1464"/>
    </row>
    <row r="1465" ht="14.5" spans="3:3">
      <c r="C1465"/>
    </row>
    <row r="1466" ht="14.5" spans="3:3">
      <c r="C1466"/>
    </row>
    <row r="1467" ht="14.5" spans="3:3">
      <c r="C1467"/>
    </row>
    <row r="1468" ht="14.5" spans="3:3">
      <c r="C1468"/>
    </row>
    <row r="1469" ht="14.5" spans="3:3">
      <c r="C1469"/>
    </row>
    <row r="1470" ht="14.5" spans="3:3">
      <c r="C1470"/>
    </row>
    <row r="1471" ht="14.5" spans="3:3">
      <c r="C1471"/>
    </row>
    <row r="1472" ht="14.5" spans="3:3">
      <c r="C1472"/>
    </row>
    <row r="1473" ht="14.5" spans="3:3">
      <c r="C1473"/>
    </row>
    <row r="1474" ht="14.5" spans="3:3">
      <c r="C1474"/>
    </row>
    <row r="1475" ht="14.5" spans="3:3">
      <c r="C1475"/>
    </row>
    <row r="1476" ht="14.5" spans="3:3">
      <c r="C1476"/>
    </row>
    <row r="1477" ht="14.5" spans="3:3">
      <c r="C1477"/>
    </row>
    <row r="1478" ht="14.5" spans="3:3">
      <c r="C1478"/>
    </row>
    <row r="1479" ht="14.5" spans="3:3">
      <c r="C1479"/>
    </row>
    <row r="1480" ht="14.5" spans="3:3">
      <c r="C1480"/>
    </row>
    <row r="1481" ht="14.5" spans="3:3">
      <c r="C1481"/>
    </row>
    <row r="1482" ht="14.5" spans="3:3">
      <c r="C1482"/>
    </row>
    <row r="1483" ht="14.5" spans="3:3">
      <c r="C1483"/>
    </row>
    <row r="1484" ht="14.5" spans="3:3">
      <c r="C1484"/>
    </row>
    <row r="1485" ht="14.5" spans="3:3">
      <c r="C1485"/>
    </row>
    <row r="1486" ht="14.5" spans="3:3">
      <c r="C1486"/>
    </row>
    <row r="1487" ht="14.5" spans="3:3">
      <c r="C1487"/>
    </row>
    <row r="1488" ht="14.5" spans="3:3">
      <c r="C1488"/>
    </row>
    <row r="1489" ht="14.5" spans="3:3">
      <c r="C1489"/>
    </row>
    <row r="1490" ht="14.5" spans="3:3">
      <c r="C1490"/>
    </row>
    <row r="1491" ht="14.5" spans="3:3">
      <c r="C1491"/>
    </row>
    <row r="1492" ht="14.5" spans="3:3">
      <c r="C1492"/>
    </row>
    <row r="1493" ht="14.5" spans="3:3">
      <c r="C1493"/>
    </row>
    <row r="1494" ht="14.5" spans="3:3">
      <c r="C1494"/>
    </row>
    <row r="1495" ht="14.5" spans="3:3">
      <c r="C1495"/>
    </row>
    <row r="1496" ht="14.5" spans="3:3">
      <c r="C1496"/>
    </row>
    <row r="1497" ht="14.5" spans="3:3">
      <c r="C1497"/>
    </row>
    <row r="1498" ht="14.5" spans="3:3">
      <c r="C1498"/>
    </row>
    <row r="1499" ht="14.5" spans="3:3">
      <c r="C1499"/>
    </row>
    <row r="1500" ht="14.5" spans="3:3">
      <c r="C1500"/>
    </row>
    <row r="1501" ht="14.5" spans="3:3">
      <c r="C1501"/>
    </row>
    <row r="1502" ht="14.5" spans="3:3">
      <c r="C1502"/>
    </row>
    <row r="1503" ht="14.5" spans="3:3">
      <c r="C1503"/>
    </row>
    <row r="1504" ht="14.5" spans="3:3">
      <c r="C1504"/>
    </row>
    <row r="1505" ht="14.5" spans="3:3">
      <c r="C1505"/>
    </row>
    <row r="1506" ht="14.5" spans="3:3">
      <c r="C1506"/>
    </row>
    <row r="1507" ht="14.5" spans="3:3">
      <c r="C1507"/>
    </row>
    <row r="1508" ht="14.5" spans="3:3">
      <c r="C1508"/>
    </row>
    <row r="1509" ht="14.5" spans="3:3">
      <c r="C1509"/>
    </row>
    <row r="1510" ht="14.5" spans="3:3">
      <c r="C1510"/>
    </row>
    <row r="1511" ht="14.5" spans="3:3">
      <c r="C1511"/>
    </row>
    <row r="1512" ht="14.5" spans="3:3">
      <c r="C1512"/>
    </row>
    <row r="1513" ht="14.5" spans="3:3">
      <c r="C1513"/>
    </row>
    <row r="1514" ht="14.5" spans="3:3">
      <c r="C1514"/>
    </row>
    <row r="1515" ht="14.5" spans="3:3">
      <c r="C1515"/>
    </row>
    <row r="1516" ht="14.5" spans="3:3">
      <c r="C1516"/>
    </row>
    <row r="1517" ht="14.5" spans="3:3">
      <c r="C1517"/>
    </row>
    <row r="1518" ht="14.5" spans="3:3">
      <c r="C1518"/>
    </row>
    <row r="1519" ht="14.5" spans="3:3">
      <c r="C1519"/>
    </row>
    <row r="1520" ht="14.5" spans="3:3">
      <c r="C1520"/>
    </row>
    <row r="1521" ht="14.5" spans="3:3">
      <c r="C1521"/>
    </row>
    <row r="1522" ht="14.5" spans="3:3">
      <c r="C1522"/>
    </row>
    <row r="1523" ht="14.5" spans="3:3">
      <c r="C1523"/>
    </row>
    <row r="1524" ht="14.5" spans="3:3">
      <c r="C1524"/>
    </row>
    <row r="1525" ht="14.5" spans="3:3">
      <c r="C1525"/>
    </row>
    <row r="1526" ht="14.5" spans="3:3">
      <c r="C1526"/>
    </row>
    <row r="1527" ht="14.5" spans="3:3">
      <c r="C1527"/>
    </row>
    <row r="1528" ht="14.5" spans="3:3">
      <c r="C1528"/>
    </row>
    <row r="1529" ht="14.5" spans="3:3">
      <c r="C1529"/>
    </row>
    <row r="1530" ht="14.5" spans="3:3">
      <c r="C1530"/>
    </row>
    <row r="1531" ht="14.5" spans="3:3">
      <c r="C1531"/>
    </row>
    <row r="1532" ht="14.5" spans="3:3">
      <c r="C1532"/>
    </row>
    <row r="1533" ht="14.5" spans="3:3">
      <c r="C1533"/>
    </row>
    <row r="1534" ht="14.5" spans="3:3">
      <c r="C1534"/>
    </row>
    <row r="1535" ht="14.5" spans="3:3">
      <c r="C1535"/>
    </row>
    <row r="1536" ht="14.5" spans="3:3">
      <c r="C1536"/>
    </row>
    <row r="1537" ht="14.5" spans="3:3">
      <c r="C1537"/>
    </row>
    <row r="1538" ht="14.5" spans="3:3">
      <c r="C1538"/>
    </row>
    <row r="1539" ht="14.5" spans="3:3">
      <c r="C1539"/>
    </row>
    <row r="1540" ht="14.5" spans="3:3">
      <c r="C1540"/>
    </row>
    <row r="1541" ht="14.5" spans="3:3">
      <c r="C1541"/>
    </row>
    <row r="1542" ht="14.5" spans="3:3">
      <c r="C1542"/>
    </row>
    <row r="1543" ht="14.5" spans="3:3">
      <c r="C1543"/>
    </row>
    <row r="1544" ht="14.5" spans="3:3">
      <c r="C1544"/>
    </row>
    <row r="1545" ht="14.5" spans="3:3">
      <c r="C1545"/>
    </row>
    <row r="1546" ht="14.5" spans="3:3">
      <c r="C1546"/>
    </row>
    <row r="1547" ht="14.5" spans="3:3">
      <c r="C1547"/>
    </row>
    <row r="1548" ht="14.5" spans="3:3">
      <c r="C1548"/>
    </row>
    <row r="1549" ht="14.5" spans="3:3">
      <c r="C1549"/>
    </row>
    <row r="1550" ht="14.5" spans="3:3">
      <c r="C1550"/>
    </row>
    <row r="1551" ht="14.5" spans="3:3">
      <c r="C1551"/>
    </row>
    <row r="1552" ht="14.5" spans="3:3">
      <c r="C1552"/>
    </row>
    <row r="1553" ht="14.5" spans="3:3">
      <c r="C1553"/>
    </row>
    <row r="1554" ht="14.5" spans="3:3">
      <c r="C1554"/>
    </row>
    <row r="1555" ht="14.5" spans="3:3">
      <c r="C1555"/>
    </row>
    <row r="1556" ht="14.5" spans="3:3">
      <c r="C1556"/>
    </row>
    <row r="1557" ht="14.5" spans="3:3">
      <c r="C1557"/>
    </row>
    <row r="1558" ht="14.5" spans="3:3">
      <c r="C1558"/>
    </row>
    <row r="1559" ht="14.5" spans="3:3">
      <c r="C1559"/>
    </row>
    <row r="1560" ht="14.5" spans="3:3">
      <c r="C1560"/>
    </row>
    <row r="1561" ht="14.5" spans="3:3">
      <c r="C1561"/>
    </row>
    <row r="1562" ht="14.5" spans="3:3">
      <c r="C1562"/>
    </row>
    <row r="1563" ht="14.5" spans="3:3">
      <c r="C1563"/>
    </row>
    <row r="1564" ht="14.5" spans="3:3">
      <c r="C1564"/>
    </row>
    <row r="1565" ht="14.5" spans="3:3">
      <c r="C1565"/>
    </row>
    <row r="1566" ht="14.5" spans="3:3">
      <c r="C1566"/>
    </row>
    <row r="1567" ht="14.5" spans="3:3">
      <c r="C1567"/>
    </row>
    <row r="1568" ht="14.5" spans="3:3">
      <c r="C1568"/>
    </row>
    <row r="1569" ht="14.5" spans="3:3">
      <c r="C1569"/>
    </row>
    <row r="1570" ht="14.5" spans="3:3">
      <c r="C1570"/>
    </row>
    <row r="1571" ht="14.5" spans="3:3">
      <c r="C1571"/>
    </row>
    <row r="1572" ht="14.5" spans="3:3">
      <c r="C1572"/>
    </row>
    <row r="1573" ht="14.5" spans="3:3">
      <c r="C1573"/>
    </row>
    <row r="1574" ht="14.5" spans="3:3">
      <c r="C1574"/>
    </row>
    <row r="1575" ht="14.5" spans="3:3">
      <c r="C1575"/>
    </row>
    <row r="1576" ht="14.5" spans="3:3">
      <c r="C1576"/>
    </row>
    <row r="1577" ht="14.5" spans="3:3">
      <c r="C1577"/>
    </row>
    <row r="1578" ht="14.5" spans="3:3">
      <c r="C1578"/>
    </row>
    <row r="1579" ht="14.5" spans="3:3">
      <c r="C1579"/>
    </row>
    <row r="1580" ht="14.5" spans="3:3">
      <c r="C1580"/>
    </row>
    <row r="1581" ht="14.5" spans="3:3">
      <c r="C1581"/>
    </row>
    <row r="1582" ht="14.5" spans="3:3">
      <c r="C1582"/>
    </row>
    <row r="1583" ht="14.5" spans="3:3">
      <c r="C1583"/>
    </row>
    <row r="1584" ht="14.5" spans="3:3">
      <c r="C1584"/>
    </row>
    <row r="1585" ht="14.5" spans="3:3">
      <c r="C1585"/>
    </row>
    <row r="1586" ht="14.5" spans="3:3">
      <c r="C1586"/>
    </row>
    <row r="1587" ht="14.5" spans="3:3">
      <c r="C1587"/>
    </row>
    <row r="1588" ht="14.5" spans="3:3">
      <c r="C1588"/>
    </row>
    <row r="1589" ht="14.5" spans="3:3">
      <c r="C1589"/>
    </row>
    <row r="1590" ht="14.5" spans="3:3">
      <c r="C1590"/>
    </row>
    <row r="1591" ht="14.5" spans="3:3">
      <c r="C1591"/>
    </row>
    <row r="1592" ht="14.5" spans="3:3">
      <c r="C1592"/>
    </row>
    <row r="1593" ht="14.5" spans="3:3">
      <c r="C1593"/>
    </row>
    <row r="1594" ht="14.5" spans="3:3">
      <c r="C1594"/>
    </row>
    <row r="1595" ht="14.5" spans="3:3">
      <c r="C1595"/>
    </row>
    <row r="1596" ht="14.5" spans="3:3">
      <c r="C1596"/>
    </row>
    <row r="1597" ht="14.5" spans="3:3">
      <c r="C1597"/>
    </row>
    <row r="1598" ht="14.5" spans="3:3">
      <c r="C1598"/>
    </row>
    <row r="1599" ht="14.5" spans="3:3">
      <c r="C1599"/>
    </row>
    <row r="1600" ht="14.5" spans="3:3">
      <c r="C1600"/>
    </row>
    <row r="1601" ht="14.5" spans="3:3">
      <c r="C1601"/>
    </row>
    <row r="1602" ht="14.5" spans="3:3">
      <c r="C1602"/>
    </row>
    <row r="1603" ht="14.5" spans="3:3">
      <c r="C1603"/>
    </row>
    <row r="1604" ht="14.5" spans="3:3">
      <c r="C1604"/>
    </row>
    <row r="1605" ht="14.5" spans="3:3">
      <c r="C1605"/>
    </row>
    <row r="1606" ht="14.5" spans="3:3">
      <c r="C1606"/>
    </row>
    <row r="1607" ht="14.5" spans="3:3">
      <c r="C1607"/>
    </row>
    <row r="1608" ht="14.5" spans="3:3">
      <c r="C1608"/>
    </row>
    <row r="1609" ht="14.5" spans="3:3">
      <c r="C1609"/>
    </row>
    <row r="1610" ht="14.5" spans="3:3">
      <c r="C1610"/>
    </row>
    <row r="1611" ht="14.5" spans="3:3">
      <c r="C1611"/>
    </row>
    <row r="1612" ht="14.5" spans="3:3">
      <c r="C1612"/>
    </row>
    <row r="1613" ht="14.5" spans="3:3">
      <c r="C1613"/>
    </row>
    <row r="1614" ht="14.5" spans="3:3">
      <c r="C1614"/>
    </row>
    <row r="1615" ht="14.5" spans="3:3">
      <c r="C1615"/>
    </row>
    <row r="1616" ht="14.5" spans="3:3">
      <c r="C1616"/>
    </row>
    <row r="1617" ht="14.5" spans="3:3">
      <c r="C1617"/>
    </row>
    <row r="1618" ht="14.5" spans="3:3">
      <c r="C1618"/>
    </row>
    <row r="1619" ht="14.5" spans="3:3">
      <c r="C1619"/>
    </row>
    <row r="1620" ht="14.5" spans="3:3">
      <c r="C1620"/>
    </row>
    <row r="1621" ht="14.5" spans="3:3">
      <c r="C1621"/>
    </row>
    <row r="1622" ht="14.5" spans="3:3">
      <c r="C1622"/>
    </row>
    <row r="1623" ht="14.5" spans="3:3">
      <c r="C1623"/>
    </row>
    <row r="1624" ht="14.5" spans="3:3">
      <c r="C1624"/>
    </row>
    <row r="1625" ht="14.5" spans="3:3">
      <c r="C1625"/>
    </row>
    <row r="1626" ht="14.5" spans="3:3">
      <c r="C1626"/>
    </row>
    <row r="1627" ht="14.5" spans="3:3">
      <c r="C1627"/>
    </row>
    <row r="1628" ht="14.5" spans="3:3">
      <c r="C1628"/>
    </row>
    <row r="1629" ht="14.5" spans="3:3">
      <c r="C1629"/>
    </row>
    <row r="1630" ht="14.5" spans="3:3">
      <c r="C1630"/>
    </row>
    <row r="1631" ht="14.5" spans="3:3">
      <c r="C1631"/>
    </row>
    <row r="1632" ht="14.5" spans="3:3">
      <c r="C1632"/>
    </row>
    <row r="1633" ht="14.5" spans="3:3">
      <c r="C1633"/>
    </row>
    <row r="1634" ht="14.5" spans="3:3">
      <c r="C1634"/>
    </row>
    <row r="1635" ht="14.5" spans="3:3">
      <c r="C1635"/>
    </row>
    <row r="1636" ht="14.5" spans="3:3">
      <c r="C1636"/>
    </row>
    <row r="1637" ht="14.5" spans="3:3">
      <c r="C1637"/>
    </row>
    <row r="1638" ht="14.5" spans="3:3">
      <c r="C1638"/>
    </row>
    <row r="1639" ht="14.5" spans="3:3">
      <c r="C1639"/>
    </row>
    <row r="1640" ht="14.5" spans="3:3">
      <c r="C1640"/>
    </row>
    <row r="1641" ht="14.5" spans="3:3">
      <c r="C1641"/>
    </row>
    <row r="1642" ht="14.5" spans="3:3">
      <c r="C1642"/>
    </row>
    <row r="1643" ht="14.5" spans="3:3">
      <c r="C1643"/>
    </row>
    <row r="1644" ht="14.5" spans="3:3">
      <c r="C1644"/>
    </row>
    <row r="1645" ht="14.5" spans="3:3">
      <c r="C1645"/>
    </row>
    <row r="1646" ht="14.5" spans="3:3">
      <c r="C1646"/>
    </row>
    <row r="1647" ht="14.5" spans="3:3">
      <c r="C1647"/>
    </row>
    <row r="1648" ht="14.5" spans="3:3">
      <c r="C1648"/>
    </row>
    <row r="1649" ht="14.5" spans="3:3">
      <c r="C1649"/>
    </row>
    <row r="1650" ht="14.5" spans="3:3">
      <c r="C1650"/>
    </row>
    <row r="1651" ht="14.5" spans="3:3">
      <c r="C1651"/>
    </row>
    <row r="1652" ht="14.5" spans="3:3">
      <c r="C1652"/>
    </row>
    <row r="1653" ht="14.5" spans="3:3">
      <c r="C1653"/>
    </row>
    <row r="1654" ht="14.5" spans="3:3">
      <c r="C1654"/>
    </row>
    <row r="1655" ht="14.5" spans="3:3">
      <c r="C1655"/>
    </row>
    <row r="1656" ht="14.5" spans="3:3">
      <c r="C1656"/>
    </row>
    <row r="1657" ht="14.5" spans="3:3">
      <c r="C1657"/>
    </row>
    <row r="1658" ht="14.5" spans="3:3">
      <c r="C1658"/>
    </row>
    <row r="1659" ht="14.5" spans="3:3">
      <c r="C1659"/>
    </row>
    <row r="1660" ht="14.5" spans="3:3">
      <c r="C1660"/>
    </row>
    <row r="1661" ht="14.5" spans="3:3">
      <c r="C1661"/>
    </row>
    <row r="1662" ht="14.5" spans="3:3">
      <c r="C1662"/>
    </row>
    <row r="1663" ht="14.5" spans="3:3">
      <c r="C1663"/>
    </row>
    <row r="1664" ht="14.5" spans="3:3">
      <c r="C1664"/>
    </row>
    <row r="1665" ht="14.5" spans="3:3">
      <c r="C1665"/>
    </row>
    <row r="1666" ht="14.5" spans="3:3">
      <c r="C1666"/>
    </row>
    <row r="1667" ht="14.5" spans="3:3">
      <c r="C1667"/>
    </row>
    <row r="1668" ht="14.5" spans="3:3">
      <c r="C1668"/>
    </row>
    <row r="1669" ht="14.5" spans="3:3">
      <c r="C1669"/>
    </row>
    <row r="1670" ht="14.5" spans="3:3">
      <c r="C1670"/>
    </row>
    <row r="1671" ht="14.5" spans="3:3">
      <c r="C1671"/>
    </row>
    <row r="1672" ht="14.5" spans="3:3">
      <c r="C1672"/>
    </row>
    <row r="1673" ht="14.5" spans="3:3">
      <c r="C1673"/>
    </row>
    <row r="1674" ht="14.5" spans="3:3">
      <c r="C1674"/>
    </row>
    <row r="1675" ht="14.5" spans="3:3">
      <c r="C1675"/>
    </row>
    <row r="1676" ht="14.5" spans="3:3">
      <c r="C1676"/>
    </row>
    <row r="1677" ht="14.5" spans="3:3">
      <c r="C1677"/>
    </row>
    <row r="1678" ht="14.5" spans="3:3">
      <c r="C1678"/>
    </row>
    <row r="1679" ht="14.5" spans="3:3">
      <c r="C1679"/>
    </row>
    <row r="1680" ht="14.5" spans="3:3">
      <c r="C1680"/>
    </row>
    <row r="1681" ht="14.5" spans="3:3">
      <c r="C1681"/>
    </row>
    <row r="1682" ht="14.5" spans="3:3">
      <c r="C1682"/>
    </row>
    <row r="1683" ht="14.5" spans="3:3">
      <c r="C1683"/>
    </row>
    <row r="1684" ht="14.5" spans="3:3">
      <c r="C1684"/>
    </row>
    <row r="1685" ht="14.5" spans="3:3">
      <c r="C1685"/>
    </row>
    <row r="1686" ht="14.5" spans="3:3">
      <c r="C1686"/>
    </row>
    <row r="1687" ht="14.5" spans="3:3">
      <c r="C1687"/>
    </row>
    <row r="1688" ht="14.5" spans="3:3">
      <c r="C1688"/>
    </row>
    <row r="1689" ht="14.5" spans="3:3">
      <c r="C1689"/>
    </row>
    <row r="1690" ht="14.5" spans="3:3">
      <c r="C1690"/>
    </row>
    <row r="1691" ht="14.5" spans="3:3">
      <c r="C1691"/>
    </row>
    <row r="1692" ht="14.5" spans="3:3">
      <c r="C1692"/>
    </row>
    <row r="1693" ht="14.5" spans="3:3">
      <c r="C1693"/>
    </row>
    <row r="1694" ht="14.5" spans="3:3">
      <c r="C1694"/>
    </row>
    <row r="1695" ht="14.5" spans="3:3">
      <c r="C1695"/>
    </row>
    <row r="1696" ht="14.5" spans="3:3">
      <c r="C1696"/>
    </row>
    <row r="1697" ht="14.5" spans="3:3">
      <c r="C1697"/>
    </row>
    <row r="1698" ht="14.5" spans="3:3">
      <c r="C1698"/>
    </row>
    <row r="1699" ht="14.5" spans="3:3">
      <c r="C1699"/>
    </row>
    <row r="1700" ht="14.5" spans="3:3">
      <c r="C1700"/>
    </row>
    <row r="1701" ht="14.5" spans="3:3">
      <c r="C1701"/>
    </row>
    <row r="1702" ht="14.5" spans="3:3">
      <c r="C1702"/>
    </row>
    <row r="1703" ht="14.5" spans="3:3">
      <c r="C1703"/>
    </row>
    <row r="1704" ht="14.5" spans="3:3">
      <c r="C1704"/>
    </row>
    <row r="1705" ht="14.5" spans="3:3">
      <c r="C1705"/>
    </row>
    <row r="1706" ht="14.5" spans="3:3">
      <c r="C1706"/>
    </row>
    <row r="1707" ht="14.5" spans="3:3">
      <c r="C1707"/>
    </row>
    <row r="1708" ht="14.5" spans="3:3">
      <c r="C1708"/>
    </row>
    <row r="1709" ht="14.5" spans="3:3">
      <c r="C1709"/>
    </row>
    <row r="1710" ht="14.5" spans="3:3">
      <c r="C1710"/>
    </row>
    <row r="1711" ht="14.5" spans="3:3">
      <c r="C1711"/>
    </row>
    <row r="1712" ht="14.5" spans="3:3">
      <c r="C1712"/>
    </row>
    <row r="1713" ht="14.5" spans="3:3">
      <c r="C1713"/>
    </row>
    <row r="1714" ht="14.5" spans="3:3">
      <c r="C1714"/>
    </row>
    <row r="1715" ht="14.5" spans="3:3">
      <c r="C1715"/>
    </row>
    <row r="1716" ht="14.5" spans="3:3">
      <c r="C1716"/>
    </row>
    <row r="1717" ht="14.5" spans="3:3">
      <c r="C1717"/>
    </row>
    <row r="1718" ht="14.5" spans="3:3">
      <c r="C1718"/>
    </row>
    <row r="1719" ht="14.5" spans="3:3">
      <c r="C1719"/>
    </row>
    <row r="1720" ht="14.5" spans="3:3">
      <c r="C1720"/>
    </row>
    <row r="1721" ht="14.5" spans="3:3">
      <c r="C1721"/>
    </row>
    <row r="1722" ht="14.5" spans="3:3">
      <c r="C1722"/>
    </row>
    <row r="1723" ht="14.5" spans="3:3">
      <c r="C1723"/>
    </row>
    <row r="1724" ht="14.5" spans="3:3">
      <c r="C1724"/>
    </row>
    <row r="1725" ht="14.5" spans="3:3">
      <c r="C1725"/>
    </row>
    <row r="1726" ht="14.5" spans="3:3">
      <c r="C1726"/>
    </row>
    <row r="1727" ht="14.5" spans="3:3">
      <c r="C1727"/>
    </row>
    <row r="1728" ht="14.5" spans="3:3">
      <c r="C1728"/>
    </row>
    <row r="1729" ht="14.5" spans="3:3">
      <c r="C1729"/>
    </row>
    <row r="1730" ht="14.5" spans="3:3">
      <c r="C1730"/>
    </row>
    <row r="1731" ht="14.5" spans="3:3">
      <c r="C1731"/>
    </row>
    <row r="1732" ht="14.5" spans="3:3">
      <c r="C1732"/>
    </row>
    <row r="1733" ht="14.5" spans="3:3">
      <c r="C1733"/>
    </row>
    <row r="1734" ht="14.5" spans="3:3">
      <c r="C1734"/>
    </row>
    <row r="1735" ht="14.5" spans="3:3">
      <c r="C1735"/>
    </row>
    <row r="1736" ht="14.5" spans="3:3">
      <c r="C1736"/>
    </row>
    <row r="1737" ht="14.5" spans="3:3">
      <c r="C1737"/>
    </row>
    <row r="1738" ht="14.5" spans="3:3">
      <c r="C1738"/>
    </row>
    <row r="1739" ht="14.5" spans="3:3">
      <c r="C1739"/>
    </row>
    <row r="1740" ht="14.5" spans="3:3">
      <c r="C1740"/>
    </row>
    <row r="1741" ht="14.5" spans="3:3">
      <c r="C1741"/>
    </row>
    <row r="1742" ht="14.5" spans="3:3">
      <c r="C1742"/>
    </row>
    <row r="1743" ht="14.5" spans="3:3">
      <c r="C1743"/>
    </row>
    <row r="1744" ht="14.5" spans="3:3">
      <c r="C1744"/>
    </row>
    <row r="1745" ht="14.5" spans="3:3">
      <c r="C1745"/>
    </row>
    <row r="1746" ht="14.5" spans="3:3">
      <c r="C1746"/>
    </row>
    <row r="1747" ht="14.5" spans="3:3">
      <c r="C1747"/>
    </row>
    <row r="1748" ht="14.5" spans="3:3">
      <c r="C1748"/>
    </row>
    <row r="1749" ht="14.5" spans="3:3">
      <c r="C1749"/>
    </row>
    <row r="1750" ht="14.5" spans="3:3">
      <c r="C1750"/>
    </row>
    <row r="1751" ht="14.5" spans="3:3">
      <c r="C1751"/>
    </row>
    <row r="1752" ht="14.5" spans="3:3">
      <c r="C1752"/>
    </row>
    <row r="1753" ht="14.5" spans="3:3">
      <c r="C1753"/>
    </row>
    <row r="1754" ht="14.5" spans="3:3">
      <c r="C1754"/>
    </row>
    <row r="1755" ht="14.5" spans="3:3">
      <c r="C1755"/>
    </row>
    <row r="1756" ht="14.5" spans="3:3">
      <c r="C1756"/>
    </row>
    <row r="1757" ht="14.5" spans="3:3">
      <c r="C1757"/>
    </row>
    <row r="1758" ht="14.5" spans="3:3">
      <c r="C1758"/>
    </row>
    <row r="1759" ht="14.5" spans="3:3">
      <c r="C1759"/>
    </row>
    <row r="1760" ht="14.5" spans="3:3">
      <c r="C1760"/>
    </row>
    <row r="1761" ht="14.5" spans="3:3">
      <c r="C1761"/>
    </row>
    <row r="1762" ht="14.5" spans="3:3">
      <c r="C1762"/>
    </row>
    <row r="1763" ht="14.5" spans="3:3">
      <c r="C1763"/>
    </row>
    <row r="1764" ht="14.5" spans="3:3">
      <c r="C1764"/>
    </row>
    <row r="1765" ht="14.5" spans="3:3">
      <c r="C1765"/>
    </row>
    <row r="1766" ht="14.5" spans="3:3">
      <c r="C1766"/>
    </row>
    <row r="1767" ht="14.5" spans="3:3">
      <c r="C1767"/>
    </row>
    <row r="1768" ht="14.5" spans="3:3">
      <c r="C1768"/>
    </row>
    <row r="1769" ht="14.5" spans="3:3">
      <c r="C1769"/>
    </row>
    <row r="1770" ht="14.5" spans="3:3">
      <c r="C1770"/>
    </row>
    <row r="1771" ht="14.5" spans="3:3">
      <c r="C1771"/>
    </row>
    <row r="1772" ht="14.5" spans="3:3">
      <c r="C1772"/>
    </row>
    <row r="1773" ht="14.5" spans="3:3">
      <c r="C1773"/>
    </row>
    <row r="1774" ht="14.5" spans="3:3">
      <c r="C1774"/>
    </row>
    <row r="1775" ht="14.5" spans="3:3">
      <c r="C1775"/>
    </row>
    <row r="1776" ht="14.5" spans="3:3">
      <c r="C1776"/>
    </row>
    <row r="1777" ht="14.5" spans="3:3">
      <c r="C1777"/>
    </row>
    <row r="1778" ht="14.5" spans="3:3">
      <c r="C1778"/>
    </row>
    <row r="1779" ht="14.5" spans="3:3">
      <c r="C1779"/>
    </row>
    <row r="1780" ht="14.5" spans="3:3">
      <c r="C1780"/>
    </row>
    <row r="1781" ht="14.5" spans="3:3">
      <c r="C1781"/>
    </row>
    <row r="1782" ht="14.5" spans="3:3">
      <c r="C1782"/>
    </row>
    <row r="1783" ht="14.5" spans="3:3">
      <c r="C1783"/>
    </row>
    <row r="1784" ht="14.5" spans="3:3">
      <c r="C1784"/>
    </row>
    <row r="1785" ht="14.5" spans="3:3">
      <c r="C1785"/>
    </row>
    <row r="1786" ht="14.5" spans="3:3">
      <c r="C1786"/>
    </row>
    <row r="1787" ht="14.5" spans="3:3">
      <c r="C1787"/>
    </row>
    <row r="1788" ht="14.5" spans="3:3">
      <c r="C1788"/>
    </row>
    <row r="1789" ht="14.5" spans="3:3">
      <c r="C1789"/>
    </row>
    <row r="1790" ht="14.5" spans="3:3">
      <c r="C1790"/>
    </row>
    <row r="1791" ht="14.5" spans="3:3">
      <c r="C1791"/>
    </row>
    <row r="1792" ht="14.5" spans="3:3">
      <c r="C1792"/>
    </row>
    <row r="1793" ht="14.5" spans="3:3">
      <c r="C1793"/>
    </row>
    <row r="1794" ht="14.5" spans="3:3">
      <c r="C1794"/>
    </row>
    <row r="1795" ht="14.5" spans="3:3">
      <c r="C1795"/>
    </row>
    <row r="1796" ht="14.5" spans="3:3">
      <c r="C1796"/>
    </row>
    <row r="1797" ht="14.5" spans="3:3">
      <c r="C1797"/>
    </row>
    <row r="1798" ht="14.5" spans="3:3">
      <c r="C1798"/>
    </row>
    <row r="1799" ht="14.5" spans="3:3">
      <c r="C1799"/>
    </row>
    <row r="1800" ht="14.5" spans="3:3">
      <c r="C1800"/>
    </row>
    <row r="1801" ht="14.5" spans="3:3">
      <c r="C1801"/>
    </row>
    <row r="1802" ht="14.5" spans="3:3">
      <c r="C1802"/>
    </row>
    <row r="1803" ht="14.5" spans="3:3">
      <c r="C1803"/>
    </row>
    <row r="1804" ht="14.5" spans="3:3">
      <c r="C1804"/>
    </row>
    <row r="1805" ht="14.5" spans="3:3">
      <c r="C1805"/>
    </row>
    <row r="1806" ht="14.5" spans="3:3">
      <c r="C1806"/>
    </row>
    <row r="1807" ht="14.5" spans="3:3">
      <c r="C1807"/>
    </row>
    <row r="1808" ht="14.5" spans="3:3">
      <c r="C1808"/>
    </row>
    <row r="1809" ht="14.5" spans="3:3">
      <c r="C1809"/>
    </row>
    <row r="1810" ht="14.5" spans="3:3">
      <c r="C1810"/>
    </row>
    <row r="1811" ht="14.5" spans="3:3">
      <c r="C1811"/>
    </row>
    <row r="1812" ht="14.5" spans="3:3">
      <c r="C1812"/>
    </row>
    <row r="1813" ht="14.5" spans="3:3">
      <c r="C1813"/>
    </row>
    <row r="1814" ht="14.5" spans="3:3">
      <c r="C1814"/>
    </row>
    <row r="1815" ht="14.5" spans="3:3">
      <c r="C1815"/>
    </row>
    <row r="1816" ht="14.5" spans="3:3">
      <c r="C1816"/>
    </row>
    <row r="1817" ht="14.5" spans="3:3">
      <c r="C1817"/>
    </row>
    <row r="1818" ht="14.5" spans="3:3">
      <c r="C1818"/>
    </row>
    <row r="1819" ht="14.5" spans="3:3">
      <c r="C1819"/>
    </row>
    <row r="1820" ht="14.5" spans="3:3">
      <c r="C1820"/>
    </row>
    <row r="1821" ht="14.5" spans="3:3">
      <c r="C1821"/>
    </row>
    <row r="1822" ht="14.5" spans="3:3">
      <c r="C1822"/>
    </row>
    <row r="1823" ht="14.5" spans="3:3">
      <c r="C1823"/>
    </row>
    <row r="1824" ht="14.5" spans="3:3">
      <c r="C1824"/>
    </row>
    <row r="1825" ht="14.5" spans="3:3">
      <c r="C1825"/>
    </row>
    <row r="1826" ht="14.5" spans="3:3">
      <c r="C1826"/>
    </row>
    <row r="1827" ht="14.5" spans="3:3">
      <c r="C1827"/>
    </row>
    <row r="1828" ht="14.5" spans="3:3">
      <c r="C1828"/>
    </row>
    <row r="1829" ht="14.5" spans="3:3">
      <c r="C1829"/>
    </row>
    <row r="1830" ht="14.5" spans="3:3">
      <c r="C1830"/>
    </row>
    <row r="1831" ht="14.5" spans="3:3">
      <c r="C1831"/>
    </row>
    <row r="1832" ht="14.5" spans="3:3">
      <c r="C1832"/>
    </row>
    <row r="1833" ht="14.5" spans="3:3">
      <c r="C1833"/>
    </row>
    <row r="1834" ht="14.5" spans="3:3">
      <c r="C1834"/>
    </row>
    <row r="1835" ht="14.5" spans="3:3">
      <c r="C1835"/>
    </row>
    <row r="1836" ht="14.5" spans="3:3">
      <c r="C1836"/>
    </row>
    <row r="1837" ht="14.5" spans="3:3">
      <c r="C1837"/>
    </row>
    <row r="1838" ht="14.5" spans="3:3">
      <c r="C1838"/>
    </row>
    <row r="1839" ht="14.5" spans="3:3">
      <c r="C1839"/>
    </row>
    <row r="1840" ht="14.5" spans="3:3">
      <c r="C1840"/>
    </row>
    <row r="1841" ht="14.5" spans="3:3">
      <c r="C1841"/>
    </row>
    <row r="1842" ht="14.5" spans="3:3">
      <c r="C1842"/>
    </row>
    <row r="1843" ht="14.5" spans="3:3">
      <c r="C1843"/>
    </row>
    <row r="1844" ht="14.5" spans="3:3">
      <c r="C1844"/>
    </row>
    <row r="1845" ht="14.5" spans="3:3">
      <c r="C1845"/>
    </row>
    <row r="1846" ht="14.5" spans="3:3">
      <c r="C1846"/>
    </row>
    <row r="1847" ht="14.5" spans="3:3">
      <c r="C1847"/>
    </row>
    <row r="1848" ht="14.5" spans="3:3">
      <c r="C1848"/>
    </row>
    <row r="1849" ht="14.5" spans="3:3">
      <c r="C1849"/>
    </row>
    <row r="1850" ht="14.5" spans="3:3">
      <c r="C1850"/>
    </row>
    <row r="1851" ht="14.5" spans="3:3">
      <c r="C1851"/>
    </row>
    <row r="1852" ht="14.5" spans="3:3">
      <c r="C1852"/>
    </row>
    <row r="1853" ht="14.5" spans="3:3">
      <c r="C1853"/>
    </row>
    <row r="1854" ht="14.5" spans="3:3">
      <c r="C1854"/>
    </row>
    <row r="1855" ht="14.5" spans="3:3">
      <c r="C1855"/>
    </row>
    <row r="1856" ht="14.5" spans="3:3">
      <c r="C1856"/>
    </row>
    <row r="1857" ht="14.5" spans="3:3">
      <c r="C1857"/>
    </row>
    <row r="1858" ht="14.5" spans="3:3">
      <c r="C1858"/>
    </row>
    <row r="1859" ht="14.5" spans="3:3">
      <c r="C1859"/>
    </row>
    <row r="1860" ht="14.5" spans="3:3">
      <c r="C1860"/>
    </row>
    <row r="1861" ht="14.5" spans="3:3">
      <c r="C1861"/>
    </row>
    <row r="1862" ht="14.5" spans="3:3">
      <c r="C1862"/>
    </row>
    <row r="1863" ht="14.5" spans="3:3">
      <c r="C1863"/>
    </row>
    <row r="1864" ht="14.5" spans="3:3">
      <c r="C1864"/>
    </row>
    <row r="1865" ht="14.5" spans="3:3">
      <c r="C1865"/>
    </row>
    <row r="1866" ht="14.5" spans="3:3">
      <c r="C1866"/>
    </row>
    <row r="1867" ht="14.5" spans="3:3">
      <c r="C1867"/>
    </row>
    <row r="1868" ht="14.5" spans="3:3">
      <c r="C1868"/>
    </row>
    <row r="1869" ht="14.5" spans="3:3">
      <c r="C1869"/>
    </row>
    <row r="1870" ht="14.5" spans="3:3">
      <c r="C1870"/>
    </row>
    <row r="1871" ht="14.5" spans="3:3">
      <c r="C1871"/>
    </row>
    <row r="1872" ht="14.5" spans="3:3">
      <c r="C1872"/>
    </row>
    <row r="1873" ht="14.5" spans="3:3">
      <c r="C1873"/>
    </row>
    <row r="1874" ht="14.5" spans="3:3">
      <c r="C1874"/>
    </row>
    <row r="1875" ht="14.5" spans="3:3">
      <c r="C1875"/>
    </row>
    <row r="1876" ht="14.5" spans="3:3">
      <c r="C1876"/>
    </row>
    <row r="1877" ht="14.5" spans="3:3">
      <c r="C1877"/>
    </row>
    <row r="1878" ht="14.5" spans="3:3">
      <c r="C1878"/>
    </row>
    <row r="1879" ht="14.5" spans="3:3">
      <c r="C1879"/>
    </row>
    <row r="1880" ht="14.5" spans="3:3">
      <c r="C1880"/>
    </row>
    <row r="1881" ht="14.5" spans="3:3">
      <c r="C1881"/>
    </row>
    <row r="1882" ht="14.5" spans="3:3">
      <c r="C1882"/>
    </row>
    <row r="1883" ht="14.5" spans="3:3">
      <c r="C1883"/>
    </row>
    <row r="1884" ht="14.5" spans="3:3">
      <c r="C1884"/>
    </row>
    <row r="1885" ht="14.5" spans="3:3">
      <c r="C1885"/>
    </row>
    <row r="1886" ht="14.5" spans="3:3">
      <c r="C1886"/>
    </row>
    <row r="1887" ht="14.5" spans="3:3">
      <c r="C1887"/>
    </row>
    <row r="1888" ht="14.5" spans="3:3">
      <c r="C1888"/>
    </row>
    <row r="1889" ht="14.5" spans="3:3">
      <c r="C1889"/>
    </row>
    <row r="1890" ht="14.5" spans="3:3">
      <c r="C1890"/>
    </row>
    <row r="1891" ht="14.5" spans="3:3">
      <c r="C1891"/>
    </row>
    <row r="1892" ht="14.5" spans="3:3">
      <c r="C1892"/>
    </row>
    <row r="1893" ht="14.5" spans="3:3">
      <c r="C1893"/>
    </row>
    <row r="1894" ht="14.5" spans="3:3">
      <c r="C1894"/>
    </row>
    <row r="1895" ht="14.5" spans="3:3">
      <c r="C1895"/>
    </row>
    <row r="1896" ht="14.5" spans="3:3">
      <c r="C1896"/>
    </row>
    <row r="1897" ht="14.5" spans="3:3">
      <c r="C1897"/>
    </row>
    <row r="1898" ht="14.5" spans="3:3">
      <c r="C1898"/>
    </row>
    <row r="1899" ht="14.5" spans="3:3">
      <c r="C1899"/>
    </row>
    <row r="1900" ht="14.5" spans="3:3">
      <c r="C1900"/>
    </row>
    <row r="1901" ht="14.5" spans="3:3">
      <c r="C1901"/>
    </row>
    <row r="1902" ht="14.5" spans="3:3">
      <c r="C1902"/>
    </row>
    <row r="1903" ht="14.5" spans="3:3">
      <c r="C1903"/>
    </row>
    <row r="1904" ht="14.5" spans="3:3">
      <c r="C1904"/>
    </row>
    <row r="1905" ht="14.5" spans="3:3">
      <c r="C1905"/>
    </row>
    <row r="1906" ht="14.5" spans="3:3">
      <c r="C1906"/>
    </row>
    <row r="1907" ht="14.5" spans="3:3">
      <c r="C1907"/>
    </row>
    <row r="1908" ht="14.5" spans="3:3">
      <c r="C1908"/>
    </row>
    <row r="1909" ht="14.5" spans="3:3">
      <c r="C1909"/>
    </row>
    <row r="1910" ht="14.5" spans="3:3">
      <c r="C1910"/>
    </row>
    <row r="1911" ht="14.5" spans="3:3">
      <c r="C1911"/>
    </row>
    <row r="1912" ht="14.5" spans="3:3">
      <c r="C1912"/>
    </row>
    <row r="1913" ht="14.5" spans="3:3">
      <c r="C1913"/>
    </row>
    <row r="1914" ht="14.5" spans="3:3">
      <c r="C1914"/>
    </row>
    <row r="1915" ht="14.5" spans="3:3">
      <c r="C1915"/>
    </row>
    <row r="1916" ht="14.5" spans="3:3">
      <c r="C1916"/>
    </row>
    <row r="1917" ht="14.5" spans="3:3">
      <c r="C1917"/>
    </row>
    <row r="1918" ht="14.5" spans="3:3">
      <c r="C1918"/>
    </row>
    <row r="1919" ht="14.5" spans="3:3">
      <c r="C1919"/>
    </row>
    <row r="1920" ht="14.5" spans="3:3">
      <c r="C1920"/>
    </row>
    <row r="1921" ht="14.5" spans="3:3">
      <c r="C1921"/>
    </row>
    <row r="1922" ht="14.5" spans="3:3">
      <c r="C1922"/>
    </row>
    <row r="1923" ht="14.5" spans="3:3">
      <c r="C1923"/>
    </row>
    <row r="1924" ht="14.5" spans="3:3">
      <c r="C1924"/>
    </row>
    <row r="1925" ht="14.5" spans="3:3">
      <c r="C1925"/>
    </row>
    <row r="1926" ht="14.5" spans="3:3">
      <c r="C1926"/>
    </row>
    <row r="1927" ht="14.5" spans="3:3">
      <c r="C1927"/>
    </row>
    <row r="1928" ht="14.5" spans="3:3">
      <c r="C1928"/>
    </row>
    <row r="1929" ht="14.5" spans="3:3">
      <c r="C1929"/>
    </row>
    <row r="1930" ht="14.5" spans="3:3">
      <c r="C1930"/>
    </row>
    <row r="1931" ht="14.5" spans="3:3">
      <c r="C1931"/>
    </row>
    <row r="1932" ht="14.5" spans="3:3">
      <c r="C1932"/>
    </row>
    <row r="1933" ht="14.5" spans="3:3">
      <c r="C1933"/>
    </row>
    <row r="1934" ht="14.5" spans="3:3">
      <c r="C1934"/>
    </row>
    <row r="1935" ht="14.5" spans="3:3">
      <c r="C1935"/>
    </row>
    <row r="1936" ht="14.5" spans="3:3">
      <c r="C1936"/>
    </row>
    <row r="1937" ht="14.5" spans="3:3">
      <c r="C1937"/>
    </row>
    <row r="1938" ht="14.5" spans="3:3">
      <c r="C1938"/>
    </row>
    <row r="1939" ht="14.5" spans="3:3">
      <c r="C1939"/>
    </row>
    <row r="1940" ht="14.5" spans="3:3">
      <c r="C1940"/>
    </row>
    <row r="1941" ht="14.5" spans="3:3">
      <c r="C1941"/>
    </row>
    <row r="1942" ht="14.5" spans="3:3">
      <c r="C1942"/>
    </row>
    <row r="1943" ht="14.5" spans="3:3">
      <c r="C1943"/>
    </row>
    <row r="1944" ht="14.5" spans="3:3">
      <c r="C1944"/>
    </row>
    <row r="1945" ht="14.5" spans="3:3">
      <c r="C1945"/>
    </row>
    <row r="1946" ht="14.5" spans="3:3">
      <c r="C1946"/>
    </row>
    <row r="1947" ht="14.5" spans="3:3">
      <c r="C1947"/>
    </row>
    <row r="1948" ht="14.5" spans="3:3">
      <c r="C1948"/>
    </row>
    <row r="1949" ht="14.5" spans="3:3">
      <c r="C1949"/>
    </row>
    <row r="1950" ht="14.5" spans="3:3">
      <c r="C1950"/>
    </row>
    <row r="1951" ht="14.5" spans="3:3">
      <c r="C1951"/>
    </row>
    <row r="1952" ht="14.5" spans="3:3">
      <c r="C1952"/>
    </row>
    <row r="1953" ht="14.5" spans="3:3">
      <c r="C1953"/>
    </row>
    <row r="1954" ht="14.5" spans="3:3">
      <c r="C1954"/>
    </row>
    <row r="1955" ht="14.5" spans="3:3">
      <c r="C1955"/>
    </row>
    <row r="1956" ht="14.5" spans="3:3">
      <c r="C1956"/>
    </row>
    <row r="1957" ht="14.5" spans="3:3">
      <c r="C1957"/>
    </row>
    <row r="1958" ht="14.5" spans="3:3">
      <c r="C1958"/>
    </row>
    <row r="1959" ht="14.5" spans="3:3">
      <c r="C1959"/>
    </row>
    <row r="1960" ht="14.5" spans="3:3">
      <c r="C1960"/>
    </row>
    <row r="1961" ht="14.5" spans="3:3">
      <c r="C1961"/>
    </row>
    <row r="1962" ht="14.5" spans="3:3">
      <c r="C1962"/>
    </row>
    <row r="1963" ht="14.5" spans="3:3">
      <c r="C1963"/>
    </row>
    <row r="1964" ht="14.5" spans="3:3">
      <c r="C1964"/>
    </row>
    <row r="1965" ht="14.5" spans="3:3">
      <c r="C1965"/>
    </row>
    <row r="1966" ht="14.5" spans="3:3">
      <c r="C1966"/>
    </row>
    <row r="1967" ht="14.5" spans="3:3">
      <c r="C1967"/>
    </row>
    <row r="1968" ht="14.5" spans="3:3">
      <c r="C1968"/>
    </row>
    <row r="1969" ht="14.5" spans="3:3">
      <c r="C1969"/>
    </row>
    <row r="1970" ht="14.5" spans="3:3">
      <c r="C1970"/>
    </row>
    <row r="1971" ht="14.5" spans="3:3">
      <c r="C1971"/>
    </row>
    <row r="1972" ht="14.5" spans="3:3">
      <c r="C1972"/>
    </row>
    <row r="1973" ht="14.5" spans="3:3">
      <c r="C1973"/>
    </row>
    <row r="1974" ht="14.5" spans="3:3">
      <c r="C1974"/>
    </row>
    <row r="1975" ht="14.5" spans="3:3">
      <c r="C1975"/>
    </row>
    <row r="1976" ht="14.5" spans="3:3">
      <c r="C1976"/>
    </row>
    <row r="1977" ht="14.5" spans="3:3">
      <c r="C1977"/>
    </row>
    <row r="1978" ht="14.5" spans="3:3">
      <c r="C1978"/>
    </row>
    <row r="1979" ht="14.5" spans="3:3">
      <c r="C1979"/>
    </row>
    <row r="1980" ht="14.5" spans="3:3">
      <c r="C1980"/>
    </row>
    <row r="1981" ht="14.5" spans="3:3">
      <c r="C1981"/>
    </row>
    <row r="1982" ht="14.5" spans="3:3">
      <c r="C1982"/>
    </row>
    <row r="1983" ht="14.5" spans="3:3">
      <c r="C1983"/>
    </row>
    <row r="1984" ht="14.5" spans="3:3">
      <c r="C1984"/>
    </row>
    <row r="1985" ht="14.5" spans="3:3">
      <c r="C1985"/>
    </row>
    <row r="1986" ht="14.5" spans="3:3">
      <c r="C1986"/>
    </row>
    <row r="1987" ht="14.5" spans="3:3">
      <c r="C1987"/>
    </row>
    <row r="1988" ht="14.5" spans="3:3">
      <c r="C1988"/>
    </row>
    <row r="1989" ht="14.5" spans="3:3">
      <c r="C1989"/>
    </row>
    <row r="1990" ht="14.5" spans="3:3">
      <c r="C1990"/>
    </row>
    <row r="1991" ht="14.5" spans="3:3">
      <c r="C1991"/>
    </row>
    <row r="1992" ht="14.5" spans="3:3">
      <c r="C1992"/>
    </row>
    <row r="1993" ht="14.5" spans="3:3">
      <c r="C1993"/>
    </row>
    <row r="1994" ht="14.5" spans="3:3">
      <c r="C1994"/>
    </row>
    <row r="1995" ht="14.5" spans="3:3">
      <c r="C1995"/>
    </row>
    <row r="1996" ht="14.5" spans="3:3">
      <c r="C1996"/>
    </row>
    <row r="1997" ht="14.5" spans="3:3">
      <c r="C1997"/>
    </row>
    <row r="1998" ht="14.5" spans="3:3">
      <c r="C1998"/>
    </row>
    <row r="1999" ht="14.5" spans="3:3">
      <c r="C1999"/>
    </row>
    <row r="2000" ht="14.5" spans="3:3">
      <c r="C2000"/>
    </row>
    <row r="2001" ht="14.5" spans="3:3">
      <c r="C2001"/>
    </row>
    <row r="2002" ht="14.5" spans="3:3">
      <c r="C2002"/>
    </row>
    <row r="2003" ht="14.5" spans="3:3">
      <c r="C2003"/>
    </row>
    <row r="2004" ht="14.5" spans="3:3">
      <c r="C2004"/>
    </row>
    <row r="2005" ht="14.5" spans="3:3">
      <c r="C2005"/>
    </row>
    <row r="2006" ht="14.5" spans="3:3">
      <c r="C2006"/>
    </row>
    <row r="2007" ht="14.5" spans="3:3">
      <c r="C2007"/>
    </row>
    <row r="2008" ht="14.5" spans="3:3">
      <c r="C2008"/>
    </row>
    <row r="2009" ht="14.5" spans="3:3">
      <c r="C2009"/>
    </row>
    <row r="2010" ht="14.5" spans="3:3">
      <c r="C2010"/>
    </row>
    <row r="2011" ht="14.5" spans="3:3">
      <c r="C2011"/>
    </row>
    <row r="2012" ht="14.5" spans="3:3">
      <c r="C2012"/>
    </row>
    <row r="2013" ht="14.5" spans="3:3">
      <c r="C2013"/>
    </row>
    <row r="2014" ht="14.5" spans="3:3">
      <c r="C2014"/>
    </row>
    <row r="2015" ht="14.5" spans="3:3">
      <c r="C2015"/>
    </row>
    <row r="2016" ht="14.5" spans="3:3">
      <c r="C2016"/>
    </row>
    <row r="2017" ht="14.5" spans="3:3">
      <c r="C2017"/>
    </row>
    <row r="2018" ht="14.5" spans="3:3">
      <c r="C2018"/>
    </row>
    <row r="2019" ht="14.5" spans="3:3">
      <c r="C2019"/>
    </row>
    <row r="2020" ht="14.5" spans="3:3">
      <c r="C2020"/>
    </row>
    <row r="2021" ht="14.5" spans="3:3">
      <c r="C2021"/>
    </row>
    <row r="2022" ht="14.5" spans="3:3">
      <c r="C2022"/>
    </row>
    <row r="2023" ht="14.5" spans="3:3">
      <c r="C2023"/>
    </row>
    <row r="2024" ht="14.5" spans="3:3">
      <c r="C2024"/>
    </row>
    <row r="2025" ht="14.5" spans="3:3">
      <c r="C2025"/>
    </row>
    <row r="2026" ht="14.5" spans="3:3">
      <c r="C2026"/>
    </row>
    <row r="2027" ht="14.5" spans="3:3">
      <c r="C2027"/>
    </row>
    <row r="2028" ht="14.5" spans="3:3">
      <c r="C2028"/>
    </row>
    <row r="2029" ht="14.5" spans="3:3">
      <c r="C2029"/>
    </row>
    <row r="2030" ht="14.5" spans="3:3">
      <c r="C2030"/>
    </row>
    <row r="2031" ht="14.5" spans="3:3">
      <c r="C2031"/>
    </row>
    <row r="2032" ht="14.5" spans="3:3">
      <c r="C2032"/>
    </row>
    <row r="2033" ht="14.5" spans="3:3">
      <c r="C2033"/>
    </row>
    <row r="2034" ht="14.5" spans="3:3">
      <c r="C2034"/>
    </row>
    <row r="2035" ht="14.5" spans="3:3">
      <c r="C2035"/>
    </row>
    <row r="2036" ht="14.5" spans="3:3">
      <c r="C2036"/>
    </row>
    <row r="2037" ht="14.5" spans="3:3">
      <c r="C2037"/>
    </row>
    <row r="2038" ht="14.5" spans="3:3">
      <c r="C2038"/>
    </row>
    <row r="2039" ht="14.5" spans="3:3">
      <c r="C2039"/>
    </row>
    <row r="2040" ht="14.5" spans="3:3">
      <c r="C2040"/>
    </row>
    <row r="2041" ht="14.5" spans="3:3">
      <c r="C2041"/>
    </row>
    <row r="2042" ht="14.5" spans="3:3">
      <c r="C2042"/>
    </row>
    <row r="2043" ht="14.5" spans="3:3">
      <c r="C2043"/>
    </row>
    <row r="2044" ht="14.5" spans="3:3">
      <c r="C2044"/>
    </row>
    <row r="2045" ht="14.5" spans="3:3">
      <c r="C2045"/>
    </row>
    <row r="2046" ht="14.5" spans="3:3">
      <c r="C2046"/>
    </row>
    <row r="2047" ht="14.5" spans="3:3">
      <c r="C2047"/>
    </row>
    <row r="2048" ht="14.5" spans="3:3">
      <c r="C2048"/>
    </row>
    <row r="2049" ht="14.5" spans="3:3">
      <c r="C2049"/>
    </row>
    <row r="2050" ht="14.5" spans="3:3">
      <c r="C2050"/>
    </row>
    <row r="2051" ht="14.5" spans="3:3">
      <c r="C2051"/>
    </row>
    <row r="2052" ht="14.5" spans="3:3">
      <c r="C2052"/>
    </row>
    <row r="2053" ht="14.5" spans="3:3">
      <c r="C2053"/>
    </row>
    <row r="2054" ht="14.5" spans="3:3">
      <c r="C2054"/>
    </row>
    <row r="2055" ht="14.5" spans="3:3">
      <c r="C2055"/>
    </row>
    <row r="2056" ht="14.5" spans="3:3">
      <c r="C2056"/>
    </row>
    <row r="2057" ht="14.5" spans="3:3">
      <c r="C2057"/>
    </row>
    <row r="2058" ht="14.5" spans="3:3">
      <c r="C2058"/>
    </row>
    <row r="2059" ht="14.5" spans="3:3">
      <c r="C2059"/>
    </row>
    <row r="2060" ht="14.5" spans="3:3">
      <c r="C2060"/>
    </row>
    <row r="2061" ht="14.5" spans="3:3">
      <c r="C2061"/>
    </row>
    <row r="2062" ht="14.5" spans="3:3">
      <c r="C2062"/>
    </row>
    <row r="2063" ht="14.5" spans="3:3">
      <c r="C2063"/>
    </row>
    <row r="2064" ht="14.5" spans="3:3">
      <c r="C2064"/>
    </row>
    <row r="2065" ht="14.5" spans="3:3">
      <c r="C2065"/>
    </row>
    <row r="2066" ht="14.5" spans="3:3">
      <c r="C2066"/>
    </row>
    <row r="2067" ht="14.5" spans="3:3">
      <c r="C2067"/>
    </row>
    <row r="2068" ht="14.5" spans="3:3">
      <c r="C2068"/>
    </row>
    <row r="2069" ht="14.5" spans="3:3">
      <c r="C2069"/>
    </row>
    <row r="2070" ht="14.5" spans="3:3">
      <c r="C2070"/>
    </row>
    <row r="2071" ht="14.5" spans="3:3">
      <c r="C2071"/>
    </row>
    <row r="2072" ht="14.5" spans="3:3">
      <c r="C2072"/>
    </row>
    <row r="2073" ht="14.5" spans="3:3">
      <c r="C2073"/>
    </row>
    <row r="2074" ht="14.5" spans="3:3">
      <c r="C2074"/>
    </row>
    <row r="2075" ht="14.5" spans="3:3">
      <c r="C2075"/>
    </row>
    <row r="2076" ht="14.5" spans="3:3">
      <c r="C2076"/>
    </row>
    <row r="2077" ht="14.5" spans="3:3">
      <c r="C2077"/>
    </row>
    <row r="2078" ht="14.5" spans="3:3">
      <c r="C2078"/>
    </row>
    <row r="2079" ht="14.5" spans="3:3">
      <c r="C2079"/>
    </row>
    <row r="2080" ht="14.5" spans="3:3">
      <c r="C2080"/>
    </row>
    <row r="2081" ht="14.5" spans="3:3">
      <c r="C2081"/>
    </row>
    <row r="2082" ht="14.5" spans="3:3">
      <c r="C2082"/>
    </row>
    <row r="2083" ht="14.5" spans="3:3">
      <c r="C2083"/>
    </row>
    <row r="2084" ht="14.5" spans="3:3">
      <c r="C2084"/>
    </row>
    <row r="2085" ht="14.5" spans="3:3">
      <c r="C2085"/>
    </row>
    <row r="2086" ht="14.5" spans="3:3">
      <c r="C2086"/>
    </row>
    <row r="2087" ht="14.5" spans="3:3">
      <c r="C2087"/>
    </row>
    <row r="2088" ht="14.5" spans="3:3">
      <c r="C2088"/>
    </row>
    <row r="2089" ht="14.5" spans="3:3">
      <c r="C2089"/>
    </row>
    <row r="2090" ht="14.5" spans="3:3">
      <c r="C2090"/>
    </row>
    <row r="2091" ht="14.5" spans="3:3">
      <c r="C2091"/>
    </row>
    <row r="2092" ht="14.5" spans="3:3">
      <c r="C2092"/>
    </row>
    <row r="2093" ht="14.5" spans="3:3">
      <c r="C2093"/>
    </row>
    <row r="2094" ht="14.5" spans="3:3">
      <c r="C2094"/>
    </row>
    <row r="2095" ht="14.5" spans="3:3">
      <c r="C2095"/>
    </row>
    <row r="2096" ht="14.5" spans="3:3">
      <c r="C2096"/>
    </row>
    <row r="2097" ht="14.5" spans="3:3">
      <c r="C2097"/>
    </row>
    <row r="2098" ht="14.5" spans="3:3">
      <c r="C2098"/>
    </row>
    <row r="2099" ht="14.5" spans="3:3">
      <c r="C2099"/>
    </row>
    <row r="2100" ht="14.5" spans="3:3">
      <c r="C2100"/>
    </row>
    <row r="2101" ht="14.5" spans="3:3">
      <c r="C2101"/>
    </row>
    <row r="2102" ht="14.5" spans="3:3">
      <c r="C2102"/>
    </row>
    <row r="2103" ht="14.5" spans="3:3">
      <c r="C2103"/>
    </row>
    <row r="2104" ht="14.5" spans="3:3">
      <c r="C2104"/>
    </row>
    <row r="2105" ht="14.5" spans="3:3">
      <c r="C2105"/>
    </row>
    <row r="2106" ht="14.5" spans="3:3">
      <c r="C2106"/>
    </row>
    <row r="2107" ht="14.5" spans="3:3">
      <c r="C2107"/>
    </row>
    <row r="2108" ht="14.5" spans="3:3">
      <c r="C2108"/>
    </row>
    <row r="2109" ht="14.5" spans="3:3">
      <c r="C2109"/>
    </row>
    <row r="2110" ht="14.5" spans="3:3">
      <c r="C2110"/>
    </row>
    <row r="2111" ht="14.5" spans="3:3">
      <c r="C2111"/>
    </row>
    <row r="2112" ht="14.5" spans="3:3">
      <c r="C2112"/>
    </row>
    <row r="2113" ht="14.5" spans="3:3">
      <c r="C2113"/>
    </row>
    <row r="2114" ht="14.5" spans="3:3">
      <c r="C2114"/>
    </row>
    <row r="2115" ht="14.5" spans="3:3">
      <c r="C2115"/>
    </row>
    <row r="2116" ht="14.5" spans="3:3">
      <c r="C2116"/>
    </row>
    <row r="2117" ht="14.5" spans="3:3">
      <c r="C2117"/>
    </row>
    <row r="2118" ht="14.5" spans="3:3">
      <c r="C2118"/>
    </row>
    <row r="2119" ht="14.5" spans="3:3">
      <c r="C2119"/>
    </row>
    <row r="2120" ht="14.5" spans="3:3">
      <c r="C2120"/>
    </row>
    <row r="2121" ht="14.5" spans="3:3">
      <c r="C2121"/>
    </row>
    <row r="2122" ht="14.5" spans="3:3">
      <c r="C2122"/>
    </row>
    <row r="2123" ht="14.5" spans="3:3">
      <c r="C2123"/>
    </row>
    <row r="2124" ht="14.5" spans="3:3">
      <c r="C2124"/>
    </row>
    <row r="2125" ht="14.5" spans="3:3">
      <c r="C2125"/>
    </row>
    <row r="2126" ht="14.5" spans="3:3">
      <c r="C2126"/>
    </row>
    <row r="2127" ht="14.5" spans="3:3">
      <c r="C2127"/>
    </row>
    <row r="2128" ht="14.5" spans="3:3">
      <c r="C2128"/>
    </row>
    <row r="2129" ht="14.5" spans="3:3">
      <c r="C2129"/>
    </row>
    <row r="2130" ht="14.5" spans="3:3">
      <c r="C2130"/>
    </row>
    <row r="2131" ht="14.5" spans="3:3">
      <c r="C2131"/>
    </row>
    <row r="2132" ht="14.5" spans="3:3">
      <c r="C2132"/>
    </row>
    <row r="2133" ht="14.5" spans="3:3">
      <c r="C2133"/>
    </row>
    <row r="2134" ht="14.5" spans="3:3">
      <c r="C2134"/>
    </row>
    <row r="2135" ht="14.5" spans="3:3">
      <c r="C2135"/>
    </row>
    <row r="2136" ht="14.5" spans="3:3">
      <c r="C2136"/>
    </row>
    <row r="2137" ht="14.5" spans="3:3">
      <c r="C2137"/>
    </row>
    <row r="2138" ht="14.5" spans="3:3">
      <c r="C2138"/>
    </row>
    <row r="2139" ht="14.5" spans="3:3">
      <c r="C2139"/>
    </row>
    <row r="2140" ht="14.5" spans="3:3">
      <c r="C2140"/>
    </row>
    <row r="2141" ht="14.5" spans="3:3">
      <c r="C2141"/>
    </row>
    <row r="2142" ht="14.5" spans="3:3">
      <c r="C2142"/>
    </row>
    <row r="2143" ht="14.5" spans="3:3">
      <c r="C2143"/>
    </row>
    <row r="2144" ht="14.5" spans="3:3">
      <c r="C2144"/>
    </row>
    <row r="2145" ht="14.5" spans="3:3">
      <c r="C2145"/>
    </row>
    <row r="2146" ht="14.5" spans="3:3">
      <c r="C2146"/>
    </row>
    <row r="2147" ht="14.5" spans="3:3">
      <c r="C2147"/>
    </row>
    <row r="2148" ht="14.5" spans="3:3">
      <c r="C2148"/>
    </row>
    <row r="2149" ht="14.5" spans="3:3">
      <c r="C2149"/>
    </row>
    <row r="2150" ht="14.5" spans="3:3">
      <c r="C2150"/>
    </row>
    <row r="2151" ht="14.5" spans="3:3">
      <c r="C2151"/>
    </row>
    <row r="2152" ht="14.5" spans="3:3">
      <c r="C2152"/>
    </row>
    <row r="2153" ht="14.5" spans="3:3">
      <c r="C2153"/>
    </row>
    <row r="2154" ht="14.5" spans="3:3">
      <c r="C2154"/>
    </row>
    <row r="2155" ht="14.5" spans="3:3">
      <c r="C2155"/>
    </row>
    <row r="2156" ht="14.5" spans="3:3">
      <c r="C2156"/>
    </row>
    <row r="2157" ht="14.5" spans="3:3">
      <c r="C2157"/>
    </row>
    <row r="2158" ht="14.5" spans="3:3">
      <c r="C2158"/>
    </row>
    <row r="2159" ht="14.5" spans="3:3">
      <c r="C2159"/>
    </row>
    <row r="2160" ht="14.5" spans="3:3">
      <c r="C2160"/>
    </row>
    <row r="2161" ht="14.5" spans="3:3">
      <c r="C2161"/>
    </row>
    <row r="2162" ht="14.5" spans="3:3">
      <c r="C2162"/>
    </row>
    <row r="2163" ht="14.5" spans="3:3">
      <c r="C2163"/>
    </row>
    <row r="2164" ht="14.5" spans="3:3">
      <c r="C2164"/>
    </row>
    <row r="2165" ht="14.5" spans="3:3">
      <c r="C2165"/>
    </row>
    <row r="2166" ht="14.5" spans="3:3">
      <c r="C2166"/>
    </row>
    <row r="2167" ht="14.5" spans="3:3">
      <c r="C2167"/>
    </row>
    <row r="2168" ht="14.5" spans="3:3">
      <c r="C2168"/>
    </row>
    <row r="2169" ht="14.5" spans="3:3">
      <c r="C2169"/>
    </row>
    <row r="2170" ht="14.5" spans="3:3">
      <c r="C2170"/>
    </row>
    <row r="2171" ht="14.5" spans="3:3">
      <c r="C2171"/>
    </row>
    <row r="2172" ht="14.5" spans="3:3">
      <c r="C2172"/>
    </row>
    <row r="2173" ht="14.5" spans="3:3">
      <c r="C2173"/>
    </row>
    <row r="2174" ht="14.5" spans="3:3">
      <c r="C2174"/>
    </row>
    <row r="2175" ht="14.5" spans="3:3">
      <c r="C2175"/>
    </row>
    <row r="2176" ht="14.5" spans="3:3">
      <c r="C2176"/>
    </row>
    <row r="2177" ht="14.5" spans="3:3">
      <c r="C2177"/>
    </row>
    <row r="2178" ht="14.5" spans="3:3">
      <c r="C2178"/>
    </row>
    <row r="2179" ht="14.5" spans="3:3">
      <c r="C2179"/>
    </row>
    <row r="2180" ht="14.5" spans="3:3">
      <c r="C2180"/>
    </row>
    <row r="2181" ht="14.5" spans="3:3">
      <c r="C2181"/>
    </row>
    <row r="2182" ht="14.5" spans="3:3">
      <c r="C2182"/>
    </row>
    <row r="2183" ht="14.5" spans="3:3">
      <c r="C2183"/>
    </row>
    <row r="2184" ht="14.5" spans="3:3">
      <c r="C2184"/>
    </row>
    <row r="2185" ht="14.5" spans="3:3">
      <c r="C2185"/>
    </row>
    <row r="2186" ht="14.5" spans="3:3">
      <c r="C2186"/>
    </row>
    <row r="2187" ht="14.5" spans="3:3">
      <c r="C2187"/>
    </row>
    <row r="2188" ht="14.5" spans="3:3">
      <c r="C2188"/>
    </row>
    <row r="2189" ht="14.5" spans="3:3">
      <c r="C2189"/>
    </row>
    <row r="2190" ht="14.5" spans="3:3">
      <c r="C2190"/>
    </row>
    <row r="2191" ht="14.5" spans="3:3">
      <c r="C2191"/>
    </row>
    <row r="2192" ht="14.5" spans="3:3">
      <c r="C2192"/>
    </row>
    <row r="2193" ht="14.5" spans="3:3">
      <c r="C2193"/>
    </row>
    <row r="2194" ht="14.5" spans="3:3">
      <c r="C2194"/>
    </row>
    <row r="2195" ht="14.5" spans="3:3">
      <c r="C2195"/>
    </row>
    <row r="2196" ht="14.5" spans="3:3">
      <c r="C2196"/>
    </row>
    <row r="2197" ht="14.5" spans="3:3">
      <c r="C2197"/>
    </row>
    <row r="2198" ht="14.5" spans="3:3">
      <c r="C2198"/>
    </row>
    <row r="2199" ht="14.5" spans="3:3">
      <c r="C2199"/>
    </row>
    <row r="2200" ht="14.5" spans="3:3">
      <c r="C2200"/>
    </row>
    <row r="2201" ht="14.5" spans="3:3">
      <c r="C2201"/>
    </row>
    <row r="2202" ht="14.5" spans="3:3">
      <c r="C2202"/>
    </row>
    <row r="2203" ht="14.5" spans="3:3">
      <c r="C2203"/>
    </row>
    <row r="2204" ht="14.5" spans="3:3">
      <c r="C2204"/>
    </row>
    <row r="2205" ht="14.5" spans="3:3">
      <c r="C2205"/>
    </row>
    <row r="2206" ht="14.5" spans="3:3">
      <c r="C2206"/>
    </row>
    <row r="2207" ht="14.5" spans="3:3">
      <c r="C2207"/>
    </row>
    <row r="2208" ht="14.5" spans="3:3">
      <c r="C2208"/>
    </row>
    <row r="2209" ht="14.5" spans="3:3">
      <c r="C2209"/>
    </row>
    <row r="2210" ht="14.5" spans="3:3">
      <c r="C2210"/>
    </row>
    <row r="2211" ht="14.5" spans="3:3">
      <c r="C2211"/>
    </row>
    <row r="2212" ht="14.5" spans="3:3">
      <c r="C2212"/>
    </row>
    <row r="2213" ht="14.5" spans="3:3">
      <c r="C2213"/>
    </row>
    <row r="2214" ht="14.5" spans="3:3">
      <c r="C2214"/>
    </row>
    <row r="2215" ht="14.5" spans="3:3">
      <c r="C2215"/>
    </row>
    <row r="2216" ht="14.5" spans="3:3">
      <c r="C2216"/>
    </row>
    <row r="2217" ht="14.5" spans="3:3">
      <c r="C2217"/>
    </row>
    <row r="2218" ht="14.5" spans="3:3">
      <c r="C2218"/>
    </row>
    <row r="2219" ht="14.5" spans="3:3">
      <c r="C2219"/>
    </row>
    <row r="2220" ht="14.5" spans="3:3">
      <c r="C2220"/>
    </row>
    <row r="2221" ht="14.5" spans="3:3">
      <c r="C2221"/>
    </row>
    <row r="2222" ht="14.5" spans="3:3">
      <c r="C2222"/>
    </row>
    <row r="2223" ht="14.5" spans="3:3">
      <c r="C2223"/>
    </row>
    <row r="2224" ht="14.5" spans="3:3">
      <c r="C2224"/>
    </row>
    <row r="2225" ht="14.5" spans="3:3">
      <c r="C2225"/>
    </row>
    <row r="2226" ht="14.5" spans="3:3">
      <c r="C2226"/>
    </row>
    <row r="2227" ht="14.5" spans="3:3">
      <c r="C2227"/>
    </row>
    <row r="2228" ht="14.5" spans="3:3">
      <c r="C2228"/>
    </row>
    <row r="2229" ht="14.5" spans="3:3">
      <c r="C2229"/>
    </row>
    <row r="2230" ht="14.5" spans="3:3">
      <c r="C2230"/>
    </row>
    <row r="2231" ht="14.5" spans="3:3">
      <c r="C2231"/>
    </row>
    <row r="2232" ht="14.5" spans="3:3">
      <c r="C2232"/>
    </row>
    <row r="2233" ht="14.5" spans="3:3">
      <c r="C2233"/>
    </row>
    <row r="2234" ht="14.5" spans="3:3">
      <c r="C2234"/>
    </row>
    <row r="2235" ht="14.5" spans="3:3">
      <c r="C2235"/>
    </row>
    <row r="2236" ht="14.5" spans="3:3">
      <c r="C2236"/>
    </row>
    <row r="2237" ht="14.5" spans="3:3">
      <c r="C2237"/>
    </row>
    <row r="2238" ht="14.5" spans="3:3">
      <c r="C2238"/>
    </row>
    <row r="2239" ht="14.5" spans="3:3">
      <c r="C2239"/>
    </row>
    <row r="2240" ht="14.5" spans="3:3">
      <c r="C2240"/>
    </row>
    <row r="2241" ht="14.5" spans="3:3">
      <c r="C2241"/>
    </row>
    <row r="2242" ht="14.5" spans="3:3">
      <c r="C2242"/>
    </row>
    <row r="2243" ht="14.5" spans="3:3">
      <c r="C2243"/>
    </row>
    <row r="2244" ht="14.5" spans="3:3">
      <c r="C2244"/>
    </row>
    <row r="2245" ht="14.5" spans="3:3">
      <c r="C2245"/>
    </row>
    <row r="2246" ht="14.5" spans="3:3">
      <c r="C2246"/>
    </row>
    <row r="2247" ht="14.5" spans="3:3">
      <c r="C2247"/>
    </row>
    <row r="2248" ht="14.5" spans="3:3">
      <c r="C2248"/>
    </row>
    <row r="2249" ht="14.5" spans="3:3">
      <c r="C2249"/>
    </row>
    <row r="2250" ht="14.5" spans="3:3">
      <c r="C2250"/>
    </row>
    <row r="2251" ht="14.5" spans="3:3">
      <c r="C2251"/>
    </row>
    <row r="2252" ht="14.5" spans="3:3">
      <c r="C2252"/>
    </row>
    <row r="2253" ht="14.5" spans="3:3">
      <c r="C2253"/>
    </row>
    <row r="2254" ht="14.5" spans="3:3">
      <c r="C2254"/>
    </row>
    <row r="2255" ht="14.5" spans="3:3">
      <c r="C2255"/>
    </row>
    <row r="2256" ht="14.5" spans="3:3">
      <c r="C2256"/>
    </row>
    <row r="2257" ht="14.5" spans="3:3">
      <c r="C2257"/>
    </row>
    <row r="2258" ht="14.5" spans="3:3">
      <c r="C2258"/>
    </row>
    <row r="2259" ht="14.5" spans="3:3">
      <c r="C2259"/>
    </row>
    <row r="2260" ht="14.5" spans="3:3">
      <c r="C2260"/>
    </row>
    <row r="2261" ht="14.5" spans="3:3">
      <c r="C2261"/>
    </row>
    <row r="2262" ht="14.5" spans="3:3">
      <c r="C2262"/>
    </row>
    <row r="2263" ht="14.5" spans="3:3">
      <c r="C2263"/>
    </row>
    <row r="2264" ht="14.5" spans="3:3">
      <c r="C2264"/>
    </row>
    <row r="2265" ht="14.5" spans="3:3">
      <c r="C2265"/>
    </row>
    <row r="2266" ht="14.5" spans="3:3">
      <c r="C2266"/>
    </row>
    <row r="2267" ht="14.5" spans="3:3">
      <c r="C2267"/>
    </row>
    <row r="2268" ht="14.5" spans="3:3">
      <c r="C2268"/>
    </row>
    <row r="2269" ht="14.5" spans="3:3">
      <c r="C2269"/>
    </row>
    <row r="2270" ht="14.5" spans="3:3">
      <c r="C2270"/>
    </row>
    <row r="2271" ht="14.5" spans="3:3">
      <c r="C2271"/>
    </row>
    <row r="2272" ht="14.5" spans="3:3">
      <c r="C2272"/>
    </row>
    <row r="2273" ht="14.5" spans="3:3">
      <c r="C2273"/>
    </row>
    <row r="2274" ht="14.5" spans="3:3">
      <c r="C2274"/>
    </row>
    <row r="2275" ht="14.5" spans="3:3">
      <c r="C2275"/>
    </row>
    <row r="2276" ht="14.5" spans="3:3">
      <c r="C2276"/>
    </row>
    <row r="2277" ht="14.5" spans="3:3">
      <c r="C2277"/>
    </row>
    <row r="2278" ht="14.5" spans="3:3">
      <c r="C2278"/>
    </row>
    <row r="2279" ht="14.5" spans="3:3">
      <c r="C2279"/>
    </row>
    <row r="2280" ht="14.5" spans="3:3">
      <c r="C2280"/>
    </row>
    <row r="2281" ht="14.5" spans="3:3">
      <c r="C2281"/>
    </row>
    <row r="2282" ht="14.5" spans="3:3">
      <c r="C2282"/>
    </row>
    <row r="2283" ht="14.5" spans="3:3">
      <c r="C2283"/>
    </row>
    <row r="2284" ht="14.5" spans="3:3">
      <c r="C2284"/>
    </row>
    <row r="2285" ht="14.5" spans="3:3">
      <c r="C2285"/>
    </row>
    <row r="2286" ht="14.5" spans="3:3">
      <c r="C2286"/>
    </row>
    <row r="2287" ht="14.5" spans="3:3">
      <c r="C2287"/>
    </row>
    <row r="2288" ht="14.5" spans="3:3">
      <c r="C2288"/>
    </row>
    <row r="2289" ht="14.5" spans="3:3">
      <c r="C2289"/>
    </row>
    <row r="2290" ht="14.5" spans="3:3">
      <c r="C2290"/>
    </row>
    <row r="2291" ht="14.5" spans="3:3">
      <c r="C2291"/>
    </row>
    <row r="2292" ht="14.5" spans="3:3">
      <c r="C2292"/>
    </row>
    <row r="2293" ht="14.5" spans="3:3">
      <c r="C2293"/>
    </row>
    <row r="2294" ht="14.5" spans="3:3">
      <c r="C2294"/>
    </row>
    <row r="2295" ht="14.5" spans="3:3">
      <c r="C2295"/>
    </row>
    <row r="2296" ht="14.5" spans="3:3">
      <c r="C2296"/>
    </row>
    <row r="2297" ht="14.5" spans="3:3">
      <c r="C2297"/>
    </row>
    <row r="2298" ht="14.5" spans="3:3">
      <c r="C2298"/>
    </row>
    <row r="2299" ht="14.5" spans="3:3">
      <c r="C2299"/>
    </row>
    <row r="2300" ht="14.5" spans="3:3">
      <c r="C2300"/>
    </row>
    <row r="2301" ht="14.5" spans="3:3">
      <c r="C2301"/>
    </row>
    <row r="2302" ht="14.5" spans="3:3">
      <c r="C2302"/>
    </row>
    <row r="2303" ht="14.5" spans="3:3">
      <c r="C2303"/>
    </row>
    <row r="2304" ht="14.5" spans="3:3">
      <c r="C2304"/>
    </row>
    <row r="2305" ht="14.5" spans="3:3">
      <c r="C2305"/>
    </row>
    <row r="2306" ht="14.5" spans="3:3">
      <c r="C2306"/>
    </row>
    <row r="2307" ht="14.5" spans="3:3">
      <c r="C2307"/>
    </row>
    <row r="2308" ht="14.5" spans="3:3">
      <c r="C2308"/>
    </row>
    <row r="2309" ht="14.5" spans="3:3">
      <c r="C2309"/>
    </row>
    <row r="2310" ht="14.5" spans="3:3">
      <c r="C2310"/>
    </row>
    <row r="2311" ht="14.5" spans="3:3">
      <c r="C2311"/>
    </row>
    <row r="2312" ht="14.5" spans="3:3">
      <c r="C2312"/>
    </row>
    <row r="2313" ht="14.5" spans="3:3">
      <c r="C2313"/>
    </row>
    <row r="2314" ht="14.5" spans="3:3">
      <c r="C2314"/>
    </row>
    <row r="2315" ht="14.5" spans="3:3">
      <c r="C2315"/>
    </row>
    <row r="2316" ht="14.5" spans="3:3">
      <c r="C2316"/>
    </row>
    <row r="2317" ht="14.5" spans="3:3">
      <c r="C2317"/>
    </row>
    <row r="2318" ht="14.5" spans="3:3">
      <c r="C2318"/>
    </row>
    <row r="2319" ht="14.5" spans="3:3">
      <c r="C2319"/>
    </row>
    <row r="2320" ht="14.5" spans="3:3">
      <c r="C2320"/>
    </row>
    <row r="2321" ht="14.5" spans="3:3">
      <c r="C2321"/>
    </row>
    <row r="2322" ht="14.5" spans="3:3">
      <c r="C2322"/>
    </row>
    <row r="2323" ht="14.5" spans="3:3">
      <c r="C2323"/>
    </row>
    <row r="2324" ht="14.5" spans="3:3">
      <c r="C2324"/>
    </row>
    <row r="2325" ht="14.5" spans="3:3">
      <c r="C2325"/>
    </row>
    <row r="2326" ht="14.5" spans="3:3">
      <c r="C2326"/>
    </row>
    <row r="2327" ht="14.5" spans="3:3">
      <c r="C2327"/>
    </row>
    <row r="2328" ht="14.5" spans="3:3">
      <c r="C2328"/>
    </row>
    <row r="2329" ht="14.5" spans="3:3">
      <c r="C2329"/>
    </row>
    <row r="2330" ht="14.5" spans="3:3">
      <c r="C2330"/>
    </row>
    <row r="2331" ht="14.5" spans="3:3">
      <c r="C2331"/>
    </row>
    <row r="2332" ht="14.5" spans="3:3">
      <c r="C2332"/>
    </row>
    <row r="2333" ht="14.5" spans="3:3">
      <c r="C2333"/>
    </row>
    <row r="2334" ht="14.5" spans="3:3">
      <c r="C2334"/>
    </row>
    <row r="2335" ht="14.5" spans="3:3">
      <c r="C2335"/>
    </row>
    <row r="2336" ht="14.5" spans="3:3">
      <c r="C2336"/>
    </row>
    <row r="2337" ht="14.5" spans="3:3">
      <c r="C2337"/>
    </row>
    <row r="2338" ht="14.5" spans="3:3">
      <c r="C2338"/>
    </row>
    <row r="2339" ht="14.5" spans="3:3">
      <c r="C2339"/>
    </row>
    <row r="2340" ht="14.5" spans="3:3">
      <c r="C2340"/>
    </row>
    <row r="2341" ht="14.5" spans="3:3">
      <c r="C2341"/>
    </row>
    <row r="2342" ht="14.5" spans="3:3">
      <c r="C2342"/>
    </row>
    <row r="2343" ht="14.5" spans="3:3">
      <c r="C2343"/>
    </row>
    <row r="2344" ht="14.5" spans="3:3">
      <c r="C2344"/>
    </row>
    <row r="2345" ht="14.5" spans="3:3">
      <c r="C2345"/>
    </row>
    <row r="2346" ht="14.5" spans="3:3">
      <c r="C2346"/>
    </row>
    <row r="2347" ht="14.5" spans="3:3">
      <c r="C2347"/>
    </row>
    <row r="2348" ht="14.5" spans="3:3">
      <c r="C2348"/>
    </row>
    <row r="2349" ht="14.5" spans="3:3">
      <c r="C2349"/>
    </row>
    <row r="2350" ht="14.5" spans="3:3">
      <c r="C2350"/>
    </row>
    <row r="2351" ht="14.5" spans="3:3">
      <c r="C2351"/>
    </row>
    <row r="2352" ht="14.5" spans="3:3">
      <c r="C2352"/>
    </row>
    <row r="2353" ht="14.5" spans="3:3">
      <c r="C2353"/>
    </row>
    <row r="2354" ht="14.5" spans="3:3">
      <c r="C2354"/>
    </row>
    <row r="2355" ht="14.5" spans="3:3">
      <c r="C2355"/>
    </row>
    <row r="2356" ht="14.5" spans="3:3">
      <c r="C2356"/>
    </row>
    <row r="2357" ht="14.5" spans="3:3">
      <c r="C2357"/>
    </row>
    <row r="2358" ht="14.5" spans="3:3">
      <c r="C2358"/>
    </row>
    <row r="2359" ht="14.5" spans="3:3">
      <c r="C2359"/>
    </row>
    <row r="2360" ht="14.5" spans="3:3">
      <c r="C2360"/>
    </row>
    <row r="2361" ht="14.5" spans="3:3">
      <c r="C2361"/>
    </row>
    <row r="2362" ht="14.5" spans="3:3">
      <c r="C2362"/>
    </row>
    <row r="2363" ht="14.5" spans="3:3">
      <c r="C2363"/>
    </row>
    <row r="2364" ht="14.5" spans="3:3">
      <c r="C2364"/>
    </row>
    <row r="2365" ht="14.5" spans="3:3">
      <c r="C2365"/>
    </row>
    <row r="2366" ht="14.5" spans="3:3">
      <c r="C2366"/>
    </row>
    <row r="2367" ht="14.5" spans="3:3">
      <c r="C2367"/>
    </row>
    <row r="2368" ht="14.5" spans="3:3">
      <c r="C2368"/>
    </row>
    <row r="2369" ht="14.5" spans="3:3">
      <c r="C2369"/>
    </row>
    <row r="2370" ht="14.5" spans="3:3">
      <c r="C2370"/>
    </row>
    <row r="2371" ht="14.5" spans="3:3">
      <c r="C2371"/>
    </row>
    <row r="2372" ht="14.5" spans="3:3">
      <c r="C2372"/>
    </row>
    <row r="2373" ht="14.5" spans="3:3">
      <c r="C2373"/>
    </row>
    <row r="2374" ht="14.5" spans="3:3">
      <c r="C2374"/>
    </row>
    <row r="2375" ht="14.5" spans="3:3">
      <c r="C2375"/>
    </row>
    <row r="2376" ht="14.5" spans="3:3">
      <c r="C2376"/>
    </row>
    <row r="2377" ht="14.5" spans="3:3">
      <c r="C2377"/>
    </row>
    <row r="2378" ht="14.5" spans="3:3">
      <c r="C2378"/>
    </row>
    <row r="2379" ht="14.5" spans="3:3">
      <c r="C2379"/>
    </row>
    <row r="2380" ht="14.5" spans="3:3">
      <c r="C2380"/>
    </row>
    <row r="2381" ht="14.5" spans="3:3">
      <c r="C2381"/>
    </row>
    <row r="2382" ht="14.5" spans="3:3">
      <c r="C2382"/>
    </row>
    <row r="2383" ht="14.5" spans="3:3">
      <c r="C2383"/>
    </row>
    <row r="2384" ht="14.5" spans="3:3">
      <c r="C2384"/>
    </row>
    <row r="2385" ht="14.5" spans="3:3">
      <c r="C2385"/>
    </row>
    <row r="2386" ht="14.5" spans="3:3">
      <c r="C2386"/>
    </row>
    <row r="2387" ht="14.5" spans="3:3">
      <c r="C2387"/>
    </row>
    <row r="2388" ht="14.5" spans="3:3">
      <c r="C2388"/>
    </row>
    <row r="2389" ht="14.5" spans="3:3">
      <c r="C2389"/>
    </row>
    <row r="2390" ht="14.5" spans="3:3">
      <c r="C2390"/>
    </row>
    <row r="2391" ht="14.5" spans="3:3">
      <c r="C2391"/>
    </row>
    <row r="2392" ht="14.5" spans="3:3">
      <c r="C2392"/>
    </row>
    <row r="2393" ht="14.5" spans="3:3">
      <c r="C2393"/>
    </row>
    <row r="2394" ht="14.5" spans="3:3">
      <c r="C2394"/>
    </row>
    <row r="2395" ht="14.5" spans="3:3">
      <c r="C2395"/>
    </row>
    <row r="2396" ht="14.5" spans="3:3">
      <c r="C2396"/>
    </row>
    <row r="2397" ht="14.5" spans="3:3">
      <c r="C2397"/>
    </row>
    <row r="2398" ht="14.5" spans="3:3">
      <c r="C2398"/>
    </row>
    <row r="2399" ht="14.5" spans="3:3">
      <c r="C2399"/>
    </row>
    <row r="2400" ht="14.5" spans="3:3">
      <c r="C2400"/>
    </row>
    <row r="2401" ht="14.5" spans="3:3">
      <c r="C2401"/>
    </row>
    <row r="2402" ht="14.5" spans="3:3">
      <c r="C2402"/>
    </row>
    <row r="2403" ht="14.5" spans="3:3">
      <c r="C2403"/>
    </row>
    <row r="2404" ht="14.5" spans="3:3">
      <c r="C2404"/>
    </row>
    <row r="2405" ht="14.5" spans="3:3">
      <c r="C2405"/>
    </row>
    <row r="2406" ht="14.5" spans="3:3">
      <c r="C2406"/>
    </row>
    <row r="2407" ht="14.5" spans="3:3">
      <c r="C2407"/>
    </row>
    <row r="2408" ht="14.5" spans="3:3">
      <c r="C2408"/>
    </row>
    <row r="2409" ht="14.5" spans="3:3">
      <c r="C2409"/>
    </row>
    <row r="2410" ht="14.5" spans="3:3">
      <c r="C2410"/>
    </row>
    <row r="2411" ht="14.5" spans="3:3">
      <c r="C2411"/>
    </row>
    <row r="2412" ht="14.5" spans="3:3">
      <c r="C2412"/>
    </row>
    <row r="2413" ht="14.5" spans="3:3">
      <c r="C2413"/>
    </row>
    <row r="2414" ht="14.5" spans="3:3">
      <c r="C2414"/>
    </row>
    <row r="2415" ht="14.5" spans="3:3">
      <c r="C2415"/>
    </row>
    <row r="2416" ht="14.5" spans="3:3">
      <c r="C2416"/>
    </row>
    <row r="2417" ht="14.5" spans="3:3">
      <c r="C2417"/>
    </row>
    <row r="2418" ht="14.5" spans="3:3">
      <c r="C2418"/>
    </row>
    <row r="2419" ht="14.5" spans="3:3">
      <c r="C2419"/>
    </row>
    <row r="2420" ht="14.5" spans="3:3">
      <c r="C2420"/>
    </row>
    <row r="2421" ht="14.5" spans="3:3">
      <c r="C2421"/>
    </row>
    <row r="2422" ht="14.5" spans="3:3">
      <c r="C2422"/>
    </row>
    <row r="2423" ht="14.5" spans="3:3">
      <c r="C2423"/>
    </row>
    <row r="2424" ht="14.5" spans="3:3">
      <c r="C2424"/>
    </row>
    <row r="2425" ht="14.5" spans="3:3">
      <c r="C2425"/>
    </row>
    <row r="2426" ht="14.5" spans="3:3">
      <c r="C2426"/>
    </row>
    <row r="2427" ht="14.5" spans="3:3">
      <c r="C2427"/>
    </row>
    <row r="2428" ht="14.5" spans="3:3">
      <c r="C2428"/>
    </row>
    <row r="2429" ht="14.5" spans="3:3">
      <c r="C2429"/>
    </row>
    <row r="2430" ht="14.5" spans="3:3">
      <c r="C2430"/>
    </row>
    <row r="2431" ht="14.5" spans="3:3">
      <c r="C2431"/>
    </row>
    <row r="2432" ht="14.5" spans="3:3">
      <c r="C2432"/>
    </row>
    <row r="2433" ht="14.5" spans="3:3">
      <c r="C2433"/>
    </row>
    <row r="2434" ht="14.5" spans="3:3">
      <c r="C2434"/>
    </row>
    <row r="2435" ht="14.5" spans="3:3">
      <c r="C2435"/>
    </row>
    <row r="2436" ht="14.5" spans="3:3">
      <c r="C2436"/>
    </row>
    <row r="2437" ht="14.5" spans="3:3">
      <c r="C2437"/>
    </row>
    <row r="2438" ht="14.5" spans="3:3">
      <c r="C2438"/>
    </row>
    <row r="2439" ht="14.5" spans="3:3">
      <c r="C2439"/>
    </row>
    <row r="2440" ht="14.5" spans="3:3">
      <c r="C2440"/>
    </row>
    <row r="2441" ht="14.5" spans="3:3">
      <c r="C2441"/>
    </row>
    <row r="2442" ht="14.5" spans="3:3">
      <c r="C2442"/>
    </row>
    <row r="2443" ht="14.5" spans="3:3">
      <c r="C2443"/>
    </row>
    <row r="2444" ht="14.5" spans="3:3">
      <c r="C2444"/>
    </row>
    <row r="2445" ht="14.5" spans="3:3">
      <c r="C2445"/>
    </row>
    <row r="2446" ht="14.5" spans="3:3">
      <c r="C2446"/>
    </row>
    <row r="2447" ht="14.5" spans="3:3">
      <c r="C2447"/>
    </row>
    <row r="2448" ht="14.5" spans="3:3">
      <c r="C2448"/>
    </row>
    <row r="2449" ht="14.5" spans="3:3">
      <c r="C2449"/>
    </row>
    <row r="2450" ht="14.5" spans="3:3">
      <c r="C2450"/>
    </row>
    <row r="2451" ht="14.5" spans="3:3">
      <c r="C2451"/>
    </row>
    <row r="2452" ht="14.5" spans="3:3">
      <c r="C2452"/>
    </row>
    <row r="2453" ht="14.5" spans="3:3">
      <c r="C2453"/>
    </row>
    <row r="2454" ht="14.5" spans="3:3">
      <c r="C2454"/>
    </row>
    <row r="2455" ht="14.5" spans="3:3">
      <c r="C2455"/>
    </row>
    <row r="2456" ht="14.5" spans="3:3">
      <c r="C2456"/>
    </row>
    <row r="2457" ht="14.5" spans="3:3">
      <c r="C2457"/>
    </row>
    <row r="2458" ht="14.5" spans="3:3">
      <c r="C2458"/>
    </row>
    <row r="2459" ht="14.5" spans="3:3">
      <c r="C2459"/>
    </row>
    <row r="2460" ht="14.5" spans="3:3">
      <c r="C2460"/>
    </row>
    <row r="2461" ht="14.5" spans="3:3">
      <c r="C2461"/>
    </row>
    <row r="2462" ht="14.5" spans="3:3">
      <c r="C2462"/>
    </row>
    <row r="2463" ht="14.5" spans="3:3">
      <c r="C2463"/>
    </row>
    <row r="2464" ht="14.5" spans="3:3">
      <c r="C2464"/>
    </row>
    <row r="2465" ht="14.5" spans="3:3">
      <c r="C2465"/>
    </row>
    <row r="2466" ht="14.5" spans="3:3">
      <c r="C2466"/>
    </row>
    <row r="2467" ht="14.5" spans="3:3">
      <c r="C2467"/>
    </row>
    <row r="2468" ht="14.5" spans="3:3">
      <c r="C2468"/>
    </row>
    <row r="2469" ht="14.5" spans="3:3">
      <c r="C2469"/>
    </row>
    <row r="2470" ht="14.5" spans="3:3">
      <c r="C2470"/>
    </row>
    <row r="2471" ht="14.5" spans="3:3">
      <c r="C2471"/>
    </row>
    <row r="2472" ht="14.5" spans="3:3">
      <c r="C2472"/>
    </row>
    <row r="2473" ht="14.5" spans="3:3">
      <c r="C2473"/>
    </row>
    <row r="2474" ht="14.5" spans="3:3">
      <c r="C2474"/>
    </row>
    <row r="2475" ht="14.5" spans="3:3">
      <c r="C2475"/>
    </row>
    <row r="2476" ht="14.5" spans="3:3">
      <c r="C2476"/>
    </row>
    <row r="2477" ht="14.5" spans="3:3">
      <c r="C2477"/>
    </row>
    <row r="2478" ht="14.5" spans="3:3">
      <c r="C2478"/>
    </row>
    <row r="2479" ht="14.5" spans="3:3">
      <c r="C2479"/>
    </row>
    <row r="2480" ht="14.5" spans="3:3">
      <c r="C2480"/>
    </row>
    <row r="2481" ht="14.5" spans="3:3">
      <c r="C2481"/>
    </row>
    <row r="2482" ht="14.5" spans="3:3">
      <c r="C2482"/>
    </row>
    <row r="2483" ht="14.5" spans="3:3">
      <c r="C2483"/>
    </row>
    <row r="2484" ht="14.5" spans="3:3">
      <c r="C2484"/>
    </row>
    <row r="2485" ht="14.5" spans="3:3">
      <c r="C2485"/>
    </row>
    <row r="2486" ht="14.5" spans="3:3">
      <c r="C2486"/>
    </row>
    <row r="2487" ht="14.5" spans="3:3">
      <c r="C2487"/>
    </row>
    <row r="2488" ht="14.5" spans="3:3">
      <c r="C2488"/>
    </row>
    <row r="2489" ht="14.5" spans="3:3">
      <c r="C2489"/>
    </row>
    <row r="2490" ht="14.5" spans="3:3">
      <c r="C2490"/>
    </row>
    <row r="2491" ht="14.5" spans="3:3">
      <c r="C2491"/>
    </row>
    <row r="2492" ht="14.5" spans="3:3">
      <c r="C2492"/>
    </row>
    <row r="2493" ht="14.5" spans="3:3">
      <c r="C2493"/>
    </row>
    <row r="2494" ht="14.5" spans="3:3">
      <c r="C2494"/>
    </row>
    <row r="2495" ht="14.5" spans="3:3">
      <c r="C2495"/>
    </row>
    <row r="2496" ht="14.5" spans="3:3">
      <c r="C2496"/>
    </row>
    <row r="2497" ht="14.5" spans="3:3">
      <c r="C2497"/>
    </row>
    <row r="2498" ht="14.5" spans="3:3">
      <c r="C2498"/>
    </row>
    <row r="2499" ht="14.5" spans="3:3">
      <c r="C2499"/>
    </row>
    <row r="2500" ht="14.5" spans="3:3">
      <c r="C2500"/>
    </row>
    <row r="2501" ht="14.5" spans="3:3">
      <c r="C2501"/>
    </row>
    <row r="2502" ht="14.5" spans="3:3">
      <c r="C2502"/>
    </row>
    <row r="2503" ht="14.5" spans="3:3">
      <c r="C2503"/>
    </row>
    <row r="2504" ht="14.5" spans="3:3">
      <c r="C2504"/>
    </row>
    <row r="2505" ht="14.5" spans="3:3">
      <c r="C2505"/>
    </row>
    <row r="2506" ht="14.5" spans="3:3">
      <c r="C2506"/>
    </row>
    <row r="2507" ht="14.5" spans="3:3">
      <c r="C2507"/>
    </row>
    <row r="2508" ht="14.5" spans="3:3">
      <c r="C2508"/>
    </row>
    <row r="2509" ht="14.5" spans="3:3">
      <c r="C2509"/>
    </row>
    <row r="2510" ht="14.5" spans="3:3">
      <c r="C2510"/>
    </row>
    <row r="2511" ht="14.5" spans="3:3">
      <c r="C2511"/>
    </row>
    <row r="2512" ht="14.5" spans="3:3">
      <c r="C2512"/>
    </row>
    <row r="2513" ht="14.5" spans="3:3">
      <c r="C2513"/>
    </row>
    <row r="2514" ht="14.5" spans="3:3">
      <c r="C2514"/>
    </row>
    <row r="2515" ht="14.5" spans="3:3">
      <c r="C2515"/>
    </row>
    <row r="2516" ht="14.5" spans="3:3">
      <c r="C2516"/>
    </row>
    <row r="2517" ht="14.5" spans="3:3">
      <c r="C2517"/>
    </row>
    <row r="2518" ht="14.5" spans="3:3">
      <c r="C2518"/>
    </row>
    <row r="2519" ht="14.5" spans="3:3">
      <c r="C2519"/>
    </row>
    <row r="2520" ht="14.5" spans="3:3">
      <c r="C2520"/>
    </row>
    <row r="2521" ht="14.5" spans="3:3">
      <c r="C2521"/>
    </row>
    <row r="2522" ht="14.5" spans="3:3">
      <c r="C2522"/>
    </row>
    <row r="2523" ht="14.5" spans="3:3">
      <c r="C2523"/>
    </row>
    <row r="2524" ht="14.5" spans="3:3">
      <c r="C2524"/>
    </row>
    <row r="2525" ht="14.5" spans="3:3">
      <c r="C2525"/>
    </row>
    <row r="2526" ht="14.5" spans="3:3">
      <c r="C2526"/>
    </row>
    <row r="2527" ht="14.5" spans="3:3">
      <c r="C2527"/>
    </row>
    <row r="2528" ht="14.5" spans="3:3">
      <c r="C2528"/>
    </row>
    <row r="2529" ht="14.5" spans="3:3">
      <c r="C2529"/>
    </row>
    <row r="2530" ht="14.5" spans="3:3">
      <c r="C2530"/>
    </row>
    <row r="2531" ht="14.5" spans="3:3">
      <c r="C2531"/>
    </row>
    <row r="2532" ht="14.5" spans="3:3">
      <c r="C2532"/>
    </row>
    <row r="2533" ht="14.5" spans="3:3">
      <c r="C2533"/>
    </row>
    <row r="2534" ht="14.5" spans="3:3">
      <c r="C2534"/>
    </row>
    <row r="2535" ht="14.5" spans="3:3">
      <c r="C2535"/>
    </row>
    <row r="2536" ht="14.5" spans="3:3">
      <c r="C2536"/>
    </row>
    <row r="2537" ht="14.5" spans="3:3">
      <c r="C2537"/>
    </row>
    <row r="2538" ht="14.5" spans="3:3">
      <c r="C2538"/>
    </row>
    <row r="2539" ht="14.5" spans="3:3">
      <c r="C2539"/>
    </row>
    <row r="2540" ht="14.5" spans="3:3">
      <c r="C2540"/>
    </row>
    <row r="2541" ht="14.5" spans="3:3">
      <c r="C2541"/>
    </row>
    <row r="2542" ht="14.5" spans="3:3">
      <c r="C2542"/>
    </row>
    <row r="2543" ht="14.5" spans="3:3">
      <c r="C2543"/>
    </row>
    <row r="2544" ht="14.5" spans="3:3">
      <c r="C2544"/>
    </row>
    <row r="2545" ht="14.5" spans="3:3">
      <c r="C2545"/>
    </row>
    <row r="2546" ht="14.5" spans="3:3">
      <c r="C2546"/>
    </row>
    <row r="2547" ht="14.5" spans="3:3">
      <c r="C2547"/>
    </row>
    <row r="2548" ht="14.5" spans="3:3">
      <c r="C2548"/>
    </row>
    <row r="2549" ht="14.5" spans="3:3">
      <c r="C2549"/>
    </row>
    <row r="2550" ht="14.5" spans="3:3">
      <c r="C2550"/>
    </row>
    <row r="2551" ht="14.5" spans="3:3">
      <c r="C2551"/>
    </row>
    <row r="2552" ht="14.5" spans="3:3">
      <c r="C2552"/>
    </row>
    <row r="2553" ht="14.5" spans="3:3">
      <c r="C2553"/>
    </row>
    <row r="2554" ht="14.5" spans="3:3">
      <c r="C2554"/>
    </row>
    <row r="2555" ht="14.5" spans="3:3">
      <c r="C2555"/>
    </row>
    <row r="2556" ht="14.5" spans="3:3">
      <c r="C2556"/>
    </row>
    <row r="2557" ht="14.5" spans="3:3">
      <c r="C2557"/>
    </row>
    <row r="2558" ht="14.5" spans="3:3">
      <c r="C2558"/>
    </row>
    <row r="2559" ht="14.5" spans="3:3">
      <c r="C2559"/>
    </row>
    <row r="2560" ht="14.5" spans="3:3">
      <c r="C2560"/>
    </row>
    <row r="2561" ht="14.5" spans="3:3">
      <c r="C2561"/>
    </row>
    <row r="2562" ht="14.5" spans="3:3">
      <c r="C2562"/>
    </row>
    <row r="2563" ht="14.5" spans="3:3">
      <c r="C2563"/>
    </row>
    <row r="2564" ht="14.5" spans="3:3">
      <c r="C2564"/>
    </row>
    <row r="2565" ht="14.5" spans="3:3">
      <c r="C2565"/>
    </row>
    <row r="2566" ht="14.5" spans="3:3">
      <c r="C2566"/>
    </row>
    <row r="2567" ht="14.5" spans="3:3">
      <c r="C2567"/>
    </row>
    <row r="2568" ht="14.5" spans="3:3">
      <c r="C2568"/>
    </row>
    <row r="2569" ht="14.5" spans="3:3">
      <c r="C2569"/>
    </row>
    <row r="2570" ht="14.5" spans="3:3">
      <c r="C2570"/>
    </row>
    <row r="2571" ht="14.5" spans="3:3">
      <c r="C2571"/>
    </row>
    <row r="2572" ht="14.5" spans="3:3">
      <c r="C2572"/>
    </row>
    <row r="2573" ht="14.5" spans="3:3">
      <c r="C2573"/>
    </row>
    <row r="2574" ht="14.5" spans="3:3">
      <c r="C2574"/>
    </row>
    <row r="2575" ht="14.5" spans="3:3">
      <c r="C2575"/>
    </row>
    <row r="2576" ht="14.5" spans="3:3">
      <c r="C2576"/>
    </row>
    <row r="2577" ht="14.5" spans="3:3">
      <c r="C2577"/>
    </row>
    <row r="2578" ht="14.5" spans="3:3">
      <c r="C2578"/>
    </row>
    <row r="2579" ht="14.5" spans="3:3">
      <c r="C2579"/>
    </row>
    <row r="2580" ht="14.5" spans="3:3">
      <c r="C2580"/>
    </row>
    <row r="2581" ht="14.5" spans="3:3">
      <c r="C2581"/>
    </row>
    <row r="2582" ht="14.5" spans="3:3">
      <c r="C2582"/>
    </row>
    <row r="2583" ht="14.5" spans="3:3">
      <c r="C2583"/>
    </row>
    <row r="2584" ht="14.5" spans="3:3">
      <c r="C2584"/>
    </row>
    <row r="2585" ht="14.5" spans="3:3">
      <c r="C2585"/>
    </row>
    <row r="2586" ht="14.5" spans="3:3">
      <c r="C2586"/>
    </row>
    <row r="2587" ht="14.5" spans="3:3">
      <c r="C2587"/>
    </row>
    <row r="2588" ht="14.5" spans="3:3">
      <c r="C2588"/>
    </row>
    <row r="2589" ht="14.5" spans="3:3">
      <c r="C2589"/>
    </row>
    <row r="2590" ht="14.5" spans="3:3">
      <c r="C2590"/>
    </row>
    <row r="2591" ht="14.5" spans="3:3">
      <c r="C2591"/>
    </row>
    <row r="2592" ht="14.5" spans="3:3">
      <c r="C2592"/>
    </row>
    <row r="2593" ht="14.5" spans="3:3">
      <c r="C2593"/>
    </row>
    <row r="2594" ht="14.5" spans="3:3">
      <c r="C2594"/>
    </row>
    <row r="2595" ht="14.5" spans="3:3">
      <c r="C2595"/>
    </row>
    <row r="2596" ht="14.5" spans="3:3">
      <c r="C2596"/>
    </row>
    <row r="2597" ht="14.5" spans="3:3">
      <c r="C2597"/>
    </row>
    <row r="2598" ht="14.5" spans="3:3">
      <c r="C2598"/>
    </row>
    <row r="2599" ht="14.5" spans="3:3">
      <c r="C2599"/>
    </row>
    <row r="2600" ht="14.5" spans="3:3">
      <c r="C2600"/>
    </row>
    <row r="2601" ht="14.5" spans="3:3">
      <c r="C2601"/>
    </row>
    <row r="2602" ht="14.5" spans="3:3">
      <c r="C2602"/>
    </row>
    <row r="2603" ht="14.5" spans="3:3">
      <c r="C2603"/>
    </row>
    <row r="2604" ht="14.5" spans="3:3">
      <c r="C2604"/>
    </row>
    <row r="2605" ht="14.5" spans="3:3">
      <c r="C2605"/>
    </row>
    <row r="2606" ht="14.5" spans="3:3">
      <c r="C2606"/>
    </row>
    <row r="2607" ht="14.5" spans="3:3">
      <c r="C2607"/>
    </row>
    <row r="2608" ht="14.5" spans="3:3">
      <c r="C2608"/>
    </row>
    <row r="2609" ht="14.5" spans="3:3">
      <c r="C2609"/>
    </row>
    <row r="2610" ht="14.5" spans="3:3">
      <c r="C2610"/>
    </row>
    <row r="2611" ht="14.5" spans="3:3">
      <c r="C2611"/>
    </row>
    <row r="2612" ht="14.5" spans="3:3">
      <c r="C2612"/>
    </row>
    <row r="2613" ht="14.5" spans="3:3">
      <c r="C2613"/>
    </row>
    <row r="2614" ht="14.5" spans="3:3">
      <c r="C2614"/>
    </row>
    <row r="2615" ht="14.5" spans="3:3">
      <c r="C2615"/>
    </row>
    <row r="2616" ht="14.5" spans="3:3">
      <c r="C2616"/>
    </row>
    <row r="2617" ht="14.5" spans="3:3">
      <c r="C2617"/>
    </row>
    <row r="2618" ht="14.5" spans="3:3">
      <c r="C2618"/>
    </row>
    <row r="2619" ht="14.5" spans="3:3">
      <c r="C2619"/>
    </row>
    <row r="2620" ht="14.5" spans="3:3">
      <c r="C2620"/>
    </row>
    <row r="2621" ht="14.5" spans="3:3">
      <c r="C2621"/>
    </row>
    <row r="2622" ht="14.5" spans="3:3">
      <c r="C2622"/>
    </row>
    <row r="2623" ht="14.5" spans="3:3">
      <c r="C2623"/>
    </row>
    <row r="2624" ht="14.5" spans="3:3">
      <c r="C2624"/>
    </row>
    <row r="2625" ht="14.5" spans="3:3">
      <c r="C2625"/>
    </row>
    <row r="2626" ht="14.5" spans="3:3">
      <c r="C2626"/>
    </row>
    <row r="2627" ht="14.5" spans="3:3">
      <c r="C2627"/>
    </row>
    <row r="2628" ht="14.5" spans="3:3">
      <c r="C2628"/>
    </row>
    <row r="2629" ht="14.5" spans="3:3">
      <c r="C2629"/>
    </row>
    <row r="2630" ht="14.5" spans="3:3">
      <c r="C2630"/>
    </row>
    <row r="2631" ht="14.5" spans="3:3">
      <c r="C2631"/>
    </row>
    <row r="2632" ht="14.5" spans="3:3">
      <c r="C2632"/>
    </row>
    <row r="2633" ht="14.5" spans="3:3">
      <c r="C2633"/>
    </row>
    <row r="2634" ht="14.5" spans="3:3">
      <c r="C2634"/>
    </row>
    <row r="2635" ht="14.5" spans="3:3">
      <c r="C2635"/>
    </row>
    <row r="2636" ht="14.5" spans="3:3">
      <c r="C2636"/>
    </row>
    <row r="2637" ht="14.5" spans="3:3">
      <c r="C2637"/>
    </row>
    <row r="2638" ht="14.5" spans="3:3">
      <c r="C2638"/>
    </row>
    <row r="2639" ht="14.5" spans="3:3">
      <c r="C2639"/>
    </row>
    <row r="2640" ht="14.5" spans="3:3">
      <c r="C2640"/>
    </row>
    <row r="2641" ht="14.5" spans="3:3">
      <c r="C2641"/>
    </row>
    <row r="2642" ht="14.5" spans="3:3">
      <c r="C2642"/>
    </row>
    <row r="2643" ht="14.5" spans="3:3">
      <c r="C2643"/>
    </row>
    <row r="2644" ht="14.5" spans="3:3">
      <c r="C2644"/>
    </row>
    <row r="2645" ht="14.5" spans="3:3">
      <c r="C2645"/>
    </row>
    <row r="2646" ht="14.5" spans="3:3">
      <c r="C2646"/>
    </row>
    <row r="2647" ht="14.5" spans="3:3">
      <c r="C2647"/>
    </row>
    <row r="2648" ht="14.5" spans="3:3">
      <c r="C2648"/>
    </row>
    <row r="2649" ht="14.5" spans="3:3">
      <c r="C2649"/>
    </row>
    <row r="2650" ht="14.5" spans="3:3">
      <c r="C2650"/>
    </row>
    <row r="2651" ht="14.5" spans="3:3">
      <c r="C2651"/>
    </row>
    <row r="2652" ht="14.5" spans="3:3">
      <c r="C2652"/>
    </row>
    <row r="2653" ht="14.5" spans="3:3">
      <c r="C2653"/>
    </row>
    <row r="2654" ht="14.5" spans="3:3">
      <c r="C2654"/>
    </row>
    <row r="2655" ht="14.5" spans="3:3">
      <c r="C2655"/>
    </row>
    <row r="2656" ht="14.5" spans="3:3">
      <c r="C2656"/>
    </row>
    <row r="2657" ht="14.5" spans="3:3">
      <c r="C2657"/>
    </row>
    <row r="2658" ht="14.5" spans="3:3">
      <c r="C2658"/>
    </row>
    <row r="2659" ht="14.5" spans="3:3">
      <c r="C2659"/>
    </row>
    <row r="2660" ht="14.5" spans="3:3">
      <c r="C2660"/>
    </row>
    <row r="2661" ht="14.5" spans="3:3">
      <c r="C2661"/>
    </row>
    <row r="2662" ht="14.5" spans="3:3">
      <c r="C2662"/>
    </row>
    <row r="2663" ht="14.5" spans="3:3">
      <c r="C2663"/>
    </row>
    <row r="2664" ht="14.5" spans="3:3">
      <c r="C2664"/>
    </row>
    <row r="2665" ht="14.5" spans="3:3">
      <c r="C2665"/>
    </row>
    <row r="2666" ht="14.5" spans="3:3">
      <c r="C2666"/>
    </row>
    <row r="2667" ht="14.5" spans="3:3">
      <c r="C2667"/>
    </row>
    <row r="2668" ht="14.5" spans="3:3">
      <c r="C2668"/>
    </row>
    <row r="2669" ht="14.5" spans="3:3">
      <c r="C2669"/>
    </row>
    <row r="2670" ht="14.5" spans="3:3">
      <c r="C2670"/>
    </row>
    <row r="2671" ht="14.5" spans="3:3">
      <c r="C2671"/>
    </row>
    <row r="2672" ht="14.5" spans="3:3">
      <c r="C2672"/>
    </row>
    <row r="2673" ht="14.5" spans="3:3">
      <c r="C2673"/>
    </row>
    <row r="2674" ht="14.5" spans="3:3">
      <c r="C2674"/>
    </row>
    <row r="2675" ht="14.5" spans="3:3">
      <c r="C2675"/>
    </row>
    <row r="2676" ht="14.5" spans="3:3">
      <c r="C2676"/>
    </row>
    <row r="2677" ht="14.5" spans="3:3">
      <c r="C2677"/>
    </row>
    <row r="2678" ht="14.5" spans="3:3">
      <c r="C2678"/>
    </row>
    <row r="2679" ht="14.5" spans="3:3">
      <c r="C2679"/>
    </row>
    <row r="2680" ht="14.5" spans="3:3">
      <c r="C2680"/>
    </row>
    <row r="2681" ht="14.5" spans="3:3">
      <c r="C2681"/>
    </row>
    <row r="2682" ht="14.5" spans="3:3">
      <c r="C2682"/>
    </row>
    <row r="2683" ht="14.5" spans="3:3">
      <c r="C2683"/>
    </row>
    <row r="2684" ht="14.5" spans="3:3">
      <c r="C2684"/>
    </row>
    <row r="2685" ht="14.5" spans="3:3">
      <c r="C2685"/>
    </row>
    <row r="2686" ht="14.5" spans="3:3">
      <c r="C2686"/>
    </row>
    <row r="2687" ht="14.5" spans="3:3">
      <c r="C2687"/>
    </row>
    <row r="2688" ht="14.5" spans="3:3">
      <c r="C2688"/>
    </row>
    <row r="2689" ht="14.5" spans="3:3">
      <c r="C2689"/>
    </row>
    <row r="2690" ht="14.5" spans="3:3">
      <c r="C2690"/>
    </row>
    <row r="2691" ht="14.5" spans="3:3">
      <c r="C2691"/>
    </row>
    <row r="2692" ht="14.5" spans="3:3">
      <c r="C2692"/>
    </row>
    <row r="2693" ht="14.5" spans="3:3">
      <c r="C2693"/>
    </row>
    <row r="2694" ht="14.5" spans="3:3">
      <c r="C2694"/>
    </row>
    <row r="2695" ht="14.5" spans="3:3">
      <c r="C2695"/>
    </row>
    <row r="2696" ht="14.5" spans="3:3">
      <c r="C2696"/>
    </row>
    <row r="2697" ht="14.5" spans="3:3">
      <c r="C2697"/>
    </row>
    <row r="2698" ht="14.5" spans="3:3">
      <c r="C2698"/>
    </row>
    <row r="2699" ht="14.5" spans="3:3">
      <c r="C2699"/>
    </row>
    <row r="2700" ht="14.5" spans="3:3">
      <c r="C2700"/>
    </row>
    <row r="2701" ht="14.5" spans="3:3">
      <c r="C2701"/>
    </row>
    <row r="2702" ht="14.5" spans="3:3">
      <c r="C2702"/>
    </row>
    <row r="2703" ht="14.5" spans="3:3">
      <c r="C2703"/>
    </row>
    <row r="2704" ht="14.5" spans="3:3">
      <c r="C2704"/>
    </row>
    <row r="2705" ht="14.5" spans="3:3">
      <c r="C2705"/>
    </row>
    <row r="2706" ht="14.5" spans="3:3">
      <c r="C2706"/>
    </row>
    <row r="2707" ht="14.5" spans="3:3">
      <c r="C2707"/>
    </row>
    <row r="2708" ht="14.5" spans="3:3">
      <c r="C2708"/>
    </row>
    <row r="2709" ht="14.5" spans="3:3">
      <c r="C2709"/>
    </row>
    <row r="2710" ht="14.5" spans="3:3">
      <c r="C2710"/>
    </row>
    <row r="2711" ht="14.5" spans="3:3">
      <c r="C2711"/>
    </row>
    <row r="2712" ht="14.5" spans="3:3">
      <c r="C2712"/>
    </row>
    <row r="2713" ht="14.5" spans="3:3">
      <c r="C2713"/>
    </row>
    <row r="2714" ht="14.5" spans="3:3">
      <c r="C2714"/>
    </row>
    <row r="2715" ht="14.5" spans="3:3">
      <c r="C2715"/>
    </row>
    <row r="2716" ht="14.5" spans="3:3">
      <c r="C2716"/>
    </row>
    <row r="2717" ht="14.5" spans="3:3">
      <c r="C2717"/>
    </row>
    <row r="2718" ht="14.5" spans="3:3">
      <c r="C2718"/>
    </row>
    <row r="2719" ht="14.5" spans="3:3">
      <c r="C2719"/>
    </row>
    <row r="2720" ht="14.5" spans="3:3">
      <c r="C2720"/>
    </row>
    <row r="2721" ht="14.5" spans="3:3">
      <c r="C2721"/>
    </row>
    <row r="2722" ht="14.5" spans="3:3">
      <c r="C2722"/>
    </row>
    <row r="2723" ht="14.5" spans="3:3">
      <c r="C2723"/>
    </row>
    <row r="2724" ht="14.5" spans="3:3">
      <c r="C2724"/>
    </row>
    <row r="2725" ht="14.5" spans="3:3">
      <c r="C2725"/>
    </row>
    <row r="2726" ht="14.5" spans="3:3">
      <c r="C2726"/>
    </row>
    <row r="2727" ht="14.5" spans="3:3">
      <c r="C2727"/>
    </row>
    <row r="2728" ht="14.5" spans="3:3">
      <c r="C2728"/>
    </row>
    <row r="2729" ht="14.5" spans="3:3">
      <c r="C2729"/>
    </row>
    <row r="2730" ht="14.5" spans="3:3">
      <c r="C2730"/>
    </row>
    <row r="2731" ht="14.5" spans="3:3">
      <c r="C2731"/>
    </row>
    <row r="2732" ht="14.5" spans="3:3">
      <c r="C2732"/>
    </row>
    <row r="2733" ht="14.5" spans="3:3">
      <c r="C2733"/>
    </row>
    <row r="2734" ht="14.5" spans="3:3">
      <c r="C2734"/>
    </row>
    <row r="2735" ht="14.5" spans="3:3">
      <c r="C2735"/>
    </row>
    <row r="2736" ht="14.5" spans="3:3">
      <c r="C2736"/>
    </row>
    <row r="2737" ht="14.5" spans="3:3">
      <c r="C2737"/>
    </row>
    <row r="2738" ht="14.5" spans="3:3">
      <c r="C2738"/>
    </row>
    <row r="2739" ht="14.5" spans="3:3">
      <c r="C2739"/>
    </row>
    <row r="2740" ht="14.5" spans="3:3">
      <c r="C2740"/>
    </row>
    <row r="2741" ht="14.5" spans="3:3">
      <c r="C2741"/>
    </row>
    <row r="2742" ht="14.5" spans="3:3">
      <c r="C2742"/>
    </row>
    <row r="2743" ht="14.5" spans="3:3">
      <c r="C2743"/>
    </row>
    <row r="2744" ht="14.5" spans="3:3">
      <c r="C2744"/>
    </row>
    <row r="2745" ht="14.5" spans="3:3">
      <c r="C2745"/>
    </row>
    <row r="2746" ht="14.5" spans="3:3">
      <c r="C2746"/>
    </row>
    <row r="2747" ht="14.5" spans="3:3">
      <c r="C2747"/>
    </row>
    <row r="2748" ht="14.5" spans="3:3">
      <c r="C2748"/>
    </row>
    <row r="2749" ht="14.5" spans="3:3">
      <c r="C2749"/>
    </row>
    <row r="2750" ht="14.5" spans="3:3">
      <c r="C2750"/>
    </row>
    <row r="2751" ht="14.5" spans="3:3">
      <c r="C2751"/>
    </row>
    <row r="2752" ht="14.5" spans="3:3">
      <c r="C2752"/>
    </row>
    <row r="2753" ht="14.5" spans="3:3">
      <c r="C2753"/>
    </row>
    <row r="2754" ht="14.5" spans="3:3">
      <c r="C2754"/>
    </row>
    <row r="2755" ht="14.5" spans="3:3">
      <c r="C2755"/>
    </row>
    <row r="2756" ht="14.5" spans="3:3">
      <c r="C2756"/>
    </row>
    <row r="2757" ht="14.5" spans="3:3">
      <c r="C2757"/>
    </row>
    <row r="2758" ht="14.5" spans="3:3">
      <c r="C2758"/>
    </row>
    <row r="2759" ht="14.5" spans="3:3">
      <c r="C2759"/>
    </row>
    <row r="2760" ht="14.5" spans="3:3">
      <c r="C2760"/>
    </row>
    <row r="2761" ht="14.5" spans="3:3">
      <c r="C2761"/>
    </row>
    <row r="2762" ht="14.5" spans="3:3">
      <c r="C2762"/>
    </row>
    <row r="2763" ht="14.5" spans="3:3">
      <c r="C2763"/>
    </row>
    <row r="2764" ht="14.5" spans="3:3">
      <c r="C2764"/>
    </row>
    <row r="2765" ht="14.5" spans="3:3">
      <c r="C2765"/>
    </row>
    <row r="2766" ht="14.5" spans="3:3">
      <c r="C2766"/>
    </row>
    <row r="2767" ht="14.5" spans="3:3">
      <c r="C2767"/>
    </row>
    <row r="2768" ht="14.5" spans="3:3">
      <c r="C2768"/>
    </row>
    <row r="2769" ht="14.5" spans="3:3">
      <c r="C2769"/>
    </row>
    <row r="2770" ht="14.5" spans="3:3">
      <c r="C2770"/>
    </row>
    <row r="2771" ht="14.5" spans="3:3">
      <c r="C2771"/>
    </row>
    <row r="2772" ht="14.5" spans="3:3">
      <c r="C2772"/>
    </row>
    <row r="2773" ht="14.5" spans="3:3">
      <c r="C2773"/>
    </row>
    <row r="2774" ht="14.5" spans="3:3">
      <c r="C2774"/>
    </row>
    <row r="2775" ht="14.5" spans="3:3">
      <c r="C2775"/>
    </row>
    <row r="2776" ht="14.5" spans="3:3">
      <c r="C2776"/>
    </row>
    <row r="2777" ht="14.5" spans="3:3">
      <c r="C2777"/>
    </row>
    <row r="2778" ht="14.5" spans="3:3">
      <c r="C2778"/>
    </row>
    <row r="2779" ht="14.5" spans="3:3">
      <c r="C2779"/>
    </row>
    <row r="2780" ht="14.5" spans="3:3">
      <c r="C2780"/>
    </row>
    <row r="2781" ht="14.5" spans="3:3">
      <c r="C2781"/>
    </row>
    <row r="2782" ht="14.5" spans="3:3">
      <c r="C2782"/>
    </row>
    <row r="2783" ht="14.5" spans="3:3">
      <c r="C2783"/>
    </row>
    <row r="2784" ht="14.5" spans="3:3">
      <c r="C2784"/>
    </row>
    <row r="2785" ht="14.5" spans="3:3">
      <c r="C2785"/>
    </row>
    <row r="2786" ht="14.5" spans="3:3">
      <c r="C2786"/>
    </row>
    <row r="2787" ht="14.5" spans="3:3">
      <c r="C2787"/>
    </row>
    <row r="2788" ht="14.5" spans="3:3">
      <c r="C2788"/>
    </row>
    <row r="2789" ht="14.5" spans="3:3">
      <c r="C2789"/>
    </row>
    <row r="2790" ht="14.5" spans="3:3">
      <c r="C2790"/>
    </row>
    <row r="2791" ht="14.5" spans="3:3">
      <c r="C2791"/>
    </row>
    <row r="2792" ht="14.5" spans="3:3">
      <c r="C2792"/>
    </row>
    <row r="2793" ht="14.5" spans="3:3">
      <c r="C2793"/>
    </row>
    <row r="2794" ht="14.5" spans="3:3">
      <c r="C2794"/>
    </row>
    <row r="2795" ht="14.5" spans="3:3">
      <c r="C2795"/>
    </row>
    <row r="2796" ht="14.5" spans="3:3">
      <c r="C2796"/>
    </row>
    <row r="2797" ht="14.5" spans="3:3">
      <c r="C2797"/>
    </row>
    <row r="2798" ht="14.5" spans="3:3">
      <c r="C2798"/>
    </row>
    <row r="2799" ht="14.5" spans="3:3">
      <c r="C2799"/>
    </row>
    <row r="2800" ht="14.5" spans="3:3">
      <c r="C2800"/>
    </row>
    <row r="2801" ht="14.5" spans="3:3">
      <c r="C2801"/>
    </row>
    <row r="2802" ht="14.5" spans="3:3">
      <c r="C2802"/>
    </row>
    <row r="2803" ht="14.5" spans="3:3">
      <c r="C2803"/>
    </row>
    <row r="2804" ht="14.5" spans="3:3">
      <c r="C2804"/>
    </row>
    <row r="2805" ht="14.5" spans="3:3">
      <c r="C2805"/>
    </row>
    <row r="2806" ht="14.5" spans="3:3">
      <c r="C2806"/>
    </row>
    <row r="2807" ht="14.5" spans="3:3">
      <c r="C2807"/>
    </row>
    <row r="2808" ht="14.5" spans="3:3">
      <c r="C2808"/>
    </row>
    <row r="2809" ht="14.5" spans="3:3">
      <c r="C2809"/>
    </row>
    <row r="2810" ht="14.5" spans="3:3">
      <c r="C2810"/>
    </row>
    <row r="2811" ht="14.5" spans="3:3">
      <c r="C2811"/>
    </row>
    <row r="2812" ht="14.5" spans="3:3">
      <c r="C2812"/>
    </row>
    <row r="2813" ht="14.5" spans="3:3">
      <c r="C2813"/>
    </row>
    <row r="2814" ht="14.5" spans="3:3">
      <c r="C2814"/>
    </row>
    <row r="2815" ht="14.5" spans="3:3">
      <c r="C2815"/>
    </row>
    <row r="2816" ht="14.5" spans="3:3">
      <c r="C2816"/>
    </row>
    <row r="2817" ht="14.5" spans="3:3">
      <c r="C2817"/>
    </row>
    <row r="2818" ht="14.5" spans="3:3">
      <c r="C2818"/>
    </row>
    <row r="2819" ht="14.5" spans="3:3">
      <c r="C2819"/>
    </row>
    <row r="2820" ht="14.5" spans="3:3">
      <c r="C2820"/>
    </row>
    <row r="2821" ht="14.5" spans="3:3">
      <c r="C2821"/>
    </row>
    <row r="2822" ht="14.5" spans="3:3">
      <c r="C2822"/>
    </row>
    <row r="2823" ht="14.5" spans="3:3">
      <c r="C2823"/>
    </row>
    <row r="2824" ht="14.5" spans="3:3">
      <c r="C2824"/>
    </row>
    <row r="2825" ht="14.5" spans="3:3">
      <c r="C2825"/>
    </row>
    <row r="2826" ht="14.5" spans="3:3">
      <c r="C2826"/>
    </row>
    <row r="2827" ht="14.5" spans="3:3">
      <c r="C2827"/>
    </row>
    <row r="2828" ht="14.5" spans="3:3">
      <c r="C2828"/>
    </row>
    <row r="2829" ht="14.5" spans="3:3">
      <c r="C2829"/>
    </row>
    <row r="2830" ht="14.5" spans="3:3">
      <c r="C2830"/>
    </row>
    <row r="2831" ht="14.5" spans="3:3">
      <c r="C2831"/>
    </row>
    <row r="2832" ht="14.5" spans="3:3">
      <c r="C2832"/>
    </row>
    <row r="2833" ht="14.5" spans="3:3">
      <c r="C2833"/>
    </row>
    <row r="2834" ht="14.5" spans="3:3">
      <c r="C2834"/>
    </row>
    <row r="2835" ht="14.5" spans="3:3">
      <c r="C2835"/>
    </row>
    <row r="2836" ht="14.5" spans="3:3">
      <c r="C2836"/>
    </row>
    <row r="2837" ht="14.5" spans="3:3">
      <c r="C2837"/>
    </row>
    <row r="2838" ht="14.5" spans="3:3">
      <c r="C2838"/>
    </row>
    <row r="2839" ht="14.5" spans="3:3">
      <c r="C2839"/>
    </row>
    <row r="2840" ht="14.5" spans="3:3">
      <c r="C2840"/>
    </row>
    <row r="2841" ht="14.5" spans="3:3">
      <c r="C2841"/>
    </row>
    <row r="2842" ht="14.5" spans="3:3">
      <c r="C2842"/>
    </row>
    <row r="2843" ht="14.5" spans="3:3">
      <c r="C2843"/>
    </row>
    <row r="2844" ht="14.5" spans="3:3">
      <c r="C2844"/>
    </row>
    <row r="2845" ht="14.5" spans="3:3">
      <c r="C2845"/>
    </row>
    <row r="2846" ht="14.5" spans="3:3">
      <c r="C2846"/>
    </row>
    <row r="2847" ht="14.5" spans="3:3">
      <c r="C2847"/>
    </row>
    <row r="2848" ht="14.5" spans="3:3">
      <c r="C2848"/>
    </row>
    <row r="2849" ht="14.5" spans="3:3">
      <c r="C2849"/>
    </row>
    <row r="2850" ht="14.5" spans="3:3">
      <c r="C2850"/>
    </row>
    <row r="2851" ht="14.5" spans="3:3">
      <c r="C2851"/>
    </row>
    <row r="2852" ht="14.5" spans="3:3">
      <c r="C2852"/>
    </row>
    <row r="2853" ht="14.5" spans="3:3">
      <c r="C2853"/>
    </row>
    <row r="2854" ht="14.5" spans="3:3">
      <c r="C2854"/>
    </row>
    <row r="2855" ht="14.5" spans="3:3">
      <c r="C2855"/>
    </row>
    <row r="2856" ht="14.5" spans="3:3">
      <c r="C2856"/>
    </row>
    <row r="2857" ht="14.5" spans="3:3">
      <c r="C2857"/>
    </row>
    <row r="2858" ht="14.5" spans="3:3">
      <c r="C2858"/>
    </row>
    <row r="2859" ht="14.5" spans="3:3">
      <c r="C2859"/>
    </row>
    <row r="2860" ht="14.5" spans="3:3">
      <c r="C2860"/>
    </row>
    <row r="2861" ht="14.5" spans="3:3">
      <c r="C2861"/>
    </row>
    <row r="2862" ht="14.5" spans="3:3">
      <c r="C2862"/>
    </row>
    <row r="2863" ht="14.5" spans="3:3">
      <c r="C2863"/>
    </row>
    <row r="2864" ht="14.5" spans="3:3">
      <c r="C2864"/>
    </row>
    <row r="2865" ht="14.5" spans="3:3">
      <c r="C2865"/>
    </row>
    <row r="2866" ht="14.5" spans="3:3">
      <c r="C2866"/>
    </row>
    <row r="2867" ht="14.5" spans="3:3">
      <c r="C2867"/>
    </row>
    <row r="2868" ht="14.5" spans="3:3">
      <c r="C2868"/>
    </row>
    <row r="2869" ht="14.5" spans="3:3">
      <c r="C2869"/>
    </row>
    <row r="2870" ht="14.5" spans="3:3">
      <c r="C2870"/>
    </row>
    <row r="2871" ht="14.5" spans="3:3">
      <c r="C2871"/>
    </row>
    <row r="2872" ht="14.5" spans="3:3">
      <c r="C2872"/>
    </row>
    <row r="2873" ht="14.5" spans="3:3">
      <c r="C2873"/>
    </row>
    <row r="2874" ht="14.5" spans="3:3">
      <c r="C2874"/>
    </row>
    <row r="2875" ht="14.5" spans="3:3">
      <c r="C2875"/>
    </row>
    <row r="2876" ht="14.5" spans="3:3">
      <c r="C2876"/>
    </row>
    <row r="2877" ht="14.5" spans="3:3">
      <c r="C2877"/>
    </row>
    <row r="2878" ht="14.5" spans="3:3">
      <c r="C2878"/>
    </row>
    <row r="2879" ht="14.5" spans="3:3">
      <c r="C2879"/>
    </row>
    <row r="2880" ht="14.5" spans="3:3">
      <c r="C2880"/>
    </row>
    <row r="2881" ht="14.5" spans="3:3">
      <c r="C2881"/>
    </row>
    <row r="2882" ht="14.5" spans="3:3">
      <c r="C2882"/>
    </row>
    <row r="2883" ht="14.5" spans="3:3">
      <c r="C2883"/>
    </row>
    <row r="2884" ht="14.5" spans="3:3">
      <c r="C2884"/>
    </row>
    <row r="2885" ht="14.5" spans="3:3">
      <c r="C2885"/>
    </row>
    <row r="2886" ht="14.5" spans="3:3">
      <c r="C2886"/>
    </row>
    <row r="2887" ht="14.5" spans="3:3">
      <c r="C2887"/>
    </row>
    <row r="2888" ht="14.5" spans="3:3">
      <c r="C2888"/>
    </row>
    <row r="2889" ht="14.5" spans="3:3">
      <c r="C2889"/>
    </row>
    <row r="2890" ht="14.5" spans="3:3">
      <c r="C2890"/>
    </row>
    <row r="2891" ht="14.5" spans="3:3">
      <c r="C2891"/>
    </row>
    <row r="2892" ht="14.5" spans="3:3">
      <c r="C2892"/>
    </row>
    <row r="2893" ht="14.5" spans="3:3">
      <c r="C2893"/>
    </row>
    <row r="2894" ht="14.5" spans="3:3">
      <c r="C2894"/>
    </row>
    <row r="2895" ht="14.5" spans="3:3">
      <c r="C2895"/>
    </row>
    <row r="2896" ht="14.5" spans="3:3">
      <c r="C2896"/>
    </row>
    <row r="2897" ht="14.5" spans="3:3">
      <c r="C2897"/>
    </row>
    <row r="2898" ht="14.5" spans="3:3">
      <c r="C2898"/>
    </row>
    <row r="2899" ht="14.5" spans="3:3">
      <c r="C2899"/>
    </row>
    <row r="2900" ht="14.5" spans="3:3">
      <c r="C2900"/>
    </row>
    <row r="2901" ht="14.5" spans="3:3">
      <c r="C2901"/>
    </row>
    <row r="2902" ht="14.5" spans="3:3">
      <c r="C2902"/>
    </row>
    <row r="2903" ht="14.5" spans="3:3">
      <c r="C2903"/>
    </row>
    <row r="2904" ht="14.5" spans="3:3">
      <c r="C2904"/>
    </row>
    <row r="2905" ht="14.5" spans="3:3">
      <c r="C2905"/>
    </row>
    <row r="2906" ht="14.5" spans="3:3">
      <c r="C2906"/>
    </row>
    <row r="2907" ht="14.5" spans="3:3">
      <c r="C2907"/>
    </row>
    <row r="2908" ht="14.5" spans="3:3">
      <c r="C2908"/>
    </row>
    <row r="2909" ht="14.5" spans="3:3">
      <c r="C2909"/>
    </row>
    <row r="2910" ht="14.5" spans="3:3">
      <c r="C2910"/>
    </row>
    <row r="2911" ht="14.5" spans="3:3">
      <c r="C2911"/>
    </row>
    <row r="2912" ht="14.5" spans="3:3">
      <c r="C2912"/>
    </row>
    <row r="2913" ht="14.5" spans="3:3">
      <c r="C2913"/>
    </row>
    <row r="2914" ht="14.5" spans="3:3">
      <c r="C2914"/>
    </row>
    <row r="2915" ht="14.5" spans="3:3">
      <c r="C2915"/>
    </row>
    <row r="2916" ht="14.5" spans="3:3">
      <c r="C2916"/>
    </row>
    <row r="2917" ht="14.5" spans="3:3">
      <c r="C2917"/>
    </row>
    <row r="2918" ht="14.5" spans="3:3">
      <c r="C2918"/>
    </row>
    <row r="2919" ht="14.5" spans="3:3">
      <c r="C2919"/>
    </row>
    <row r="2920" ht="14.5" spans="3:3">
      <c r="C2920"/>
    </row>
    <row r="2921" ht="14.5" spans="3:3">
      <c r="C2921"/>
    </row>
    <row r="2922" ht="14.5" spans="3:3">
      <c r="C2922"/>
    </row>
    <row r="2923" ht="14.5" spans="3:3">
      <c r="C2923"/>
    </row>
    <row r="2924" ht="14.5" spans="3:3">
      <c r="C2924"/>
    </row>
    <row r="2925" ht="14.5" spans="3:3">
      <c r="C2925"/>
    </row>
    <row r="2926" ht="14.5" spans="3:3">
      <c r="C2926"/>
    </row>
    <row r="2927" ht="14.5" spans="3:3">
      <c r="C2927"/>
    </row>
    <row r="2928" ht="14.5" spans="3:3">
      <c r="C2928"/>
    </row>
    <row r="2929" ht="14.5" spans="3:3">
      <c r="C2929"/>
    </row>
    <row r="2930" ht="14.5" spans="3:3">
      <c r="C2930"/>
    </row>
    <row r="2931" ht="14.5" spans="3:3">
      <c r="C2931"/>
    </row>
    <row r="2932" ht="14.5" spans="3:3">
      <c r="C2932"/>
    </row>
    <row r="2933" ht="14.5" spans="3:3">
      <c r="C2933"/>
    </row>
    <row r="2934" ht="14.5" spans="3:3">
      <c r="C2934"/>
    </row>
    <row r="2935" ht="14.5" spans="3:3">
      <c r="C2935"/>
    </row>
    <row r="2936" ht="14.5" spans="3:3">
      <c r="C2936"/>
    </row>
    <row r="2937" ht="14.5" spans="3:3">
      <c r="C2937"/>
    </row>
    <row r="2938" ht="14.5" spans="3:3">
      <c r="C2938"/>
    </row>
    <row r="2939" ht="14.5" spans="3:3">
      <c r="C2939"/>
    </row>
    <row r="2940" ht="14.5" spans="3:3">
      <c r="C2940"/>
    </row>
    <row r="2941" ht="14.5" spans="3:3">
      <c r="C2941"/>
    </row>
    <row r="2942" ht="14.5" spans="3:3">
      <c r="C2942"/>
    </row>
    <row r="2943" ht="14.5" spans="3:3">
      <c r="C2943"/>
    </row>
    <row r="2944" ht="14.5" spans="3:3">
      <c r="C2944"/>
    </row>
    <row r="2945" ht="14.5" spans="3:3">
      <c r="C2945"/>
    </row>
    <row r="2946" ht="14.5" spans="3:3">
      <c r="C2946"/>
    </row>
    <row r="2947" ht="14.5" spans="3:3">
      <c r="C2947"/>
    </row>
    <row r="2948" ht="14.5" spans="3:3">
      <c r="C2948"/>
    </row>
    <row r="2949" ht="14.5" spans="3:3">
      <c r="C2949"/>
    </row>
    <row r="2950" ht="14.5" spans="3:3">
      <c r="C2950"/>
    </row>
    <row r="2951" ht="14.5" spans="3:3">
      <c r="C2951"/>
    </row>
    <row r="2952" ht="14.5" spans="3:3">
      <c r="C2952"/>
    </row>
    <row r="2953" ht="14.5" spans="3:3">
      <c r="C2953"/>
    </row>
    <row r="2954" ht="14.5" spans="3:3">
      <c r="C2954"/>
    </row>
    <row r="2955" ht="14.5" spans="3:3">
      <c r="C2955"/>
    </row>
    <row r="2956" ht="14.5" spans="3:3">
      <c r="C2956"/>
    </row>
    <row r="2957" ht="14.5" spans="3:3">
      <c r="C2957"/>
    </row>
    <row r="2958" ht="14.5" spans="3:3">
      <c r="C2958"/>
    </row>
    <row r="2959" ht="14.5" spans="3:3">
      <c r="C2959"/>
    </row>
    <row r="2960" ht="14.5" spans="3:3">
      <c r="C2960"/>
    </row>
    <row r="2961" ht="14.5" spans="3:3">
      <c r="C2961"/>
    </row>
    <row r="2962" ht="14.5" spans="3:3">
      <c r="C2962"/>
    </row>
    <row r="2963" ht="14.5" spans="3:3">
      <c r="C2963"/>
    </row>
    <row r="2964" ht="14.5" spans="3:3">
      <c r="C2964"/>
    </row>
    <row r="2965" ht="14.5" spans="3:3">
      <c r="C2965"/>
    </row>
    <row r="2966" ht="14.5" spans="3:3">
      <c r="C2966"/>
    </row>
    <row r="2967" ht="14.5" spans="3:3">
      <c r="C2967"/>
    </row>
    <row r="2968" ht="14.5" spans="3:3">
      <c r="C2968"/>
    </row>
    <row r="2969" ht="14.5" spans="3:3">
      <c r="C2969"/>
    </row>
    <row r="2970" ht="14.5" spans="3:3">
      <c r="C2970"/>
    </row>
    <row r="2971" ht="14.5" spans="3:3">
      <c r="C2971"/>
    </row>
    <row r="2972" ht="14.5" spans="3:3">
      <c r="C2972"/>
    </row>
    <row r="2973" ht="14.5" spans="3:3">
      <c r="C2973"/>
    </row>
    <row r="2974" ht="14.5" spans="3:3">
      <c r="C2974"/>
    </row>
    <row r="2975" ht="14.5" spans="3:3">
      <c r="C2975"/>
    </row>
    <row r="2976" ht="14.5" spans="3:3">
      <c r="C2976"/>
    </row>
    <row r="2977" ht="14.5" spans="3:3">
      <c r="C2977"/>
    </row>
    <row r="2978" ht="14.5" spans="3:3">
      <c r="C2978"/>
    </row>
    <row r="2979" ht="14.5" spans="3:3">
      <c r="C2979"/>
    </row>
    <row r="2980" ht="14.5" spans="3:3">
      <c r="C2980"/>
    </row>
    <row r="2981" ht="14.5" spans="3:3">
      <c r="C2981"/>
    </row>
    <row r="2982" ht="14.5" spans="3:3">
      <c r="C2982"/>
    </row>
    <row r="2983" ht="14.5" spans="3:3">
      <c r="C2983"/>
    </row>
    <row r="2984" ht="14.5" spans="3:3">
      <c r="C2984"/>
    </row>
    <row r="2985" ht="14.5" spans="3:3">
      <c r="C2985"/>
    </row>
    <row r="2986" ht="14.5" spans="3:3">
      <c r="C2986"/>
    </row>
    <row r="2987" ht="14.5" spans="3:3">
      <c r="C2987"/>
    </row>
    <row r="2988" ht="14.5" spans="3:3">
      <c r="C2988"/>
    </row>
    <row r="2989" ht="14.5" spans="3:3">
      <c r="C2989"/>
    </row>
    <row r="2990" ht="14.5" spans="3:3">
      <c r="C2990"/>
    </row>
    <row r="2991" ht="14.5" spans="3:3">
      <c r="C2991"/>
    </row>
    <row r="2992" ht="14.5" spans="3:3">
      <c r="C2992"/>
    </row>
    <row r="2993" ht="14.5" spans="3:3">
      <c r="C2993"/>
    </row>
    <row r="2994" ht="14.5" spans="3:3">
      <c r="C2994"/>
    </row>
    <row r="2995" ht="14.5" spans="3:3">
      <c r="C2995"/>
    </row>
    <row r="2996" ht="14.5" spans="3:3">
      <c r="C2996"/>
    </row>
    <row r="2997" ht="14.5" spans="3:3">
      <c r="C2997"/>
    </row>
    <row r="2998" ht="14.5" spans="3:3">
      <c r="C2998"/>
    </row>
    <row r="2999" ht="14.5" spans="3:3">
      <c r="C2999"/>
    </row>
    <row r="3000" ht="14.5" spans="3:3">
      <c r="C3000"/>
    </row>
    <row r="3001" ht="14.5" spans="3:3">
      <c r="C3001"/>
    </row>
    <row r="3002" ht="14.5" spans="3:3">
      <c r="C3002"/>
    </row>
    <row r="3003" ht="14.5" spans="3:3">
      <c r="C3003"/>
    </row>
    <row r="3004" ht="14.5" spans="3:3">
      <c r="C3004"/>
    </row>
    <row r="3005" ht="14.5" spans="3:3">
      <c r="C3005"/>
    </row>
    <row r="3006" ht="14.5" spans="3:3">
      <c r="C3006"/>
    </row>
    <row r="3007" ht="14.5" spans="3:3">
      <c r="C3007"/>
    </row>
    <row r="3008" ht="14.5" spans="3:3">
      <c r="C3008"/>
    </row>
    <row r="3009" ht="14.5" spans="3:3">
      <c r="C3009"/>
    </row>
    <row r="3010" ht="14.5" spans="3:3">
      <c r="C3010"/>
    </row>
    <row r="3011" ht="14.5" spans="3:3">
      <c r="C3011"/>
    </row>
    <row r="3012" ht="14.5" spans="3:3">
      <c r="C3012"/>
    </row>
    <row r="3013" ht="14.5" spans="3:3">
      <c r="C3013"/>
    </row>
    <row r="3014" ht="14.5" spans="3:3">
      <c r="C3014"/>
    </row>
    <row r="3015" ht="14.5" spans="3:3">
      <c r="C3015"/>
    </row>
    <row r="3016" ht="14.5" spans="3:3">
      <c r="C3016"/>
    </row>
    <row r="3017" ht="14.5" spans="3:3">
      <c r="C3017"/>
    </row>
    <row r="3018" ht="14.5" spans="3:3">
      <c r="C3018"/>
    </row>
    <row r="3019" ht="14.5" spans="3:3">
      <c r="C3019"/>
    </row>
    <row r="3020" ht="14.5" spans="3:3">
      <c r="C3020"/>
    </row>
    <row r="3021" ht="14.5" spans="3:3">
      <c r="C3021"/>
    </row>
    <row r="3022" ht="14.5" spans="3:3">
      <c r="C3022"/>
    </row>
    <row r="3023" ht="14.5" spans="3:3">
      <c r="C3023"/>
    </row>
    <row r="3024" ht="14.5" spans="3:3">
      <c r="C3024"/>
    </row>
    <row r="3025" ht="14.5" spans="3:3">
      <c r="C3025"/>
    </row>
    <row r="3026" ht="14.5" spans="3:3">
      <c r="C3026"/>
    </row>
    <row r="3027" ht="14.5" spans="3:3">
      <c r="C3027"/>
    </row>
    <row r="3028" ht="14.5" spans="3:3">
      <c r="C3028"/>
    </row>
    <row r="3029" ht="14.5" spans="3:3">
      <c r="C3029"/>
    </row>
    <row r="3030" ht="14.5" spans="3:3">
      <c r="C3030"/>
    </row>
    <row r="3031" ht="14.5" spans="3:3">
      <c r="C3031"/>
    </row>
    <row r="3032" ht="14.5" spans="3:3">
      <c r="C3032"/>
    </row>
    <row r="3033" ht="14.5" spans="3:3">
      <c r="C3033"/>
    </row>
    <row r="3034" ht="14.5" spans="3:3">
      <c r="C3034"/>
    </row>
    <row r="3035" ht="14.5" spans="3:3">
      <c r="C3035"/>
    </row>
    <row r="3036" ht="14.5" spans="3:3">
      <c r="C3036"/>
    </row>
    <row r="3037" ht="14.5" spans="3:3">
      <c r="C3037"/>
    </row>
    <row r="3038" ht="14.5" spans="3:3">
      <c r="C3038"/>
    </row>
    <row r="3039" ht="14.5" spans="3:3">
      <c r="C3039"/>
    </row>
    <row r="3040" ht="14.5" spans="3:3">
      <c r="C3040"/>
    </row>
    <row r="3041" ht="14.5" spans="3:3">
      <c r="C3041"/>
    </row>
    <row r="3042" ht="14.5" spans="3:3">
      <c r="C3042"/>
    </row>
    <row r="3043" ht="14.5" spans="3:3">
      <c r="C3043"/>
    </row>
    <row r="3044" ht="14.5" spans="3:3">
      <c r="C3044"/>
    </row>
    <row r="3045" ht="14.5" spans="3:3">
      <c r="C3045"/>
    </row>
    <row r="3046" ht="14.5" spans="3:3">
      <c r="C3046"/>
    </row>
    <row r="3047" ht="14.5" spans="3:3">
      <c r="C3047"/>
    </row>
    <row r="3048" ht="14.5" spans="3:3">
      <c r="C3048"/>
    </row>
    <row r="3049" ht="14.5" spans="3:3">
      <c r="C3049"/>
    </row>
    <row r="3050" ht="14.5" spans="3:3">
      <c r="C3050"/>
    </row>
    <row r="3051" ht="14.5" spans="3:3">
      <c r="C3051"/>
    </row>
    <row r="3052" ht="14.5" spans="3:3">
      <c r="C3052"/>
    </row>
    <row r="3053" ht="14.5" spans="3:3">
      <c r="C3053"/>
    </row>
    <row r="3054" ht="14.5" spans="3:3">
      <c r="C3054"/>
    </row>
    <row r="3055" ht="14.5" spans="3:3">
      <c r="C3055"/>
    </row>
    <row r="3056" ht="14.5" spans="3:3">
      <c r="C3056"/>
    </row>
    <row r="3057" ht="14.5" spans="3:3">
      <c r="C3057"/>
    </row>
    <row r="3058" ht="14.5" spans="3:3">
      <c r="C3058"/>
    </row>
    <row r="3059" ht="14.5" spans="3:3">
      <c r="C3059"/>
    </row>
    <row r="3060" ht="14.5" spans="3:3">
      <c r="C3060"/>
    </row>
    <row r="3061" ht="14.5" spans="3:3">
      <c r="C3061"/>
    </row>
    <row r="3062" ht="14.5" spans="3:3">
      <c r="C3062"/>
    </row>
    <row r="3063" ht="14.5" spans="3:3">
      <c r="C3063"/>
    </row>
    <row r="3064" ht="14.5" spans="3:3">
      <c r="C3064"/>
    </row>
    <row r="3065" ht="14.5" spans="3:3">
      <c r="C3065"/>
    </row>
    <row r="3066" ht="14.5" spans="3:3">
      <c r="C3066"/>
    </row>
    <row r="3067" ht="14.5" spans="3:3">
      <c r="C3067"/>
    </row>
    <row r="3068" ht="14.5" spans="3:3">
      <c r="C3068"/>
    </row>
    <row r="3069" ht="14.5" spans="3:3">
      <c r="C3069"/>
    </row>
    <row r="3070" ht="14.5" spans="3:3">
      <c r="C3070"/>
    </row>
    <row r="3071" ht="14.5" spans="3:3">
      <c r="C3071"/>
    </row>
    <row r="3072" ht="14.5" spans="3:3">
      <c r="C3072"/>
    </row>
    <row r="3073" ht="14.5" spans="3:3">
      <c r="C3073"/>
    </row>
    <row r="3074" ht="14.5" spans="3:3">
      <c r="C3074"/>
    </row>
    <row r="3075" ht="14.5" spans="3:3">
      <c r="C3075"/>
    </row>
    <row r="3076" ht="14.5" spans="3:3">
      <c r="C3076"/>
    </row>
    <row r="3077" ht="14.5" spans="3:3">
      <c r="C3077"/>
    </row>
    <row r="3078" ht="14.5" spans="3:3">
      <c r="C3078"/>
    </row>
    <row r="3079" ht="14.5" spans="3:3">
      <c r="C3079"/>
    </row>
    <row r="3080" ht="14.5" spans="3:3">
      <c r="C3080"/>
    </row>
    <row r="3081" ht="14.5" spans="3:3">
      <c r="C3081"/>
    </row>
    <row r="3082" ht="14.5" spans="3:3">
      <c r="C3082"/>
    </row>
    <row r="3083" ht="14.5" spans="3:3">
      <c r="C3083"/>
    </row>
    <row r="3084" ht="14.5" spans="3:3">
      <c r="C3084"/>
    </row>
    <row r="3085" ht="14.5" spans="3:3">
      <c r="C3085"/>
    </row>
    <row r="3086" ht="14.5" spans="3:3">
      <c r="C3086"/>
    </row>
    <row r="3087" ht="14.5" spans="3:3">
      <c r="C3087"/>
    </row>
    <row r="3088" ht="14.5" spans="3:3">
      <c r="C3088"/>
    </row>
    <row r="3089" ht="14.5" spans="3:3">
      <c r="C3089"/>
    </row>
    <row r="3090" ht="14.5" spans="3:3">
      <c r="C3090"/>
    </row>
    <row r="3091" ht="14.5" spans="3:3">
      <c r="C3091"/>
    </row>
    <row r="3092" ht="14.5" spans="3:3">
      <c r="C3092"/>
    </row>
    <row r="3093" ht="14.5" spans="3:3">
      <c r="C3093"/>
    </row>
    <row r="3094" ht="14.5" spans="3:3">
      <c r="C3094"/>
    </row>
    <row r="3095" ht="14.5" spans="3:3">
      <c r="C3095"/>
    </row>
    <row r="3096" ht="14.5" spans="3:3">
      <c r="C3096"/>
    </row>
    <row r="3097" ht="14.5" spans="3:3">
      <c r="C3097"/>
    </row>
    <row r="3098" ht="14.5" spans="3:3">
      <c r="C3098"/>
    </row>
    <row r="3099" ht="14.5" spans="3:3">
      <c r="C3099"/>
    </row>
    <row r="3100" ht="14.5" spans="3:3">
      <c r="C3100"/>
    </row>
    <row r="3101" ht="14.5" spans="3:3">
      <c r="C3101"/>
    </row>
    <row r="3102" ht="14.5" spans="3:3">
      <c r="C3102"/>
    </row>
    <row r="3103" ht="14.5" spans="3:3">
      <c r="C3103"/>
    </row>
    <row r="3104" ht="14.5" spans="3:3">
      <c r="C3104"/>
    </row>
    <row r="3105" ht="14.5" spans="3:3">
      <c r="C3105"/>
    </row>
    <row r="3106" ht="14.5" spans="3:3">
      <c r="C3106"/>
    </row>
    <row r="3107" ht="14.5" spans="3:3">
      <c r="C3107"/>
    </row>
    <row r="3108" ht="14.5" spans="3:3">
      <c r="C3108"/>
    </row>
    <row r="3109" ht="14.5" spans="3:3">
      <c r="C3109"/>
    </row>
    <row r="3110" ht="14.5" spans="3:3">
      <c r="C3110"/>
    </row>
    <row r="3111" ht="14.5" spans="3:3">
      <c r="C3111"/>
    </row>
    <row r="3112" ht="14.5" spans="3:3">
      <c r="C3112"/>
    </row>
    <row r="3113" ht="14.5" spans="3:3">
      <c r="C3113"/>
    </row>
    <row r="3114" ht="14.5" spans="3:3">
      <c r="C3114"/>
    </row>
    <row r="3115" ht="14.5" spans="3:3">
      <c r="C3115"/>
    </row>
    <row r="3116" ht="14.5" spans="3:3">
      <c r="C3116"/>
    </row>
    <row r="3117" ht="14.5" spans="3:3">
      <c r="C3117"/>
    </row>
    <row r="3118" ht="14.5" spans="3:3">
      <c r="C3118"/>
    </row>
    <row r="3119" ht="14.5" spans="3:3">
      <c r="C3119"/>
    </row>
    <row r="3120" ht="14.5" spans="3:3">
      <c r="C3120"/>
    </row>
    <row r="3121" ht="14.5" spans="3:3">
      <c r="C3121"/>
    </row>
    <row r="3122" ht="14.5" spans="3:3">
      <c r="C3122"/>
    </row>
    <row r="3123" ht="14.5" spans="3:3">
      <c r="C3123"/>
    </row>
    <row r="3124" ht="14.5" spans="3:3">
      <c r="C3124"/>
    </row>
    <row r="3125" ht="14.5" spans="3:3">
      <c r="C3125"/>
    </row>
    <row r="3126" ht="14.5" spans="3:3">
      <c r="C3126"/>
    </row>
    <row r="3127" ht="14.5" spans="3:3">
      <c r="C3127"/>
    </row>
    <row r="3128" ht="14.5" spans="3:3">
      <c r="C3128"/>
    </row>
    <row r="3129" ht="14.5" spans="3:3">
      <c r="C3129"/>
    </row>
    <row r="3130" ht="14.5" spans="3:3">
      <c r="C3130"/>
    </row>
    <row r="3131" ht="14.5" spans="3:3">
      <c r="C3131"/>
    </row>
    <row r="3132" ht="14.5" spans="3:3">
      <c r="C3132"/>
    </row>
    <row r="3133" ht="14.5" spans="3:3">
      <c r="C3133"/>
    </row>
    <row r="3134" ht="14.5" spans="3:3">
      <c r="C3134"/>
    </row>
    <row r="3135" ht="14.5" spans="3:3">
      <c r="C3135"/>
    </row>
    <row r="3136" ht="14.5" spans="3:3">
      <c r="C3136"/>
    </row>
    <row r="3137" ht="14.5" spans="3:3">
      <c r="C3137"/>
    </row>
    <row r="3138" ht="14.5" spans="3:3">
      <c r="C3138"/>
    </row>
    <row r="3139" ht="14.5" spans="3:3">
      <c r="C3139"/>
    </row>
    <row r="3140" ht="14.5" spans="3:3">
      <c r="C3140"/>
    </row>
    <row r="3141" ht="14.5" spans="3:3">
      <c r="C3141"/>
    </row>
    <row r="3142" ht="14.5" spans="3:3">
      <c r="C3142"/>
    </row>
    <row r="3143" ht="14.5" spans="3:3">
      <c r="C3143"/>
    </row>
    <row r="3144" ht="14.5" spans="3:3">
      <c r="C3144"/>
    </row>
    <row r="3145" ht="14.5" spans="3:3">
      <c r="C3145"/>
    </row>
    <row r="3146" ht="14.5" spans="3:3">
      <c r="C3146"/>
    </row>
    <row r="3147" ht="14.5" spans="3:3">
      <c r="C3147"/>
    </row>
    <row r="3148" ht="14.5" spans="3:3">
      <c r="C3148"/>
    </row>
    <row r="3149" ht="14.5" spans="3:3">
      <c r="C3149"/>
    </row>
    <row r="3150" ht="14.5" spans="3:3">
      <c r="C3150"/>
    </row>
    <row r="3151" ht="14.5" spans="3:3">
      <c r="C3151"/>
    </row>
    <row r="3152" ht="14.5" spans="3:3">
      <c r="C3152"/>
    </row>
    <row r="3153" ht="14.5" spans="3:3">
      <c r="C3153"/>
    </row>
    <row r="3154" ht="14.5" spans="3:3">
      <c r="C3154"/>
    </row>
    <row r="3155" ht="14.5" spans="3:3">
      <c r="C3155"/>
    </row>
    <row r="3156" ht="14.5" spans="3:3">
      <c r="C3156"/>
    </row>
    <row r="3157" ht="14.5" spans="3:3">
      <c r="C3157"/>
    </row>
    <row r="3158" ht="14.5" spans="3:3">
      <c r="C3158"/>
    </row>
    <row r="3159" ht="14.5" spans="3:3">
      <c r="C3159"/>
    </row>
    <row r="3160" ht="14.5" spans="3:3">
      <c r="C3160"/>
    </row>
    <row r="3161" ht="14.5" spans="3:3">
      <c r="C3161"/>
    </row>
    <row r="3162" ht="14.5" spans="3:3">
      <c r="C3162"/>
    </row>
    <row r="3163" ht="14.5" spans="3:3">
      <c r="C3163"/>
    </row>
    <row r="3164" ht="14.5" spans="3:3">
      <c r="C3164"/>
    </row>
    <row r="3165" ht="14.5" spans="3:3">
      <c r="C3165"/>
    </row>
    <row r="3166" ht="14.5" spans="3:3">
      <c r="C3166"/>
    </row>
    <row r="3167" ht="14.5" spans="3:3">
      <c r="C3167"/>
    </row>
    <row r="3168" ht="14.5" spans="3:3">
      <c r="C3168"/>
    </row>
    <row r="3169" ht="14.5" spans="3:3">
      <c r="C3169"/>
    </row>
    <row r="3170" ht="14.5" spans="3:3">
      <c r="C3170"/>
    </row>
    <row r="3171" ht="14.5" spans="3:3">
      <c r="C3171"/>
    </row>
    <row r="3172" ht="14.5" spans="3:3">
      <c r="C3172"/>
    </row>
    <row r="3173" ht="14.5" spans="3:3">
      <c r="C3173"/>
    </row>
    <row r="3174" ht="14.5" spans="3:3">
      <c r="C3174"/>
    </row>
    <row r="3175" ht="14.5" spans="3:3">
      <c r="C3175"/>
    </row>
    <row r="3176" ht="14.5" spans="3:3">
      <c r="C3176"/>
    </row>
    <row r="3177" ht="14.5" spans="3:3">
      <c r="C3177"/>
    </row>
    <row r="3178" ht="14.5" spans="3:3">
      <c r="C3178"/>
    </row>
    <row r="3179" ht="14.5" spans="3:3">
      <c r="C3179"/>
    </row>
    <row r="3180" ht="14.5" spans="3:3">
      <c r="C3180"/>
    </row>
    <row r="3181" ht="14.5" spans="3:3">
      <c r="C3181"/>
    </row>
    <row r="3182" ht="14.5" spans="3:3">
      <c r="C3182"/>
    </row>
    <row r="3183" ht="14.5" spans="3:3">
      <c r="C3183"/>
    </row>
    <row r="3184" ht="14.5" spans="3:3">
      <c r="C3184"/>
    </row>
    <row r="3185" ht="14.5" spans="3:3">
      <c r="C3185"/>
    </row>
    <row r="3186" ht="14.5" spans="3:3">
      <c r="C3186"/>
    </row>
    <row r="3187" ht="14.5" spans="3:3">
      <c r="C3187"/>
    </row>
    <row r="3188" ht="14.5" spans="3:3">
      <c r="C3188"/>
    </row>
    <row r="3189" ht="14.5" spans="3:3">
      <c r="C3189"/>
    </row>
    <row r="3190" ht="14.5" spans="3:3">
      <c r="C3190"/>
    </row>
    <row r="3191" ht="14.5" spans="3:3">
      <c r="C3191"/>
    </row>
    <row r="3192" ht="14.5" spans="3:3">
      <c r="C3192"/>
    </row>
    <row r="3193" ht="14.5" spans="3:3">
      <c r="C3193"/>
    </row>
    <row r="3194" ht="14.5" spans="3:3">
      <c r="C3194"/>
    </row>
    <row r="3195" ht="14.5" spans="3:3">
      <c r="C3195"/>
    </row>
    <row r="3196" ht="14.5" spans="3:3">
      <c r="C3196"/>
    </row>
    <row r="3197" ht="14.5" spans="3:3">
      <c r="C3197"/>
    </row>
    <row r="3198" ht="14.5" spans="3:3">
      <c r="C3198"/>
    </row>
    <row r="3199" ht="14.5" spans="3:3">
      <c r="C3199"/>
    </row>
    <row r="3200" ht="14.5" spans="3:3">
      <c r="C3200"/>
    </row>
    <row r="3201" ht="14.5" spans="3:3">
      <c r="C3201"/>
    </row>
    <row r="3202" ht="14.5" spans="3:3">
      <c r="C3202"/>
    </row>
    <row r="3203" ht="14.5" spans="3:3">
      <c r="C3203"/>
    </row>
    <row r="3204" ht="14.5" spans="3:3">
      <c r="C3204"/>
    </row>
    <row r="3205" ht="14.5" spans="3:3">
      <c r="C3205"/>
    </row>
    <row r="3206" ht="14.5" spans="3:3">
      <c r="C3206"/>
    </row>
    <row r="3207" ht="14.5" spans="3:3">
      <c r="C3207"/>
    </row>
    <row r="3208" ht="14.5" spans="3:3">
      <c r="C3208"/>
    </row>
    <row r="3209" ht="14.5" spans="3:3">
      <c r="C3209"/>
    </row>
    <row r="3210" ht="14.5" spans="3:3">
      <c r="C3210"/>
    </row>
    <row r="3211" ht="14.5" spans="3:3">
      <c r="C3211"/>
    </row>
    <row r="3212" ht="14.5" spans="3:3">
      <c r="C3212"/>
    </row>
    <row r="3213" ht="14.5" spans="3:3">
      <c r="C3213"/>
    </row>
    <row r="3214" ht="14.5" spans="3:3">
      <c r="C3214"/>
    </row>
    <row r="3215" ht="14.5" spans="3:3">
      <c r="C3215"/>
    </row>
    <row r="3216" ht="14.5" spans="3:3">
      <c r="C3216"/>
    </row>
    <row r="3217" ht="14.5" spans="3:3">
      <c r="C3217"/>
    </row>
    <row r="3218" ht="14.5" spans="3:3">
      <c r="C3218"/>
    </row>
    <row r="3219" ht="14.5" spans="3:3">
      <c r="C3219"/>
    </row>
    <row r="3220" ht="14.5" spans="3:3">
      <c r="C3220"/>
    </row>
    <row r="3221" ht="14.5" spans="3:3">
      <c r="C3221"/>
    </row>
    <row r="3222" ht="14.5" spans="3:3">
      <c r="C3222"/>
    </row>
    <row r="3223" ht="14.5" spans="3:3">
      <c r="C3223"/>
    </row>
    <row r="3224" ht="14.5" spans="3:3">
      <c r="C3224"/>
    </row>
    <row r="3225" ht="14.5" spans="3:3">
      <c r="C3225"/>
    </row>
    <row r="3226" ht="14.5" spans="3:3">
      <c r="C3226"/>
    </row>
    <row r="3227" ht="14.5" spans="3:3">
      <c r="C3227"/>
    </row>
    <row r="3228" ht="14.5" spans="3:3">
      <c r="C3228"/>
    </row>
    <row r="3229" ht="14.5" spans="3:3">
      <c r="C3229"/>
    </row>
    <row r="3230" ht="14.5" spans="3:3">
      <c r="C3230"/>
    </row>
    <row r="3231" ht="14.5" spans="3:3">
      <c r="C3231"/>
    </row>
    <row r="3232" ht="14.5" spans="3:3">
      <c r="C3232"/>
    </row>
    <row r="3233" ht="14.5" spans="3:3">
      <c r="C3233"/>
    </row>
    <row r="3234" ht="14.5" spans="3:3">
      <c r="C3234"/>
    </row>
    <row r="3235" ht="14.5" spans="3:3">
      <c r="C3235"/>
    </row>
    <row r="3236" ht="14.5" spans="3:3">
      <c r="C3236"/>
    </row>
    <row r="3237" ht="14.5" spans="3:3">
      <c r="C3237"/>
    </row>
    <row r="3238" ht="14.5" spans="3:3">
      <c r="C3238"/>
    </row>
    <row r="3239" ht="14.5" spans="3:3">
      <c r="C3239"/>
    </row>
    <row r="3240" ht="14.5" spans="3:3">
      <c r="C3240"/>
    </row>
    <row r="3241" ht="14.5" spans="3:3">
      <c r="C3241"/>
    </row>
    <row r="3242" ht="14.5" spans="3:3">
      <c r="C3242"/>
    </row>
    <row r="3243" ht="14.5" spans="3:3">
      <c r="C3243"/>
    </row>
    <row r="3244" ht="14.5" spans="3:3">
      <c r="C3244"/>
    </row>
    <row r="3245" ht="14.5" spans="3:3">
      <c r="C3245"/>
    </row>
    <row r="3246" ht="14.5" spans="3:3">
      <c r="C3246"/>
    </row>
    <row r="3247" ht="14.5" spans="3:3">
      <c r="C3247"/>
    </row>
    <row r="3248" ht="14.5" spans="3:3">
      <c r="C3248"/>
    </row>
    <row r="3249" ht="14.5" spans="3:3">
      <c r="C3249"/>
    </row>
    <row r="3250" ht="14.5" spans="3:3">
      <c r="C3250"/>
    </row>
    <row r="3251" ht="14.5" spans="3:3">
      <c r="C3251"/>
    </row>
    <row r="3252" ht="14.5" spans="3:3">
      <c r="C3252"/>
    </row>
    <row r="3253" ht="14.5" spans="3:3">
      <c r="C3253"/>
    </row>
    <row r="3254" ht="14.5" spans="3:3">
      <c r="C3254"/>
    </row>
    <row r="3255" ht="14.5" spans="3:3">
      <c r="C3255"/>
    </row>
    <row r="3256" ht="14.5" spans="3:3">
      <c r="C3256"/>
    </row>
    <row r="3257" ht="14.5" spans="3:3">
      <c r="C3257"/>
    </row>
    <row r="3258" ht="14.5" spans="3:3">
      <c r="C3258"/>
    </row>
    <row r="3259" ht="14.5" spans="3:3">
      <c r="C3259"/>
    </row>
    <row r="3260" ht="14.5" spans="3:3">
      <c r="C3260"/>
    </row>
    <row r="3261" ht="14.5" spans="3:3">
      <c r="C3261"/>
    </row>
    <row r="3262" ht="14.5" spans="3:3">
      <c r="C3262"/>
    </row>
    <row r="3263" ht="14.5" spans="3:3">
      <c r="C3263"/>
    </row>
    <row r="3264" ht="14.5" spans="3:3">
      <c r="C3264"/>
    </row>
    <row r="3265" ht="14.5" spans="3:3">
      <c r="C3265"/>
    </row>
    <row r="3266" ht="14.5" spans="3:3">
      <c r="C3266"/>
    </row>
    <row r="3267" ht="14.5" spans="3:3">
      <c r="C3267"/>
    </row>
    <row r="3268" ht="14.5" spans="3:3">
      <c r="C3268"/>
    </row>
    <row r="3269" ht="14.5" spans="3:3">
      <c r="C3269"/>
    </row>
    <row r="3270" ht="14.5" spans="3:3">
      <c r="C3270"/>
    </row>
    <row r="3271" ht="14.5" spans="3:3">
      <c r="C3271"/>
    </row>
    <row r="3272" ht="14.5" spans="3:3">
      <c r="C3272"/>
    </row>
    <row r="3273" ht="14.5" spans="3:3">
      <c r="C3273"/>
    </row>
    <row r="3274" ht="14.5" spans="3:3">
      <c r="C3274"/>
    </row>
    <row r="3275" ht="14.5" spans="3:3">
      <c r="C3275"/>
    </row>
    <row r="3276" ht="14.5" spans="3:3">
      <c r="C3276"/>
    </row>
    <row r="3277" ht="14.5" spans="3:3">
      <c r="C3277"/>
    </row>
    <row r="3278" ht="14.5" spans="3:3">
      <c r="C3278"/>
    </row>
    <row r="3279" ht="14.5" spans="3:3">
      <c r="C3279"/>
    </row>
    <row r="3280" ht="14.5" spans="3:3">
      <c r="C3280"/>
    </row>
    <row r="3281" ht="14.5" spans="3:3">
      <c r="C3281"/>
    </row>
    <row r="3282" ht="14.5" spans="3:3">
      <c r="C3282"/>
    </row>
    <row r="3283" ht="14.5" spans="3:3">
      <c r="C3283"/>
    </row>
    <row r="3284" ht="14.5" spans="3:3">
      <c r="C3284"/>
    </row>
    <row r="3285" ht="14.5" spans="3:3">
      <c r="C3285"/>
    </row>
    <row r="3286" ht="14.5" spans="3:3">
      <c r="C3286"/>
    </row>
    <row r="3287" ht="14.5" spans="3:3">
      <c r="C3287"/>
    </row>
    <row r="3288" ht="14.5" spans="3:3">
      <c r="C3288"/>
    </row>
    <row r="3289" ht="14.5" spans="3:3">
      <c r="C3289"/>
    </row>
    <row r="3290" ht="14.5" spans="3:3">
      <c r="C3290"/>
    </row>
    <row r="3291" ht="14.5" spans="3:3">
      <c r="C3291"/>
    </row>
    <row r="3292" ht="14.5" spans="3:3">
      <c r="C3292"/>
    </row>
    <row r="3293" ht="14.5" spans="3:3">
      <c r="C3293"/>
    </row>
    <row r="3294" ht="14.5" spans="3:3">
      <c r="C3294"/>
    </row>
    <row r="3295" ht="14.5" spans="3:3">
      <c r="C3295"/>
    </row>
    <row r="3296" ht="14.5" spans="3:3">
      <c r="C3296"/>
    </row>
    <row r="3297" ht="14.5" spans="3:3">
      <c r="C3297"/>
    </row>
    <row r="3298" ht="14.5" spans="3:3">
      <c r="C3298"/>
    </row>
    <row r="3299" ht="14.5" spans="3:3">
      <c r="C3299"/>
    </row>
    <row r="3300" ht="14.5" spans="3:3">
      <c r="C3300"/>
    </row>
    <row r="3301" ht="14.5" spans="3:3">
      <c r="C3301"/>
    </row>
    <row r="3302" ht="14.5" spans="3:3">
      <c r="C3302"/>
    </row>
    <row r="3303" ht="14.5" spans="3:3">
      <c r="C3303"/>
    </row>
    <row r="3304" ht="14.5" spans="3:3">
      <c r="C3304"/>
    </row>
    <row r="3305" ht="14.5" spans="3:3">
      <c r="C3305"/>
    </row>
    <row r="3306" ht="14.5" spans="3:3">
      <c r="C3306"/>
    </row>
    <row r="3307" ht="14.5" spans="3:3">
      <c r="C3307"/>
    </row>
    <row r="3308" ht="14.5" spans="3:3">
      <c r="C3308"/>
    </row>
    <row r="3309" ht="14.5" spans="3:3">
      <c r="C3309"/>
    </row>
    <row r="3310" ht="14.5" spans="3:3">
      <c r="C3310"/>
    </row>
    <row r="3311" ht="14.5" spans="3:3">
      <c r="C3311"/>
    </row>
    <row r="3312" ht="14.5" spans="3:3">
      <c r="C3312"/>
    </row>
    <row r="3313" ht="14.5" spans="3:3">
      <c r="C3313"/>
    </row>
    <row r="3314" ht="14.5" spans="3:3">
      <c r="C3314"/>
    </row>
    <row r="3315" ht="14.5" spans="3:3">
      <c r="C3315"/>
    </row>
    <row r="3316" ht="14.5" spans="3:3">
      <c r="C3316"/>
    </row>
    <row r="3317" ht="14.5" spans="3:3">
      <c r="C3317"/>
    </row>
    <row r="3318" ht="14.5" spans="3:3">
      <c r="C3318"/>
    </row>
    <row r="3319" ht="14.5" spans="3:3">
      <c r="C3319"/>
    </row>
    <row r="3320" ht="14.5" spans="3:3">
      <c r="C3320"/>
    </row>
    <row r="3321" ht="14.5" spans="3:3">
      <c r="C3321"/>
    </row>
    <row r="3322" ht="14.5" spans="3:3">
      <c r="C3322"/>
    </row>
    <row r="3323" ht="14.5" spans="3:3">
      <c r="C3323"/>
    </row>
    <row r="3324" ht="14.5" spans="3:3">
      <c r="C3324"/>
    </row>
    <row r="3325" ht="14.5" spans="3:3">
      <c r="C3325"/>
    </row>
    <row r="3326" ht="14.5" spans="3:3">
      <c r="C3326"/>
    </row>
    <row r="3327" ht="14.5" spans="3:3">
      <c r="C3327"/>
    </row>
    <row r="3328" ht="14.5" spans="3:3">
      <c r="C3328"/>
    </row>
    <row r="3329" ht="14.5" spans="3:3">
      <c r="C3329"/>
    </row>
    <row r="3330" ht="14.5" spans="3:3">
      <c r="C3330"/>
    </row>
    <row r="3331" ht="14.5" spans="3:3">
      <c r="C3331"/>
    </row>
    <row r="3332" ht="14.5" spans="3:3">
      <c r="C3332"/>
    </row>
    <row r="3333" ht="14.5" spans="3:3">
      <c r="C3333"/>
    </row>
    <row r="3334" ht="14.5" spans="3:3">
      <c r="C3334"/>
    </row>
    <row r="3335" ht="14.5" spans="3:3">
      <c r="C3335"/>
    </row>
    <row r="3336" ht="14.5" spans="3:3">
      <c r="C3336"/>
    </row>
    <row r="3337" ht="14.5" spans="3:3">
      <c r="C3337"/>
    </row>
    <row r="3338" ht="14.5" spans="3:3">
      <c r="C3338"/>
    </row>
    <row r="3339" ht="14.5" spans="3:3">
      <c r="C3339"/>
    </row>
    <row r="3340" ht="14.5" spans="3:3">
      <c r="C3340"/>
    </row>
    <row r="3341" ht="14.5" spans="3:3">
      <c r="C3341"/>
    </row>
    <row r="3342" ht="14.5" spans="3:3">
      <c r="C3342"/>
    </row>
    <row r="3343" ht="14.5" spans="3:3">
      <c r="C3343"/>
    </row>
    <row r="3344" ht="14.5" spans="3:3">
      <c r="C3344"/>
    </row>
    <row r="3345" ht="14.5" spans="3:3">
      <c r="C3345"/>
    </row>
    <row r="3346" ht="14.5" spans="3:3">
      <c r="C3346"/>
    </row>
    <row r="3347" ht="14.5" spans="3:3">
      <c r="C3347"/>
    </row>
    <row r="3348" ht="14.5" spans="3:3">
      <c r="C3348"/>
    </row>
    <row r="3349" ht="14.5" spans="3:3">
      <c r="C3349"/>
    </row>
    <row r="3350" ht="14.5" spans="3:3">
      <c r="C3350"/>
    </row>
    <row r="3351" ht="14.5" spans="3:3">
      <c r="C3351"/>
    </row>
    <row r="3352" ht="14.5" spans="3:3">
      <c r="C3352"/>
    </row>
    <row r="3353" ht="14.5" spans="3:3">
      <c r="C3353"/>
    </row>
    <row r="3354" ht="14.5" spans="3:3">
      <c r="C3354"/>
    </row>
    <row r="3355" ht="14.5" spans="3:3">
      <c r="C3355"/>
    </row>
    <row r="3356" ht="14.5" spans="3:3">
      <c r="C3356"/>
    </row>
    <row r="3357" ht="14.5" spans="3:3">
      <c r="C3357"/>
    </row>
    <row r="3358" ht="14.5" spans="3:3">
      <c r="C3358"/>
    </row>
    <row r="3359" ht="14.5" spans="3:3">
      <c r="C3359"/>
    </row>
    <row r="3360" ht="14.5" spans="3:3">
      <c r="C3360"/>
    </row>
    <row r="3361" ht="14.5" spans="3:3">
      <c r="C3361"/>
    </row>
    <row r="3362" ht="14.5" spans="3:3">
      <c r="C3362"/>
    </row>
    <row r="3363" ht="14.5" spans="3:3">
      <c r="C3363"/>
    </row>
    <row r="3364" ht="14.5" spans="3:3">
      <c r="C3364"/>
    </row>
    <row r="3365" ht="14.5" spans="3:3">
      <c r="C3365"/>
    </row>
    <row r="3366" ht="14.5" spans="3:3">
      <c r="C3366"/>
    </row>
    <row r="3367" ht="14.5" spans="3:3">
      <c r="C3367"/>
    </row>
    <row r="3368" ht="14.5" spans="3:3">
      <c r="C3368"/>
    </row>
    <row r="3369" ht="14.5" spans="3:3">
      <c r="C3369"/>
    </row>
    <row r="3370" ht="14.5" spans="3:3">
      <c r="C3370"/>
    </row>
    <row r="3371" ht="14.5" spans="3:3">
      <c r="C3371"/>
    </row>
    <row r="3372" ht="14.5" spans="3:3">
      <c r="C3372"/>
    </row>
    <row r="3373" ht="14.5" spans="3:3">
      <c r="C3373"/>
    </row>
    <row r="3374" ht="14.5" spans="3:3">
      <c r="C3374"/>
    </row>
    <row r="3375" ht="14.5" spans="3:3">
      <c r="C3375"/>
    </row>
    <row r="3376" ht="14.5" spans="3:3">
      <c r="C3376"/>
    </row>
    <row r="3377" ht="14.5" spans="3:3">
      <c r="C3377"/>
    </row>
    <row r="3378" ht="14.5" spans="3:3">
      <c r="C3378"/>
    </row>
    <row r="3379" ht="14.5" spans="3:3">
      <c r="C3379"/>
    </row>
    <row r="3380" ht="14.5" spans="3:3">
      <c r="C3380"/>
    </row>
    <row r="3381" ht="14.5" spans="3:3">
      <c r="C3381"/>
    </row>
    <row r="3382" ht="14.5" spans="3:3">
      <c r="C3382"/>
    </row>
    <row r="3383" ht="14.5" spans="3:3">
      <c r="C3383"/>
    </row>
    <row r="3384" ht="14.5" spans="3:3">
      <c r="C3384"/>
    </row>
    <row r="3385" ht="14.5" spans="3:3">
      <c r="C3385"/>
    </row>
    <row r="3386" ht="14.5" spans="3:3">
      <c r="C3386"/>
    </row>
    <row r="3387" ht="14.5" spans="3:3">
      <c r="C3387"/>
    </row>
    <row r="3388" ht="14.5" spans="3:3">
      <c r="C3388"/>
    </row>
    <row r="3389" ht="14.5" spans="3:3">
      <c r="C3389"/>
    </row>
    <row r="3390" ht="14.5" spans="3:3">
      <c r="C3390"/>
    </row>
    <row r="3391" ht="14.5" spans="3:3">
      <c r="C3391"/>
    </row>
    <row r="3392" ht="14.5" spans="3:3">
      <c r="C3392"/>
    </row>
    <row r="3393" ht="14.5" spans="3:3">
      <c r="C3393"/>
    </row>
    <row r="3394" ht="14.5" spans="3:3">
      <c r="C3394"/>
    </row>
    <row r="3395" ht="14.5" spans="3:3">
      <c r="C3395"/>
    </row>
    <row r="3396" ht="14.5" spans="3:3">
      <c r="C3396"/>
    </row>
    <row r="3397" ht="14.5" spans="3:3">
      <c r="C3397"/>
    </row>
    <row r="3398" ht="14.5" spans="3:3">
      <c r="C3398"/>
    </row>
    <row r="3399" ht="14.5" spans="3:3">
      <c r="C3399"/>
    </row>
    <row r="3400" ht="14.5" spans="3:3">
      <c r="C3400"/>
    </row>
    <row r="3401" ht="14.5" spans="3:3">
      <c r="C3401"/>
    </row>
    <row r="3402" ht="14.5" spans="3:3">
      <c r="C3402"/>
    </row>
    <row r="3403" ht="14.5" spans="3:3">
      <c r="C3403"/>
    </row>
    <row r="3404" ht="14.5" spans="3:3">
      <c r="C3404"/>
    </row>
    <row r="3405" ht="14.5" spans="3:3">
      <c r="C3405"/>
    </row>
    <row r="3406" ht="14.5" spans="3:3">
      <c r="C3406"/>
    </row>
    <row r="3407" ht="14.5" spans="3:3">
      <c r="C3407"/>
    </row>
    <row r="3408" ht="14.5" spans="3:3">
      <c r="C3408"/>
    </row>
    <row r="3409" ht="14.5" spans="3:3">
      <c r="C3409"/>
    </row>
    <row r="3410" ht="14.5" spans="3:3">
      <c r="C3410"/>
    </row>
    <row r="3411" ht="14.5" spans="3:3">
      <c r="C3411"/>
    </row>
    <row r="3412" ht="14.5" spans="3:3">
      <c r="C3412"/>
    </row>
    <row r="3413" ht="14.5" spans="3:3">
      <c r="C3413"/>
    </row>
    <row r="3414" ht="14.5" spans="3:3">
      <c r="C3414"/>
    </row>
    <row r="3415" ht="14.5" spans="3:3">
      <c r="C3415"/>
    </row>
    <row r="3416" ht="14.5" spans="3:3">
      <c r="C3416"/>
    </row>
    <row r="3417" ht="14.5" spans="3:3">
      <c r="C3417"/>
    </row>
    <row r="3418" ht="14.5" spans="3:3">
      <c r="C3418"/>
    </row>
    <row r="3419" ht="14.5" spans="3:3">
      <c r="C3419"/>
    </row>
    <row r="3420" ht="14.5" spans="3:3">
      <c r="C3420"/>
    </row>
    <row r="3421" ht="14.5" spans="3:3">
      <c r="C3421"/>
    </row>
    <row r="3422" ht="14.5" spans="3:3">
      <c r="C3422"/>
    </row>
    <row r="3423" ht="14.5" spans="3:3">
      <c r="C3423"/>
    </row>
    <row r="3424" ht="14.5" spans="3:3">
      <c r="C3424"/>
    </row>
    <row r="3425" ht="14.5" spans="3:3">
      <c r="C3425"/>
    </row>
    <row r="3426" ht="14.5" spans="3:3">
      <c r="C3426"/>
    </row>
    <row r="3427" ht="14.5" spans="3:3">
      <c r="C3427"/>
    </row>
    <row r="3428" ht="14.5" spans="3:3">
      <c r="C3428"/>
    </row>
    <row r="3429" ht="14.5" spans="3:3">
      <c r="C3429"/>
    </row>
    <row r="3430" ht="14.5" spans="3:3">
      <c r="C3430"/>
    </row>
    <row r="3431" ht="14.5" spans="3:3">
      <c r="C3431"/>
    </row>
    <row r="3432" ht="14.5" spans="3:3">
      <c r="C3432"/>
    </row>
    <row r="3433" ht="14.5" spans="3:3">
      <c r="C3433"/>
    </row>
    <row r="3434" ht="14.5" spans="3:3">
      <c r="C3434"/>
    </row>
    <row r="3435" ht="14.5" spans="3:3">
      <c r="C3435"/>
    </row>
    <row r="3436" ht="14.5" spans="3:3">
      <c r="C3436"/>
    </row>
    <row r="3437" ht="14.5" spans="3:3">
      <c r="C3437"/>
    </row>
    <row r="3438" ht="14.5" spans="3:3">
      <c r="C3438"/>
    </row>
    <row r="3439" ht="14.5" spans="3:3">
      <c r="C3439"/>
    </row>
    <row r="3440" ht="14.5" spans="3:3">
      <c r="C3440"/>
    </row>
    <row r="3441" ht="14.5" spans="3:3">
      <c r="C3441"/>
    </row>
    <row r="3442" ht="14.5" spans="3:3">
      <c r="C3442"/>
    </row>
    <row r="3443" ht="14.5" spans="3:3">
      <c r="C3443"/>
    </row>
    <row r="3444" ht="14.5" spans="3:3">
      <c r="C3444"/>
    </row>
    <row r="3445" ht="14.5" spans="3:3">
      <c r="C3445"/>
    </row>
    <row r="3446" ht="14.5" spans="3:3">
      <c r="C3446"/>
    </row>
    <row r="3447" ht="14.5" spans="3:3">
      <c r="C3447"/>
    </row>
    <row r="3448" ht="14.5" spans="3:3">
      <c r="C3448"/>
    </row>
    <row r="3449" ht="14.5" spans="3:3">
      <c r="C3449"/>
    </row>
    <row r="3450" ht="14.5" spans="3:3">
      <c r="C3450"/>
    </row>
    <row r="3451" ht="14.5" spans="3:3">
      <c r="C3451"/>
    </row>
    <row r="3452" ht="14.5" spans="3:3">
      <c r="C3452"/>
    </row>
    <row r="3453" ht="14.5" spans="3:3">
      <c r="C3453"/>
    </row>
    <row r="3454" ht="14.5" spans="3:3">
      <c r="C3454"/>
    </row>
    <row r="3455" ht="14.5" spans="3:3">
      <c r="C3455"/>
    </row>
    <row r="3456" ht="14.5" spans="3:3">
      <c r="C3456"/>
    </row>
    <row r="3457" ht="14.5" spans="3:3">
      <c r="C3457"/>
    </row>
    <row r="3458" ht="14.5" spans="3:3">
      <c r="C3458"/>
    </row>
    <row r="3459" ht="14.5" spans="3:3">
      <c r="C3459"/>
    </row>
    <row r="3460" ht="14.5" spans="3:3">
      <c r="C3460"/>
    </row>
    <row r="3461" ht="14.5" spans="3:3">
      <c r="C3461"/>
    </row>
    <row r="3462" ht="14.5" spans="3:3">
      <c r="C3462"/>
    </row>
    <row r="3463" ht="14.5" spans="3:3">
      <c r="C3463"/>
    </row>
    <row r="3464" ht="14.5" spans="3:3">
      <c r="C3464"/>
    </row>
    <row r="3465" ht="14.5" spans="3:3">
      <c r="C3465"/>
    </row>
    <row r="3466" ht="14.5" spans="3:3">
      <c r="C3466"/>
    </row>
    <row r="3467" ht="14.5" spans="3:3">
      <c r="C3467"/>
    </row>
    <row r="3468" ht="14.5" spans="3:3">
      <c r="C3468"/>
    </row>
    <row r="3469" ht="14.5" spans="3:3">
      <c r="C3469"/>
    </row>
    <row r="3470" ht="14.5" spans="3:3">
      <c r="C3470"/>
    </row>
    <row r="3471" ht="14.5" spans="3:3">
      <c r="C3471"/>
    </row>
    <row r="3472" ht="14.5" spans="3:3">
      <c r="C3472"/>
    </row>
    <row r="3473" ht="14.5" spans="3:3">
      <c r="C3473"/>
    </row>
    <row r="3474" ht="14.5" spans="3:3">
      <c r="C3474"/>
    </row>
    <row r="3475" ht="14.5" spans="3:3">
      <c r="C3475"/>
    </row>
    <row r="3476" ht="14.5" spans="3:3">
      <c r="C3476"/>
    </row>
    <row r="3477" ht="14.5" spans="3:3">
      <c r="C3477"/>
    </row>
    <row r="3478" ht="14.5" spans="3:3">
      <c r="C3478"/>
    </row>
    <row r="3479" ht="14.5" spans="3:3">
      <c r="C3479"/>
    </row>
    <row r="3480" ht="14.5" spans="3:3">
      <c r="C3480"/>
    </row>
    <row r="3481" ht="14.5" spans="3:3">
      <c r="C3481"/>
    </row>
    <row r="3482" ht="14.5" spans="3:3">
      <c r="C3482"/>
    </row>
    <row r="3483" ht="14.5" spans="3:3">
      <c r="C3483"/>
    </row>
    <row r="3484" ht="14.5" spans="3:3">
      <c r="C3484"/>
    </row>
    <row r="3485" ht="14.5" spans="3:3">
      <c r="C3485"/>
    </row>
    <row r="3486" ht="14.5" spans="3:3">
      <c r="C3486"/>
    </row>
    <row r="3487" ht="14.5" spans="3:3">
      <c r="C3487"/>
    </row>
    <row r="3488" ht="14.5" spans="3:3">
      <c r="C3488"/>
    </row>
    <row r="3489" ht="14.5" spans="3:3">
      <c r="C3489"/>
    </row>
    <row r="3490" ht="14.5" spans="3:3">
      <c r="C3490"/>
    </row>
    <row r="3491" ht="14.5" spans="3:3">
      <c r="C3491"/>
    </row>
    <row r="3492" ht="14.5" spans="3:3">
      <c r="C3492"/>
    </row>
    <row r="3493" ht="14.5" spans="3:3">
      <c r="C3493"/>
    </row>
    <row r="3494" ht="14.5" spans="3:3">
      <c r="C3494"/>
    </row>
    <row r="3495" ht="14.5" spans="3:3">
      <c r="C3495"/>
    </row>
    <row r="3496" ht="14.5" spans="3:3">
      <c r="C3496"/>
    </row>
    <row r="3497" ht="14.5" spans="3:3">
      <c r="C3497"/>
    </row>
    <row r="3498" ht="14.5" spans="3:3">
      <c r="C3498"/>
    </row>
    <row r="3499" ht="14.5" spans="3:3">
      <c r="C3499"/>
    </row>
    <row r="3500" ht="14.5" spans="3:3">
      <c r="C3500"/>
    </row>
    <row r="3501" ht="14.5" spans="3:3">
      <c r="C3501"/>
    </row>
    <row r="3502" ht="14.5" spans="3:3">
      <c r="C3502"/>
    </row>
    <row r="3503" ht="14.5" spans="3:3">
      <c r="C3503"/>
    </row>
    <row r="3504" ht="14.5" spans="3:3">
      <c r="C3504"/>
    </row>
    <row r="3505" ht="14.5" spans="3:3">
      <c r="C3505"/>
    </row>
    <row r="3506" ht="14.5" spans="3:3">
      <c r="C3506"/>
    </row>
    <row r="3507" ht="14.5" spans="3:3">
      <c r="C3507"/>
    </row>
    <row r="3508" ht="14.5" spans="3:3">
      <c r="C3508"/>
    </row>
    <row r="3509" ht="14.5" spans="3:3">
      <c r="C3509"/>
    </row>
    <row r="3510" ht="14.5" spans="3:3">
      <c r="C3510"/>
    </row>
    <row r="3511" ht="14.5" spans="3:3">
      <c r="C3511"/>
    </row>
    <row r="3512" ht="14.5" spans="3:3">
      <c r="C3512"/>
    </row>
    <row r="3513" ht="14.5" spans="3:3">
      <c r="C3513"/>
    </row>
    <row r="3514" ht="14.5" spans="3:3">
      <c r="C3514"/>
    </row>
    <row r="3515" ht="14.5" spans="3:3">
      <c r="C3515"/>
    </row>
    <row r="3516" ht="14.5" spans="3:3">
      <c r="C3516"/>
    </row>
    <row r="3517" ht="14.5" spans="3:3">
      <c r="C3517"/>
    </row>
    <row r="3518" ht="14.5" spans="3:3">
      <c r="C3518"/>
    </row>
    <row r="3519" ht="14.5" spans="3:3">
      <c r="C3519"/>
    </row>
    <row r="3520" ht="14.5" spans="3:3">
      <c r="C3520"/>
    </row>
    <row r="3521" ht="14.5" spans="3:3">
      <c r="C3521"/>
    </row>
    <row r="3522" ht="14.5" spans="3:3">
      <c r="C3522"/>
    </row>
    <row r="3523" ht="14.5" spans="3:3">
      <c r="C3523"/>
    </row>
    <row r="3524" ht="14.5" spans="3:3">
      <c r="C3524"/>
    </row>
    <row r="3525" ht="14.5" spans="3:3">
      <c r="C3525"/>
    </row>
    <row r="3526" ht="14.5" spans="3:3">
      <c r="C3526"/>
    </row>
    <row r="3527" ht="14.5" spans="3:3">
      <c r="C3527"/>
    </row>
    <row r="3528" ht="14.5" spans="3:3">
      <c r="C3528"/>
    </row>
    <row r="3529" ht="14.5" spans="3:3">
      <c r="C3529"/>
    </row>
    <row r="3530" ht="14.5" spans="3:3">
      <c r="C3530"/>
    </row>
    <row r="3531" ht="14.5" spans="3:3">
      <c r="C3531"/>
    </row>
    <row r="3532" ht="14.5" spans="3:3">
      <c r="C3532"/>
    </row>
    <row r="3533" ht="14.5" spans="3:3">
      <c r="C3533"/>
    </row>
    <row r="3534" ht="14.5" spans="3:3">
      <c r="C3534"/>
    </row>
    <row r="3535" ht="14.5" spans="3:3">
      <c r="C3535"/>
    </row>
    <row r="3536" ht="14.5" spans="3:3">
      <c r="C3536"/>
    </row>
    <row r="3537" ht="14.5" spans="3:3">
      <c r="C3537"/>
    </row>
    <row r="3538" ht="14.5" spans="3:3">
      <c r="C3538"/>
    </row>
    <row r="3539" ht="14.5" spans="3:3">
      <c r="C3539"/>
    </row>
    <row r="3540" ht="14.5" spans="3:3">
      <c r="C3540"/>
    </row>
    <row r="3541" ht="14.5" spans="3:3">
      <c r="C3541"/>
    </row>
    <row r="3542" ht="14.5" spans="3:3">
      <c r="C3542"/>
    </row>
    <row r="3543" ht="14.5" spans="3:3">
      <c r="C3543"/>
    </row>
    <row r="3544" ht="14.5" spans="3:3">
      <c r="C3544"/>
    </row>
    <row r="3545" ht="14.5" spans="3:3">
      <c r="C3545"/>
    </row>
    <row r="3546" ht="14.5" spans="3:3">
      <c r="C3546"/>
    </row>
    <row r="3547" ht="14.5" spans="3:3">
      <c r="C3547"/>
    </row>
    <row r="3548" ht="14.5" spans="3:3">
      <c r="C3548"/>
    </row>
    <row r="3549" ht="14.5" spans="3:3">
      <c r="C3549"/>
    </row>
    <row r="3550" ht="14.5" spans="3:3">
      <c r="C3550"/>
    </row>
    <row r="3551" ht="14.5" spans="3:3">
      <c r="C3551"/>
    </row>
    <row r="3552" ht="14.5" spans="3:3">
      <c r="C3552"/>
    </row>
    <row r="3553" ht="14.5" spans="3:3">
      <c r="C3553"/>
    </row>
    <row r="3554" ht="14.5" spans="3:3">
      <c r="C3554"/>
    </row>
    <row r="3555" ht="14.5" spans="3:3">
      <c r="C3555"/>
    </row>
    <row r="3556" ht="14.5" spans="3:3">
      <c r="C3556"/>
    </row>
    <row r="3557" ht="14.5" spans="3:3">
      <c r="C3557"/>
    </row>
    <row r="3558" ht="14.5" spans="3:3">
      <c r="C3558"/>
    </row>
    <row r="3559" ht="14.5" spans="3:3">
      <c r="C3559"/>
    </row>
    <row r="3560" ht="14.5" spans="3:3">
      <c r="C3560"/>
    </row>
    <row r="3561" ht="14.5" spans="3:3">
      <c r="C3561"/>
    </row>
    <row r="3562" ht="14.5" spans="3:3">
      <c r="C3562"/>
    </row>
    <row r="3563" ht="14.5" spans="3:3">
      <c r="C3563"/>
    </row>
    <row r="3564" ht="14.5" spans="3:3">
      <c r="C3564"/>
    </row>
    <row r="3565" ht="14.5" spans="3:3">
      <c r="C3565"/>
    </row>
    <row r="3566" ht="14.5" spans="3:3">
      <c r="C3566"/>
    </row>
    <row r="3567" ht="14.5" spans="3:3">
      <c r="C3567"/>
    </row>
    <row r="3568" ht="14.5" spans="3:3">
      <c r="C3568"/>
    </row>
    <row r="3569" ht="14.5" spans="3:3">
      <c r="C3569"/>
    </row>
    <row r="3570" ht="14.5" spans="3:3">
      <c r="C3570"/>
    </row>
    <row r="3571" ht="14.5" spans="3:3">
      <c r="C3571"/>
    </row>
    <row r="3572" ht="14.5" spans="3:3">
      <c r="C3572"/>
    </row>
    <row r="3573" ht="14.5" spans="3:3">
      <c r="C3573"/>
    </row>
    <row r="3574" ht="14.5" spans="3:3">
      <c r="C3574"/>
    </row>
    <row r="3575" ht="14.5" spans="3:3">
      <c r="C3575"/>
    </row>
    <row r="3576" ht="14.5" spans="3:3">
      <c r="C3576"/>
    </row>
    <row r="3577" ht="14.5" spans="3:3">
      <c r="C3577"/>
    </row>
    <row r="3578" ht="14.5" spans="3:3">
      <c r="C3578"/>
    </row>
    <row r="3579" ht="14.5" spans="3:3">
      <c r="C3579"/>
    </row>
    <row r="3580" ht="14.5" spans="3:3">
      <c r="C3580"/>
    </row>
    <row r="3581" ht="14.5" spans="3:3">
      <c r="C3581"/>
    </row>
    <row r="3582" ht="14.5" spans="3:3">
      <c r="C3582"/>
    </row>
    <row r="3583" ht="14.5" spans="3:3">
      <c r="C3583"/>
    </row>
    <row r="3584" ht="14.5" spans="3:3">
      <c r="C3584"/>
    </row>
    <row r="3585" ht="14.5" spans="3:3">
      <c r="C3585"/>
    </row>
    <row r="3586" ht="14.5" spans="3:3">
      <c r="C3586"/>
    </row>
    <row r="3587" ht="14.5" spans="3:3">
      <c r="C3587"/>
    </row>
    <row r="3588" ht="14.5" spans="3:3">
      <c r="C3588"/>
    </row>
    <row r="3589" ht="14.5" spans="3:3">
      <c r="C3589"/>
    </row>
    <row r="3590" ht="14.5" spans="3:3">
      <c r="C3590"/>
    </row>
    <row r="3591" ht="14.5" spans="3:3">
      <c r="C3591"/>
    </row>
    <row r="3592" ht="14.5" spans="3:3">
      <c r="C3592"/>
    </row>
    <row r="3593" ht="14.5" spans="3:3">
      <c r="C3593"/>
    </row>
    <row r="3594" ht="14.5" spans="3:3">
      <c r="C3594"/>
    </row>
    <row r="3595" ht="14.5" spans="3:3">
      <c r="C3595"/>
    </row>
    <row r="3596" ht="14.5" spans="3:3">
      <c r="C3596"/>
    </row>
    <row r="3597" ht="14.5" spans="3:3">
      <c r="C3597"/>
    </row>
    <row r="3598" ht="14.5" spans="3:3">
      <c r="C3598"/>
    </row>
    <row r="3599" ht="14.5" spans="3:3">
      <c r="C3599"/>
    </row>
    <row r="3600" ht="14.5" spans="3:3">
      <c r="C3600"/>
    </row>
    <row r="3601" ht="14.5" spans="3:3">
      <c r="C3601"/>
    </row>
    <row r="3602" ht="14.5" spans="3:3">
      <c r="C3602"/>
    </row>
    <row r="3603" ht="14.5" spans="3:3">
      <c r="C3603"/>
    </row>
    <row r="3604" ht="14.5" spans="3:3">
      <c r="C3604"/>
    </row>
    <row r="3605" ht="14.5" spans="3:3">
      <c r="C3605"/>
    </row>
    <row r="3606" ht="14.5" spans="3:3">
      <c r="C3606"/>
    </row>
    <row r="3607" ht="14.5" spans="3:3">
      <c r="C3607"/>
    </row>
    <row r="3608" ht="14.5" spans="3:3">
      <c r="C3608"/>
    </row>
    <row r="3609" ht="14.5" spans="3:3">
      <c r="C3609"/>
    </row>
    <row r="3610" ht="14.5" spans="3:3">
      <c r="C3610"/>
    </row>
    <row r="3611" ht="14.5" spans="3:3">
      <c r="C3611"/>
    </row>
    <row r="3612" ht="14.5" spans="3:3">
      <c r="C3612"/>
    </row>
    <row r="3613" ht="14.5" spans="3:3">
      <c r="C3613"/>
    </row>
    <row r="3614" ht="14.5" spans="3:3">
      <c r="C3614"/>
    </row>
    <row r="3615" ht="14.5" spans="3:3">
      <c r="C3615"/>
    </row>
    <row r="3616" ht="14.5" spans="3:3">
      <c r="C3616"/>
    </row>
    <row r="3617" ht="14.5" spans="3:3">
      <c r="C3617"/>
    </row>
    <row r="3618" ht="14.5" spans="3:3">
      <c r="C3618"/>
    </row>
    <row r="3619" ht="14.5" spans="3:3">
      <c r="C3619"/>
    </row>
    <row r="3620" ht="14.5" spans="3:3">
      <c r="C3620"/>
    </row>
    <row r="3621" ht="14.5" spans="3:3">
      <c r="C3621"/>
    </row>
    <row r="3622" ht="14.5" spans="3:3">
      <c r="C3622"/>
    </row>
    <row r="3623" ht="14.5" spans="3:3">
      <c r="C3623"/>
    </row>
    <row r="3624" ht="14.5" spans="3:3">
      <c r="C3624"/>
    </row>
    <row r="3625" ht="14.5" spans="3:3">
      <c r="C3625"/>
    </row>
    <row r="3626" ht="14.5" spans="3:3">
      <c r="C3626"/>
    </row>
    <row r="3627" ht="14.5" spans="3:3">
      <c r="C3627"/>
    </row>
    <row r="3628" ht="14.5" spans="3:3">
      <c r="C3628"/>
    </row>
    <row r="3629" ht="14.5" spans="3:3">
      <c r="C3629"/>
    </row>
    <row r="3630" ht="14.5" spans="3:3">
      <c r="C3630"/>
    </row>
    <row r="3631" ht="14.5" spans="3:3">
      <c r="C3631"/>
    </row>
    <row r="3632" ht="14.5" spans="3:3">
      <c r="C3632"/>
    </row>
    <row r="3633" ht="14.5" spans="3:3">
      <c r="C3633"/>
    </row>
    <row r="3634" ht="14.5" spans="3:3">
      <c r="C3634"/>
    </row>
    <row r="3635" ht="14.5" spans="3:3">
      <c r="C3635"/>
    </row>
    <row r="3636" ht="14.5" spans="3:3">
      <c r="C3636"/>
    </row>
    <row r="3637" ht="14.5" spans="3:3">
      <c r="C3637"/>
    </row>
    <row r="3638" ht="14.5" spans="3:3">
      <c r="C3638"/>
    </row>
    <row r="3639" ht="14.5" spans="3:3">
      <c r="C3639"/>
    </row>
    <row r="3640" ht="14.5" spans="3:3">
      <c r="C3640"/>
    </row>
    <row r="3641" ht="14.5" spans="3:3">
      <c r="C3641"/>
    </row>
    <row r="3642" ht="14.5" spans="3:3">
      <c r="C3642"/>
    </row>
    <row r="3643" ht="14.5" spans="3:3">
      <c r="C3643"/>
    </row>
    <row r="3644" ht="14.5" spans="3:3">
      <c r="C3644"/>
    </row>
    <row r="3645" ht="14.5" spans="3:3">
      <c r="C3645"/>
    </row>
    <row r="3646" ht="14.5" spans="3:3">
      <c r="C3646"/>
    </row>
    <row r="3647" ht="14.5" spans="3:3">
      <c r="C3647"/>
    </row>
    <row r="3648" ht="14.5" spans="3:3">
      <c r="C3648"/>
    </row>
    <row r="3649" ht="14.5" spans="3:3">
      <c r="C3649"/>
    </row>
    <row r="3650" ht="14.5" spans="3:3">
      <c r="C3650"/>
    </row>
    <row r="3651" ht="14.5" spans="3:3">
      <c r="C3651"/>
    </row>
    <row r="3652" ht="14.5" spans="3:3">
      <c r="C3652"/>
    </row>
    <row r="3653" ht="14.5" spans="3:3">
      <c r="C3653"/>
    </row>
    <row r="3654" ht="14.5" spans="3:3">
      <c r="C3654"/>
    </row>
    <row r="3655" ht="14.5" spans="3:3">
      <c r="C3655"/>
    </row>
    <row r="3656" ht="14.5" spans="3:3">
      <c r="C3656"/>
    </row>
    <row r="3657" ht="14.5" spans="3:3">
      <c r="C3657"/>
    </row>
    <row r="3658" ht="14.5" spans="3:3">
      <c r="C3658"/>
    </row>
    <row r="3659" ht="14.5" spans="3:3">
      <c r="C3659"/>
    </row>
    <row r="3660" ht="14.5" spans="3:3">
      <c r="C3660"/>
    </row>
    <row r="3661" ht="14.5" spans="3:3">
      <c r="C3661"/>
    </row>
    <row r="3662" ht="14.5" spans="3:3">
      <c r="C3662"/>
    </row>
    <row r="3663" ht="14.5" spans="3:3">
      <c r="C3663"/>
    </row>
    <row r="3664" ht="14.5" spans="3:3">
      <c r="C3664"/>
    </row>
    <row r="3665" ht="14.5" spans="3:3">
      <c r="C3665"/>
    </row>
    <row r="3666" ht="14.5" spans="3:3">
      <c r="C3666"/>
    </row>
    <row r="3667" ht="14.5" spans="3:3">
      <c r="C3667"/>
    </row>
    <row r="3668" ht="14.5" spans="3:3">
      <c r="C3668"/>
    </row>
    <row r="3669" ht="14.5" spans="3:3">
      <c r="C3669"/>
    </row>
    <row r="3670" ht="14.5" spans="3:3">
      <c r="C3670"/>
    </row>
    <row r="3671" ht="14.5" spans="3:3">
      <c r="C3671"/>
    </row>
    <row r="3672" ht="14.5" spans="3:3">
      <c r="C3672"/>
    </row>
    <row r="3673" ht="14.5" spans="3:3">
      <c r="C3673"/>
    </row>
    <row r="3674" ht="14.5" spans="3:3">
      <c r="C3674"/>
    </row>
    <row r="3675" ht="14.5" spans="3:3">
      <c r="C3675"/>
    </row>
    <row r="3676" ht="14.5" spans="3:3">
      <c r="C3676"/>
    </row>
    <row r="3677" ht="14.5" spans="3:3">
      <c r="C3677"/>
    </row>
    <row r="3678" ht="14.5" spans="3:3">
      <c r="C3678"/>
    </row>
    <row r="3679" ht="14.5" spans="3:3">
      <c r="C3679"/>
    </row>
    <row r="3680" ht="14.5" spans="3:3">
      <c r="C3680"/>
    </row>
    <row r="3681" ht="14.5" spans="3:3">
      <c r="C3681"/>
    </row>
    <row r="3682" ht="14.5" spans="3:3">
      <c r="C3682"/>
    </row>
    <row r="3683" ht="14.5" spans="3:3">
      <c r="C3683"/>
    </row>
    <row r="3684" ht="14.5" spans="3:3">
      <c r="C3684"/>
    </row>
    <row r="3685" ht="14.5" spans="3:3">
      <c r="C3685"/>
    </row>
    <row r="3686" ht="14.5" spans="3:3">
      <c r="C3686"/>
    </row>
    <row r="3687" ht="14.5" spans="3:3">
      <c r="C3687"/>
    </row>
    <row r="3688" ht="14.5" spans="3:3">
      <c r="C3688"/>
    </row>
    <row r="3689" ht="14.5" spans="3:3">
      <c r="C3689"/>
    </row>
    <row r="3690" ht="14.5" spans="3:3">
      <c r="C3690"/>
    </row>
    <row r="3691" ht="14.5" spans="3:3">
      <c r="C3691"/>
    </row>
    <row r="3692" ht="14.5" spans="3:3">
      <c r="C3692"/>
    </row>
    <row r="3693" ht="14.5" spans="3:3">
      <c r="C3693"/>
    </row>
    <row r="3694" ht="14.5" spans="3:3">
      <c r="C3694"/>
    </row>
    <row r="3695" ht="14.5" spans="3:3">
      <c r="C3695"/>
    </row>
    <row r="3696" ht="14.5" spans="3:3">
      <c r="C3696"/>
    </row>
    <row r="3697" ht="14.5" spans="3:3">
      <c r="C3697"/>
    </row>
    <row r="3698" ht="14.5" spans="3:3">
      <c r="C3698"/>
    </row>
    <row r="3699" ht="14.5" spans="3:3">
      <c r="C3699"/>
    </row>
    <row r="3700" ht="14.5" spans="3:3">
      <c r="C3700"/>
    </row>
    <row r="3701" ht="14.5" spans="3:3">
      <c r="C3701"/>
    </row>
    <row r="3702" ht="14.5" spans="3:3">
      <c r="C3702"/>
    </row>
    <row r="3703" ht="14.5" spans="3:3">
      <c r="C3703"/>
    </row>
    <row r="3704" ht="14.5" spans="3:3">
      <c r="C3704"/>
    </row>
    <row r="3705" ht="14.5" spans="3:3">
      <c r="C3705"/>
    </row>
    <row r="3706" ht="14.5" spans="3:3">
      <c r="C3706"/>
    </row>
    <row r="3707" ht="14.5" spans="3:3">
      <c r="C3707"/>
    </row>
    <row r="3708" ht="14.5" spans="3:3">
      <c r="C3708"/>
    </row>
    <row r="3709" ht="14.5" spans="3:3">
      <c r="C3709"/>
    </row>
    <row r="3710" ht="14.5" spans="3:3">
      <c r="C3710"/>
    </row>
    <row r="3711" ht="14.5" spans="3:3">
      <c r="C3711"/>
    </row>
    <row r="3712" ht="14.5" spans="3:3">
      <c r="C3712"/>
    </row>
    <row r="3713" ht="14.5" spans="3:3">
      <c r="C3713"/>
    </row>
    <row r="3714" ht="14.5" spans="3:3">
      <c r="C3714"/>
    </row>
    <row r="3715" ht="14.5" spans="3:3">
      <c r="C3715"/>
    </row>
    <row r="3716" ht="14.5" spans="3:3">
      <c r="C3716"/>
    </row>
    <row r="3717" ht="14.5" spans="3:3">
      <c r="C3717"/>
    </row>
    <row r="3718" ht="14.5" spans="3:3">
      <c r="C3718"/>
    </row>
    <row r="3719" ht="14.5" spans="3:3">
      <c r="C3719"/>
    </row>
    <row r="3720" ht="14.5" spans="3:3">
      <c r="C3720"/>
    </row>
    <row r="3721" ht="14.5" spans="3:3">
      <c r="C3721"/>
    </row>
    <row r="3722" ht="14.5" spans="3:3">
      <c r="C3722"/>
    </row>
    <row r="3723" ht="14.5" spans="3:3">
      <c r="C3723"/>
    </row>
    <row r="3724" ht="14.5" spans="3:3">
      <c r="C3724"/>
    </row>
    <row r="3725" ht="14.5" spans="3:3">
      <c r="C3725"/>
    </row>
    <row r="3726" ht="14.5" spans="3:3">
      <c r="C3726"/>
    </row>
    <row r="3727" ht="14.5" spans="3:3">
      <c r="C3727"/>
    </row>
    <row r="3728" ht="14.5" spans="3:3">
      <c r="C3728"/>
    </row>
    <row r="3729" ht="14.5" spans="3:3">
      <c r="C3729"/>
    </row>
    <row r="3730" ht="14.5" spans="3:3">
      <c r="C3730"/>
    </row>
    <row r="3731" ht="14.5" spans="3:3">
      <c r="C3731"/>
    </row>
    <row r="3732" ht="14.5" spans="3:3">
      <c r="C3732"/>
    </row>
    <row r="3733" ht="14.5" spans="3:3">
      <c r="C3733"/>
    </row>
    <row r="3734" ht="14.5" spans="3:3">
      <c r="C3734"/>
    </row>
    <row r="3735" ht="14.5" spans="3:3">
      <c r="C3735"/>
    </row>
    <row r="3736" ht="14.5" spans="3:3">
      <c r="C3736"/>
    </row>
    <row r="3737" ht="14.5" spans="3:3">
      <c r="C3737"/>
    </row>
    <row r="3738" ht="14.5" spans="3:3">
      <c r="C3738"/>
    </row>
    <row r="3739" ht="14.5" spans="3:3">
      <c r="C3739"/>
    </row>
    <row r="3740" ht="14.5" spans="3:3">
      <c r="C3740"/>
    </row>
    <row r="3741" ht="14.5" spans="3:3">
      <c r="C3741"/>
    </row>
    <row r="3742" ht="14.5" spans="3:3">
      <c r="C3742"/>
    </row>
    <row r="3743" ht="14.5" spans="3:3">
      <c r="C3743"/>
    </row>
    <row r="3744" ht="14.5" spans="3:3">
      <c r="C3744"/>
    </row>
    <row r="3745" ht="14.5" spans="3:3">
      <c r="C3745"/>
    </row>
    <row r="3746" ht="14.5" spans="3:3">
      <c r="C3746"/>
    </row>
    <row r="3747" ht="14.5" spans="3:3">
      <c r="C3747"/>
    </row>
    <row r="3748" ht="14.5" spans="3:3">
      <c r="C3748"/>
    </row>
    <row r="3749" ht="14.5" spans="3:3">
      <c r="C3749"/>
    </row>
    <row r="3750" ht="14.5" spans="3:3">
      <c r="C3750"/>
    </row>
    <row r="3751" ht="14.5" spans="3:3">
      <c r="C3751"/>
    </row>
    <row r="3752" ht="14.5" spans="3:3">
      <c r="C3752"/>
    </row>
    <row r="3753" ht="14.5" spans="3:3">
      <c r="C3753"/>
    </row>
    <row r="3754" ht="14.5" spans="3:3">
      <c r="C3754"/>
    </row>
    <row r="3755" ht="14.5" spans="3:3">
      <c r="C3755"/>
    </row>
    <row r="3756" ht="14.5" spans="3:3">
      <c r="C3756"/>
    </row>
    <row r="3757" ht="14.5" spans="3:3">
      <c r="C3757"/>
    </row>
    <row r="3758" ht="14.5" spans="3:3">
      <c r="C3758"/>
    </row>
    <row r="3759" ht="14.5" spans="3:3">
      <c r="C3759"/>
    </row>
    <row r="3760" ht="14.5" spans="3:3">
      <c r="C3760"/>
    </row>
    <row r="3761" ht="14.5" spans="3:3">
      <c r="C3761"/>
    </row>
    <row r="3762" ht="14.5" spans="3:3">
      <c r="C3762"/>
    </row>
    <row r="3763" ht="14.5" spans="3:3">
      <c r="C3763"/>
    </row>
    <row r="3764" ht="14.5" spans="3:3">
      <c r="C3764"/>
    </row>
    <row r="3765" ht="14.5" spans="3:3">
      <c r="C3765"/>
    </row>
    <row r="3766" ht="14.5" spans="3:3">
      <c r="C3766"/>
    </row>
    <row r="3767" ht="14.5" spans="3:3">
      <c r="C3767"/>
    </row>
    <row r="3768" ht="14.5" spans="3:3">
      <c r="C3768"/>
    </row>
    <row r="3769" ht="14.5" spans="3:3">
      <c r="C3769"/>
    </row>
    <row r="3770" ht="14.5" spans="3:3">
      <c r="C3770"/>
    </row>
    <row r="3771" ht="14.5" spans="3:3">
      <c r="C3771"/>
    </row>
    <row r="3772" ht="14.5" spans="3:3">
      <c r="C3772"/>
    </row>
    <row r="3773" ht="14.5" spans="3:3">
      <c r="C3773"/>
    </row>
    <row r="3774" ht="14.5" spans="3:3">
      <c r="C3774"/>
    </row>
    <row r="3775" ht="14.5" spans="3:3">
      <c r="C3775"/>
    </row>
    <row r="3776" ht="14.5" spans="3:3">
      <c r="C3776"/>
    </row>
    <row r="3777" ht="14.5" spans="3:3">
      <c r="C3777"/>
    </row>
    <row r="3778" ht="14.5" spans="3:3">
      <c r="C3778"/>
    </row>
    <row r="3779" ht="14.5" spans="3:3">
      <c r="C3779"/>
    </row>
    <row r="3780" ht="14.5" spans="3:3">
      <c r="C3780"/>
    </row>
    <row r="3781" ht="14.5" spans="3:3">
      <c r="C3781"/>
    </row>
    <row r="3782" ht="14.5" spans="3:3">
      <c r="C3782"/>
    </row>
    <row r="3783" ht="14.5" spans="3:3">
      <c r="C3783"/>
    </row>
    <row r="3784" ht="14.5" spans="3:3">
      <c r="C3784"/>
    </row>
    <row r="3785" ht="14.5" spans="3:3">
      <c r="C3785"/>
    </row>
    <row r="3786" ht="14.5" spans="3:3">
      <c r="C3786"/>
    </row>
    <row r="3787" ht="14.5" spans="3:3">
      <c r="C3787"/>
    </row>
    <row r="3788" ht="14.5" spans="3:3">
      <c r="C3788"/>
    </row>
    <row r="3789" ht="14.5" spans="3:3">
      <c r="C3789"/>
    </row>
    <row r="3790" ht="14.5" spans="3:3">
      <c r="C3790"/>
    </row>
    <row r="3791" ht="14.5" spans="3:3">
      <c r="C3791"/>
    </row>
    <row r="3792" ht="14.5" spans="3:3">
      <c r="C3792"/>
    </row>
    <row r="3793" ht="14.5" spans="3:3">
      <c r="C3793"/>
    </row>
    <row r="3794" ht="14.5" spans="3:3">
      <c r="C3794"/>
    </row>
    <row r="3795" ht="14.5" spans="3:3">
      <c r="C3795"/>
    </row>
    <row r="3796" ht="14.5" spans="3:3">
      <c r="C3796"/>
    </row>
    <row r="3797" ht="14.5" spans="3:3">
      <c r="C3797"/>
    </row>
    <row r="3798" ht="14.5" spans="3:3">
      <c r="C3798"/>
    </row>
    <row r="3799" ht="14.5" spans="3:3">
      <c r="C3799"/>
    </row>
    <row r="3800" ht="14.5" spans="3:3">
      <c r="C3800"/>
    </row>
    <row r="3801" ht="14.5" spans="3:3">
      <c r="C3801"/>
    </row>
    <row r="3802" ht="14.5" spans="3:3">
      <c r="C3802"/>
    </row>
    <row r="3803" ht="14.5" spans="3:3">
      <c r="C3803"/>
    </row>
    <row r="3804" ht="14.5" spans="3:3">
      <c r="C3804"/>
    </row>
    <row r="3805" ht="14.5" spans="3:3">
      <c r="C3805"/>
    </row>
    <row r="3806" ht="14.5" spans="3:3">
      <c r="C3806"/>
    </row>
    <row r="3807" ht="14.5" spans="3:3">
      <c r="C3807"/>
    </row>
    <row r="3808" ht="14.5" spans="3:3">
      <c r="C3808"/>
    </row>
    <row r="3809" ht="14.5" spans="3:3">
      <c r="C3809"/>
    </row>
    <row r="3810" ht="14.5" spans="3:3">
      <c r="C3810"/>
    </row>
    <row r="3811" ht="14.5" spans="3:3">
      <c r="C3811"/>
    </row>
    <row r="3812" ht="14.5" spans="3:3">
      <c r="C3812"/>
    </row>
    <row r="3813" ht="14.5" spans="3:3">
      <c r="C3813"/>
    </row>
    <row r="3814" ht="14.5" spans="3:3">
      <c r="C3814"/>
    </row>
    <row r="3815" ht="14.5" spans="3:3">
      <c r="C3815"/>
    </row>
    <row r="3816" ht="14.5" spans="3:3">
      <c r="C3816"/>
    </row>
    <row r="3817" ht="14.5" spans="3:3">
      <c r="C3817"/>
    </row>
    <row r="3818" ht="14.5" spans="3:3">
      <c r="C3818"/>
    </row>
    <row r="3819" ht="14.5" spans="3:3">
      <c r="C3819"/>
    </row>
    <row r="3820" ht="14.5" spans="3:3">
      <c r="C3820"/>
    </row>
    <row r="3821" ht="14.5" spans="3:3">
      <c r="C3821"/>
    </row>
    <row r="3822" ht="14.5" spans="3:3">
      <c r="C3822"/>
    </row>
    <row r="3823" ht="14.5" spans="3:3">
      <c r="C3823"/>
    </row>
    <row r="3824" ht="14.5" spans="3:3">
      <c r="C3824"/>
    </row>
    <row r="3825" ht="14.5" spans="3:3">
      <c r="C3825"/>
    </row>
    <row r="3826" ht="14.5" spans="3:3">
      <c r="C3826"/>
    </row>
    <row r="3827" ht="14.5" spans="3:3">
      <c r="C3827"/>
    </row>
    <row r="3828" ht="14.5" spans="3:3">
      <c r="C3828"/>
    </row>
    <row r="3829" ht="14.5" spans="3:3">
      <c r="C3829"/>
    </row>
    <row r="3830" ht="14.5" spans="3:3">
      <c r="C3830"/>
    </row>
    <row r="3831" ht="14.5" spans="3:3">
      <c r="C3831"/>
    </row>
    <row r="3832" ht="14.5" spans="3:3">
      <c r="C3832"/>
    </row>
    <row r="3833" ht="14.5" spans="3:3">
      <c r="C3833"/>
    </row>
    <row r="3834" ht="14.5" spans="3:3">
      <c r="C3834"/>
    </row>
    <row r="3835" ht="14.5" spans="3:3">
      <c r="C3835"/>
    </row>
    <row r="3836" ht="14.5" spans="3:3">
      <c r="C3836"/>
    </row>
    <row r="3837" ht="14.5" spans="3:3">
      <c r="C3837"/>
    </row>
    <row r="3838" ht="14.5" spans="3:3">
      <c r="C3838"/>
    </row>
    <row r="3839" ht="14.5" spans="3:3">
      <c r="C3839"/>
    </row>
    <row r="3840" ht="14.5" spans="3:3">
      <c r="C3840"/>
    </row>
    <row r="3841" ht="14.5" spans="3:3">
      <c r="C3841"/>
    </row>
    <row r="3842" ht="14.5" spans="3:3">
      <c r="C3842"/>
    </row>
    <row r="3843" ht="14.5" spans="3:3">
      <c r="C3843"/>
    </row>
    <row r="3844" ht="14.5" spans="3:3">
      <c r="C3844"/>
    </row>
    <row r="3845" ht="14.5" spans="3:3">
      <c r="C3845"/>
    </row>
    <row r="3846" ht="14.5" spans="3:3">
      <c r="C3846"/>
    </row>
    <row r="3847" ht="14.5" spans="3:3">
      <c r="C3847"/>
    </row>
    <row r="3848" ht="14.5" spans="3:3">
      <c r="C3848"/>
    </row>
    <row r="3849" ht="14.5" spans="3:3">
      <c r="C3849"/>
    </row>
    <row r="3850" ht="14.5" spans="3:3">
      <c r="C3850"/>
    </row>
    <row r="3851" ht="14.5" spans="3:3">
      <c r="C3851"/>
    </row>
    <row r="3852" ht="14.5" spans="3:3">
      <c r="C3852"/>
    </row>
    <row r="3853" ht="14.5" spans="3:3">
      <c r="C3853"/>
    </row>
    <row r="3854" ht="14.5" spans="3:3">
      <c r="C3854"/>
    </row>
    <row r="3855" ht="14.5" spans="3:3">
      <c r="C3855"/>
    </row>
    <row r="3856" ht="14.5" spans="3:3">
      <c r="C3856"/>
    </row>
    <row r="3857" ht="14.5" spans="3:3">
      <c r="C3857"/>
    </row>
    <row r="3858" ht="14.5" spans="3:3">
      <c r="C3858"/>
    </row>
    <row r="3859" ht="14.5" spans="3:3">
      <c r="C3859"/>
    </row>
    <row r="3860" ht="14.5" spans="3:3">
      <c r="C3860"/>
    </row>
    <row r="3861" ht="14.5" spans="3:3">
      <c r="C3861"/>
    </row>
    <row r="3862" ht="14.5" spans="3:3">
      <c r="C3862"/>
    </row>
    <row r="3863" ht="14.5" spans="3:3">
      <c r="C3863"/>
    </row>
    <row r="3864" ht="14.5" spans="3:3">
      <c r="C3864"/>
    </row>
    <row r="3865" ht="14.5" spans="3:3">
      <c r="C3865"/>
    </row>
    <row r="3866" ht="14.5" spans="3:3">
      <c r="C3866"/>
    </row>
    <row r="3867" ht="14.5" spans="3:3">
      <c r="C3867"/>
    </row>
    <row r="3868" ht="14.5" spans="3:3">
      <c r="C3868"/>
    </row>
    <row r="3869" ht="14.5" spans="3:3">
      <c r="C3869"/>
    </row>
    <row r="3870" ht="14.5" spans="3:3">
      <c r="C3870"/>
    </row>
    <row r="3871" ht="14.5" spans="3:3">
      <c r="C3871"/>
    </row>
    <row r="3872" ht="14.5" spans="3:3">
      <c r="C3872"/>
    </row>
    <row r="3873" ht="14.5" spans="3:3">
      <c r="C3873"/>
    </row>
    <row r="3874" ht="14.5" spans="3:3">
      <c r="C3874"/>
    </row>
    <row r="3875" ht="14.5" spans="3:3">
      <c r="C3875"/>
    </row>
    <row r="3876" ht="14.5" spans="3:3">
      <c r="C3876"/>
    </row>
    <row r="3877" ht="14.5" spans="3:3">
      <c r="C3877"/>
    </row>
    <row r="3878" ht="14.5" spans="3:3">
      <c r="C3878"/>
    </row>
    <row r="3879" ht="14.5" spans="3:3">
      <c r="C3879"/>
    </row>
    <row r="3880" ht="14.5" spans="3:3">
      <c r="C3880"/>
    </row>
    <row r="3881" ht="14.5" spans="3:3">
      <c r="C3881"/>
    </row>
    <row r="3882" ht="14.5" spans="3:3">
      <c r="C3882"/>
    </row>
    <row r="3883" ht="14.5" spans="3:3">
      <c r="C3883"/>
    </row>
    <row r="3884" ht="14.5" spans="3:3">
      <c r="C3884"/>
    </row>
    <row r="3885" ht="14.5" spans="3:3">
      <c r="C3885"/>
    </row>
    <row r="3886" ht="14.5" spans="3:3">
      <c r="C3886"/>
    </row>
    <row r="3887" ht="14.5" spans="3:3">
      <c r="C3887"/>
    </row>
    <row r="3888" ht="14.5" spans="3:3">
      <c r="C3888"/>
    </row>
    <row r="3889" ht="14.5" spans="3:3">
      <c r="C3889"/>
    </row>
    <row r="3890" ht="14.5" spans="3:3">
      <c r="C3890"/>
    </row>
    <row r="3891" ht="14.5" spans="3:3">
      <c r="C3891"/>
    </row>
    <row r="3892" ht="14.5" spans="3:3">
      <c r="C3892"/>
    </row>
    <row r="3893" ht="14.5" spans="3:3">
      <c r="C3893"/>
    </row>
    <row r="3894" ht="14.5" spans="3:3">
      <c r="C3894"/>
    </row>
    <row r="3895" ht="14.5" spans="3:3">
      <c r="C3895"/>
    </row>
    <row r="3896" ht="14.5" spans="3:3">
      <c r="C3896"/>
    </row>
    <row r="3897" ht="14.5" spans="3:3">
      <c r="C3897"/>
    </row>
    <row r="3898" ht="14.5" spans="3:3">
      <c r="C3898"/>
    </row>
    <row r="3899" ht="14.5" spans="3:3">
      <c r="C3899"/>
    </row>
    <row r="3900" ht="14.5" spans="3:3">
      <c r="C3900"/>
    </row>
    <row r="3901" ht="14.5" spans="3:3">
      <c r="C3901"/>
    </row>
    <row r="3902" ht="14.5" spans="3:3">
      <c r="C3902"/>
    </row>
    <row r="3903" ht="14.5" spans="3:3">
      <c r="C3903"/>
    </row>
    <row r="3904" ht="14.5" spans="3:3">
      <c r="C3904"/>
    </row>
    <row r="3905" ht="14.5" spans="3:3">
      <c r="C3905"/>
    </row>
    <row r="3906" ht="14.5" spans="3:3">
      <c r="C3906"/>
    </row>
    <row r="3907" ht="14.5" spans="3:3">
      <c r="C3907"/>
    </row>
    <row r="3908" ht="14.5" spans="3:3">
      <c r="C3908"/>
    </row>
    <row r="3909" ht="14.5" spans="3:3">
      <c r="C3909"/>
    </row>
    <row r="3910" ht="14.5" spans="3:3">
      <c r="C3910"/>
    </row>
    <row r="3911" ht="14.5" spans="3:3">
      <c r="C3911"/>
    </row>
    <row r="3912" ht="14.5" spans="3:3">
      <c r="C3912"/>
    </row>
    <row r="3913" ht="14.5" spans="3:3">
      <c r="C3913"/>
    </row>
    <row r="3914" ht="14.5" spans="3:3">
      <c r="C3914"/>
    </row>
    <row r="3915" ht="14.5" spans="3:3">
      <c r="C3915"/>
    </row>
    <row r="3916" ht="14.5" spans="3:3">
      <c r="C3916"/>
    </row>
    <row r="3917" ht="14.5" spans="3:3">
      <c r="C3917"/>
    </row>
    <row r="3918" ht="14.5" spans="3:3">
      <c r="C3918"/>
    </row>
    <row r="3919" ht="14.5" spans="3:3">
      <c r="C3919"/>
    </row>
    <row r="3920" ht="14.5" spans="3:3">
      <c r="C3920"/>
    </row>
    <row r="3921" ht="14.5" spans="3:3">
      <c r="C3921"/>
    </row>
    <row r="3922" ht="14.5" spans="3:3">
      <c r="C3922"/>
    </row>
    <row r="3923" ht="14.5" spans="3:3">
      <c r="C3923"/>
    </row>
    <row r="3924" ht="14.5" spans="3:3">
      <c r="C3924"/>
    </row>
    <row r="3925" ht="14.5" spans="3:3">
      <c r="C3925"/>
    </row>
    <row r="3926" ht="14.5" spans="3:3">
      <c r="C3926"/>
    </row>
    <row r="3927" ht="14.5" spans="3:3">
      <c r="C3927"/>
    </row>
    <row r="3928" ht="14.5" spans="3:3">
      <c r="C3928"/>
    </row>
    <row r="3929" ht="14.5" spans="3:3">
      <c r="C3929"/>
    </row>
    <row r="3930" ht="14.5" spans="3:3">
      <c r="C3930"/>
    </row>
    <row r="3931" ht="14.5" spans="3:3">
      <c r="C3931"/>
    </row>
    <row r="3932" ht="14.5" spans="3:3">
      <c r="C3932"/>
    </row>
    <row r="3933" ht="14.5" spans="3:3">
      <c r="C3933"/>
    </row>
    <row r="3934" ht="14.5" spans="3:3">
      <c r="C3934"/>
    </row>
    <row r="3935" ht="14.5" spans="3:3">
      <c r="C3935"/>
    </row>
    <row r="3936" ht="14.5" spans="3:3">
      <c r="C3936"/>
    </row>
    <row r="3937" ht="14.5" spans="3:3">
      <c r="C3937"/>
    </row>
    <row r="3938" ht="14.5" spans="3:3">
      <c r="C3938"/>
    </row>
    <row r="3939" ht="14.5" spans="3:3">
      <c r="C3939"/>
    </row>
    <row r="3940" ht="14.5" spans="3:3">
      <c r="C3940"/>
    </row>
    <row r="3941" ht="14.5" spans="3:3">
      <c r="C3941"/>
    </row>
    <row r="3942" ht="14.5" spans="3:3">
      <c r="C3942"/>
    </row>
    <row r="3943" ht="14.5" spans="3:3">
      <c r="C3943"/>
    </row>
    <row r="3944" ht="14.5" spans="3:3">
      <c r="C3944"/>
    </row>
    <row r="3945" ht="14.5" spans="3:3">
      <c r="C3945"/>
    </row>
    <row r="3946" ht="14.5" spans="3:3">
      <c r="C3946"/>
    </row>
    <row r="3947" ht="14.5" spans="3:3">
      <c r="C3947"/>
    </row>
    <row r="3948" ht="14.5" spans="3:3">
      <c r="C3948"/>
    </row>
    <row r="3949" ht="14.5" spans="3:3">
      <c r="C3949"/>
    </row>
    <row r="3950" ht="14.5" spans="3:3">
      <c r="C3950"/>
    </row>
    <row r="3951" ht="14.5" spans="3:3">
      <c r="C3951"/>
    </row>
    <row r="3952" ht="14.5" spans="3:3">
      <c r="C3952"/>
    </row>
    <row r="3953" ht="14.5" spans="3:3">
      <c r="C3953"/>
    </row>
    <row r="3954" ht="14.5" spans="3:3">
      <c r="C3954"/>
    </row>
    <row r="3955" ht="14.5" spans="3:3">
      <c r="C3955"/>
    </row>
    <row r="3956" ht="14.5" spans="3:3">
      <c r="C3956"/>
    </row>
    <row r="3957" ht="14.5" spans="3:3">
      <c r="C3957"/>
    </row>
    <row r="3958" ht="14.5" spans="3:3">
      <c r="C3958"/>
    </row>
    <row r="3959" ht="14.5" spans="3:3">
      <c r="C3959"/>
    </row>
    <row r="3960" ht="14.5" spans="3:3">
      <c r="C3960"/>
    </row>
    <row r="3961" ht="14.5" spans="3:3">
      <c r="C3961"/>
    </row>
    <row r="3962" ht="14.5" spans="3:3">
      <c r="C3962"/>
    </row>
    <row r="3963" ht="14.5" spans="3:3">
      <c r="C3963"/>
    </row>
    <row r="3964" ht="14.5" spans="3:3">
      <c r="C3964"/>
    </row>
    <row r="3965" ht="14.5" spans="3:3">
      <c r="C3965"/>
    </row>
    <row r="3966" ht="14.5" spans="3:3">
      <c r="C3966"/>
    </row>
    <row r="3967" ht="14.5" spans="3:3">
      <c r="C3967"/>
    </row>
    <row r="3968" ht="14.5" spans="3:3">
      <c r="C3968"/>
    </row>
    <row r="3969" ht="14.5" spans="3:3">
      <c r="C3969"/>
    </row>
    <row r="3970" ht="14.5" spans="3:3">
      <c r="C3970"/>
    </row>
    <row r="3971" ht="14.5" spans="3:3">
      <c r="C3971"/>
    </row>
    <row r="3972" ht="14.5" spans="3:3">
      <c r="C3972"/>
    </row>
    <row r="3973" ht="14.5" spans="3:3">
      <c r="C3973"/>
    </row>
    <row r="3974" ht="14.5" spans="3:3">
      <c r="C3974"/>
    </row>
    <row r="3975" ht="14.5" spans="3:3">
      <c r="C3975"/>
    </row>
    <row r="3976" ht="14.5" spans="3:3">
      <c r="C3976"/>
    </row>
    <row r="3977" ht="14.5" spans="3:3">
      <c r="C3977"/>
    </row>
    <row r="3978" ht="14.5" spans="3:3">
      <c r="C3978"/>
    </row>
    <row r="3979" ht="14.5" spans="3:3">
      <c r="C3979"/>
    </row>
    <row r="3980" ht="14.5" spans="3:3">
      <c r="C3980"/>
    </row>
    <row r="3981" ht="14.5" spans="3:3">
      <c r="C3981"/>
    </row>
    <row r="3982" ht="14.5" spans="3:3">
      <c r="C3982"/>
    </row>
    <row r="3983" ht="14.5" spans="3:3">
      <c r="C3983"/>
    </row>
    <row r="3984" ht="14.5" spans="3:3">
      <c r="C3984"/>
    </row>
    <row r="3985" ht="14.5" spans="3:3">
      <c r="C3985"/>
    </row>
    <row r="3986" ht="14.5" spans="3:3">
      <c r="C3986"/>
    </row>
    <row r="3987" ht="14.5" spans="3:3">
      <c r="C3987"/>
    </row>
    <row r="3988" ht="14.5" spans="3:3">
      <c r="C3988"/>
    </row>
    <row r="3989" ht="14.5" spans="3:3">
      <c r="C3989"/>
    </row>
    <row r="3990" ht="14.5" spans="3:3">
      <c r="C3990"/>
    </row>
    <row r="3991" ht="14.5" spans="3:3">
      <c r="C3991"/>
    </row>
    <row r="3992" ht="14.5" spans="3:3">
      <c r="C3992"/>
    </row>
    <row r="3993" ht="14.5" spans="3:3">
      <c r="C3993"/>
    </row>
    <row r="3994" ht="14.5" spans="3:3">
      <c r="C3994"/>
    </row>
    <row r="3995" ht="14.5" spans="3:3">
      <c r="C3995"/>
    </row>
    <row r="3996" ht="14.5" spans="3:3">
      <c r="C3996"/>
    </row>
    <row r="3997" ht="14.5" spans="3:3">
      <c r="C3997"/>
    </row>
    <row r="3998" ht="14.5" spans="3:3">
      <c r="C3998"/>
    </row>
    <row r="3999" ht="14.5" spans="3:3">
      <c r="C3999"/>
    </row>
    <row r="4000" ht="14.5" spans="3:3">
      <c r="C4000"/>
    </row>
    <row r="4001" ht="14.5" spans="3:3">
      <c r="C4001"/>
    </row>
    <row r="4002" ht="14.5" spans="3:3">
      <c r="C4002"/>
    </row>
    <row r="4003" ht="14.5" spans="3:3">
      <c r="C4003"/>
    </row>
    <row r="4004" ht="14.5" spans="3:3">
      <c r="C4004"/>
    </row>
    <row r="4005" ht="14.5" spans="3:3">
      <c r="C4005"/>
    </row>
    <row r="4006" ht="14.5" spans="3:3">
      <c r="C4006"/>
    </row>
    <row r="4007" ht="14.5" spans="3:3">
      <c r="C4007"/>
    </row>
    <row r="4008" ht="14.5" spans="3:3">
      <c r="C4008"/>
    </row>
    <row r="4009" ht="14.5" spans="3:3">
      <c r="C4009"/>
    </row>
    <row r="4010" ht="14.5" spans="3:3">
      <c r="C4010"/>
    </row>
    <row r="4011" ht="14.5" spans="3:3">
      <c r="C4011"/>
    </row>
    <row r="4012" ht="14.5" spans="3:3">
      <c r="C4012"/>
    </row>
    <row r="4013" ht="14.5" spans="3:3">
      <c r="C4013"/>
    </row>
    <row r="4014" ht="14.5" spans="3:3">
      <c r="C4014"/>
    </row>
    <row r="4015" ht="14.5" spans="3:3">
      <c r="C4015"/>
    </row>
    <row r="4016" ht="14.5" spans="3:3">
      <c r="C4016"/>
    </row>
    <row r="4017" ht="14.5" spans="3:3">
      <c r="C4017"/>
    </row>
    <row r="4018" ht="14.5" spans="3:3">
      <c r="C4018"/>
    </row>
    <row r="4019" ht="14.5" spans="3:3">
      <c r="C4019"/>
    </row>
    <row r="4020" ht="14.5" spans="3:3">
      <c r="C4020"/>
    </row>
    <row r="4021" ht="14.5" spans="3:3">
      <c r="C4021"/>
    </row>
    <row r="4022" ht="14.5" spans="3:3">
      <c r="C4022"/>
    </row>
    <row r="4023" ht="14.5" spans="3:3">
      <c r="C4023"/>
    </row>
    <row r="4024" ht="14.5" spans="3:3">
      <c r="C4024"/>
    </row>
    <row r="4025" ht="14.5" spans="3:3">
      <c r="C4025"/>
    </row>
    <row r="4026" ht="14.5" spans="3:3">
      <c r="C4026"/>
    </row>
    <row r="4027" ht="14.5" spans="3:3">
      <c r="C4027"/>
    </row>
    <row r="4028" ht="14.5" spans="3:3">
      <c r="C4028"/>
    </row>
    <row r="4029" ht="14.5" spans="3:3">
      <c r="C4029"/>
    </row>
    <row r="4030" ht="14.5" spans="3:3">
      <c r="C4030"/>
    </row>
    <row r="4031" ht="14.5" spans="3:3">
      <c r="C4031"/>
    </row>
    <row r="4032" ht="14.5" spans="3:3">
      <c r="C4032"/>
    </row>
    <row r="4033" ht="14.5" spans="3:3">
      <c r="C4033"/>
    </row>
    <row r="4034" ht="14.5" spans="3:3">
      <c r="C4034"/>
    </row>
    <row r="4035" ht="14.5" spans="3:3">
      <c r="C4035"/>
    </row>
    <row r="4036" ht="14.5" spans="3:3">
      <c r="C4036"/>
    </row>
    <row r="4037" ht="14.5" spans="3:3">
      <c r="C4037"/>
    </row>
    <row r="4038" ht="14.5" spans="3:3">
      <c r="C4038"/>
    </row>
    <row r="4039" ht="14.5" spans="3:3">
      <c r="C4039"/>
    </row>
    <row r="4040" ht="14.5" spans="3:3">
      <c r="C4040"/>
    </row>
    <row r="4041" ht="14.5" spans="3:3">
      <c r="C4041"/>
    </row>
    <row r="4042" ht="14.5" spans="3:3">
      <c r="C4042"/>
    </row>
    <row r="4043" ht="14.5" spans="3:3">
      <c r="C4043"/>
    </row>
    <row r="4044" ht="14.5" spans="3:3">
      <c r="C4044"/>
    </row>
    <row r="4045" ht="14.5" spans="3:3">
      <c r="C4045"/>
    </row>
    <row r="4046" ht="14.5" spans="3:3">
      <c r="C4046"/>
    </row>
    <row r="4047" ht="14.5" spans="3:3">
      <c r="C4047"/>
    </row>
    <row r="4048" ht="14.5" spans="3:3">
      <c r="C4048"/>
    </row>
    <row r="4049" ht="14.5" spans="3:3">
      <c r="C4049"/>
    </row>
    <row r="4050" ht="14.5" spans="3:3">
      <c r="C4050"/>
    </row>
    <row r="4051" ht="14.5" spans="3:3">
      <c r="C4051"/>
    </row>
    <row r="4052" ht="14.5" spans="3:3">
      <c r="C4052"/>
    </row>
    <row r="4053" ht="14.5" spans="3:3">
      <c r="C4053"/>
    </row>
    <row r="4054" ht="14.5" spans="3:3">
      <c r="C4054"/>
    </row>
    <row r="4055" ht="14.5" spans="3:3">
      <c r="C4055"/>
    </row>
    <row r="4056" ht="14.5" spans="3:3">
      <c r="C4056"/>
    </row>
    <row r="4057" ht="14.5" spans="3:3">
      <c r="C4057"/>
    </row>
    <row r="4058" ht="14.5" spans="3:3">
      <c r="C4058"/>
    </row>
    <row r="4059" ht="14.5" spans="3:3">
      <c r="C4059"/>
    </row>
    <row r="4060" ht="14.5" spans="3:3">
      <c r="C4060"/>
    </row>
    <row r="4061" ht="14.5" spans="3:3">
      <c r="C4061"/>
    </row>
    <row r="4062" ht="14.5" spans="3:3">
      <c r="C4062"/>
    </row>
    <row r="4063" ht="14.5" spans="3:3">
      <c r="C4063"/>
    </row>
    <row r="4064" ht="14.5" spans="3:3">
      <c r="C4064"/>
    </row>
    <row r="4065" ht="14.5" spans="3:3">
      <c r="C4065"/>
    </row>
    <row r="4066" ht="14.5" spans="3:3">
      <c r="C4066"/>
    </row>
    <row r="4067" ht="14.5" spans="3:3">
      <c r="C4067"/>
    </row>
    <row r="4068" ht="14.5" spans="3:3">
      <c r="C4068"/>
    </row>
    <row r="4069" ht="14.5" spans="3:3">
      <c r="C4069"/>
    </row>
    <row r="4070" ht="14.5" spans="3:3">
      <c r="C4070"/>
    </row>
    <row r="4071" ht="14.5" spans="3:3">
      <c r="C4071"/>
    </row>
    <row r="4072" ht="14.5" spans="3:3">
      <c r="C4072"/>
    </row>
    <row r="4073" ht="14.5" spans="3:3">
      <c r="C4073"/>
    </row>
    <row r="4074" ht="14.5" spans="3:3">
      <c r="C4074"/>
    </row>
    <row r="4075" ht="14.5" spans="3:3">
      <c r="C4075"/>
    </row>
    <row r="4076" ht="14.5" spans="3:3">
      <c r="C4076"/>
    </row>
    <row r="4077" ht="14.5" spans="3:3">
      <c r="C4077"/>
    </row>
    <row r="4078" ht="14.5" spans="3:3">
      <c r="C4078"/>
    </row>
    <row r="4079" ht="14.5" spans="3:3">
      <c r="C4079"/>
    </row>
    <row r="4080" ht="14.5" spans="3:3">
      <c r="C4080"/>
    </row>
    <row r="4081" ht="14.5" spans="3:3">
      <c r="C4081"/>
    </row>
    <row r="4082" ht="14.5" spans="3:3">
      <c r="C4082"/>
    </row>
    <row r="4083" ht="14.5" spans="3:3">
      <c r="C4083"/>
    </row>
    <row r="4084" ht="14.5" spans="3:3">
      <c r="C4084"/>
    </row>
    <row r="4085" ht="14.5" spans="3:3">
      <c r="C4085"/>
    </row>
    <row r="4086" ht="14.5" spans="3:3">
      <c r="C4086"/>
    </row>
    <row r="4087" ht="14.5" spans="3:3">
      <c r="C4087"/>
    </row>
    <row r="4088" ht="14.5" spans="3:3">
      <c r="C4088"/>
    </row>
    <row r="4089" ht="14.5" spans="3:3">
      <c r="C4089"/>
    </row>
    <row r="4090" ht="14.5" spans="3:3">
      <c r="C4090"/>
    </row>
    <row r="4091" ht="14.5" spans="3:3">
      <c r="C4091"/>
    </row>
    <row r="4092" ht="14.5" spans="3:3">
      <c r="C4092"/>
    </row>
    <row r="4093" ht="14.5" spans="3:3">
      <c r="C4093"/>
    </row>
    <row r="4094" ht="14.5" spans="3:3">
      <c r="C4094"/>
    </row>
    <row r="4095" ht="14.5" spans="3:3">
      <c r="C4095"/>
    </row>
    <row r="4096" ht="14.5" spans="3:3">
      <c r="C4096"/>
    </row>
    <row r="4097" ht="14.5" spans="3:3">
      <c r="C4097"/>
    </row>
    <row r="4098" ht="14.5" spans="3:3">
      <c r="C4098"/>
    </row>
    <row r="4099" ht="14.5" spans="3:3">
      <c r="C4099"/>
    </row>
    <row r="4100" ht="14.5" spans="3:3">
      <c r="C4100"/>
    </row>
    <row r="4101" ht="14.5" spans="3:3">
      <c r="C4101"/>
    </row>
    <row r="4102" ht="14.5" spans="3:3">
      <c r="C4102"/>
    </row>
    <row r="4103" ht="14.5" spans="3:3">
      <c r="C4103"/>
    </row>
    <row r="4104" ht="14.5" spans="3:3">
      <c r="C4104"/>
    </row>
    <row r="4105" ht="14.5" spans="3:3">
      <c r="C4105"/>
    </row>
    <row r="4106" ht="14.5" spans="3:3">
      <c r="C4106"/>
    </row>
    <row r="4107" ht="14.5" spans="3:3">
      <c r="C4107"/>
    </row>
    <row r="4108" ht="14.5" spans="3:3">
      <c r="C4108"/>
    </row>
    <row r="4109" ht="14.5" spans="3:3">
      <c r="C4109"/>
    </row>
    <row r="4110" ht="14.5" spans="3:3">
      <c r="C4110"/>
    </row>
    <row r="4111" ht="14.5" spans="3:3">
      <c r="C4111"/>
    </row>
    <row r="4112" ht="14.5" spans="3:3">
      <c r="C4112"/>
    </row>
    <row r="4113" ht="14.5" spans="3:3">
      <c r="C4113"/>
    </row>
    <row r="4114" ht="14.5" spans="3:3">
      <c r="C4114"/>
    </row>
    <row r="4115" ht="14.5" spans="3:3">
      <c r="C4115"/>
    </row>
    <row r="4116" ht="14.5" spans="3:3">
      <c r="C4116"/>
    </row>
    <row r="4117" ht="14.5" spans="3:3">
      <c r="C4117"/>
    </row>
    <row r="4118" ht="14.5" spans="3:3">
      <c r="C4118"/>
    </row>
    <row r="4119" ht="14.5" spans="3:3">
      <c r="C4119"/>
    </row>
    <row r="4120" ht="14.5" spans="3:3">
      <c r="C4120"/>
    </row>
    <row r="4121" ht="14.5" spans="3:3">
      <c r="C4121"/>
    </row>
    <row r="4122" ht="14.5" spans="3:3">
      <c r="C4122"/>
    </row>
    <row r="4123" ht="14.5" spans="3:3">
      <c r="C4123"/>
    </row>
  </sheetData>
  <sortState ref="A2:C172">
    <sortCondition ref="B2:B172"/>
  </sortState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tabSelected="1" topLeftCell="A15" workbookViewId="0">
      <selection activeCell="D19" sqref="D19:E19"/>
    </sheetView>
  </sheetViews>
  <sheetFormatPr defaultColWidth="9.13636363636364" defaultRowHeight="16.5" outlineLevelCol="4"/>
  <cols>
    <col min="1" max="1" width="10" style="22" customWidth="1"/>
    <col min="2" max="2" width="27.3636363636364" style="22" customWidth="1"/>
    <col min="3" max="3" width="13.8545454545455" style="22" customWidth="1"/>
    <col min="4" max="4" width="41.2818181818182" style="22" customWidth="1"/>
    <col min="5" max="5" width="13.1363636363636" style="22" customWidth="1"/>
    <col min="6" max="16384" width="9.13636363636364" style="22"/>
  </cols>
  <sheetData>
    <row r="1" spans="1:5">
      <c r="A1" s="23" t="s">
        <v>190</v>
      </c>
      <c r="B1" s="23" t="s">
        <v>191</v>
      </c>
      <c r="C1" s="23" t="s">
        <v>192</v>
      </c>
      <c r="D1" s="23" t="s">
        <v>193</v>
      </c>
      <c r="E1" s="23" t="s">
        <v>194</v>
      </c>
    </row>
    <row r="2" spans="1:5">
      <c r="A2" s="22">
        <v>1</v>
      </c>
      <c r="B2" s="22" t="s">
        <v>195</v>
      </c>
      <c r="C2" s="22" t="s">
        <v>196</v>
      </c>
      <c r="D2" s="22" t="s">
        <v>197</v>
      </c>
      <c r="E2" s="22">
        <v>1</v>
      </c>
    </row>
    <row r="3" spans="1:5">
      <c r="A3" s="22">
        <v>2</v>
      </c>
      <c r="B3" s="22" t="s">
        <v>198</v>
      </c>
      <c r="C3" s="22" t="s">
        <v>196</v>
      </c>
      <c r="D3" s="22" t="s">
        <v>199</v>
      </c>
      <c r="E3" s="22">
        <v>1.3</v>
      </c>
    </row>
    <row r="4" spans="1:5">
      <c r="A4" s="22">
        <v>3</v>
      </c>
      <c r="B4" s="22" t="s">
        <v>200</v>
      </c>
      <c r="C4" s="22" t="s">
        <v>196</v>
      </c>
      <c r="D4" s="22" t="s">
        <v>197</v>
      </c>
      <c r="E4" s="22">
        <v>1</v>
      </c>
    </row>
    <row r="5" spans="1:5">
      <c r="A5" s="22">
        <v>4</v>
      </c>
      <c r="B5" s="22" t="s">
        <v>201</v>
      </c>
      <c r="C5" s="22" t="s">
        <v>196</v>
      </c>
      <c r="D5" s="22" t="s">
        <v>197</v>
      </c>
      <c r="E5" s="22">
        <v>1</v>
      </c>
    </row>
    <row r="6" spans="1:5">
      <c r="A6" s="22">
        <v>5</v>
      </c>
      <c r="B6" s="22" t="s">
        <v>202</v>
      </c>
      <c r="C6" s="22" t="s">
        <v>196</v>
      </c>
      <c r="D6" s="22" t="s">
        <v>199</v>
      </c>
      <c r="E6" s="22">
        <v>1.5</v>
      </c>
    </row>
    <row r="7" spans="1:5">
      <c r="A7" s="22">
        <v>6</v>
      </c>
      <c r="B7" s="22" t="s">
        <v>203</v>
      </c>
      <c r="C7" s="22" t="s">
        <v>196</v>
      </c>
      <c r="D7" s="22" t="s">
        <v>199</v>
      </c>
      <c r="E7" s="22">
        <v>1.5</v>
      </c>
    </row>
    <row r="8" spans="1:5">
      <c r="A8" s="22">
        <v>7</v>
      </c>
      <c r="B8" s="22" t="s">
        <v>204</v>
      </c>
      <c r="C8" s="22" t="s">
        <v>196</v>
      </c>
      <c r="D8" s="22" t="s">
        <v>199</v>
      </c>
      <c r="E8" s="22">
        <v>1.5</v>
      </c>
    </row>
    <row r="9" spans="1:5">
      <c r="A9" s="22">
        <v>8</v>
      </c>
      <c r="B9" s="22" t="s">
        <v>205</v>
      </c>
      <c r="C9" s="22" t="s">
        <v>196</v>
      </c>
      <c r="D9" s="22" t="s">
        <v>199</v>
      </c>
      <c r="E9" s="22">
        <v>1.5</v>
      </c>
    </row>
    <row r="10" spans="1:5">
      <c r="A10" s="22">
        <v>9</v>
      </c>
      <c r="B10" s="22" t="s">
        <v>206</v>
      </c>
      <c r="C10" s="22" t="s">
        <v>196</v>
      </c>
      <c r="D10" s="22" t="s">
        <v>199</v>
      </c>
      <c r="E10" s="22">
        <v>1.5</v>
      </c>
    </row>
    <row r="11" spans="1:5">
      <c r="A11" s="22">
        <v>10</v>
      </c>
      <c r="B11" s="22" t="s">
        <v>207</v>
      </c>
      <c r="C11" s="22" t="s">
        <v>196</v>
      </c>
      <c r="D11" s="22" t="s">
        <v>199</v>
      </c>
      <c r="E11" s="22">
        <v>1.5</v>
      </c>
    </row>
    <row r="12" spans="1:5">
      <c r="A12" s="22">
        <v>11</v>
      </c>
      <c r="B12" s="22" t="s">
        <v>208</v>
      </c>
      <c r="C12" s="22" t="s">
        <v>209</v>
      </c>
      <c r="D12" s="22" t="s">
        <v>210</v>
      </c>
      <c r="E12" s="22">
        <v>1.5</v>
      </c>
    </row>
    <row r="13" spans="1:5">
      <c r="A13" s="22">
        <v>12</v>
      </c>
      <c r="B13" s="22" t="s">
        <v>211</v>
      </c>
      <c r="C13" s="22" t="s">
        <v>209</v>
      </c>
      <c r="D13" s="22" t="s">
        <v>210</v>
      </c>
      <c r="E13" s="22">
        <v>1.5</v>
      </c>
    </row>
    <row r="14" spans="1:5">
      <c r="A14" s="22">
        <v>13</v>
      </c>
      <c r="B14" s="22" t="s">
        <v>212</v>
      </c>
      <c r="C14" s="22" t="s">
        <v>209</v>
      </c>
      <c r="D14" s="22" t="s">
        <v>210</v>
      </c>
      <c r="E14" s="22">
        <v>1.5</v>
      </c>
    </row>
    <row r="15" spans="1:5">
      <c r="A15" s="22">
        <v>14</v>
      </c>
      <c r="B15" s="22" t="s">
        <v>213</v>
      </c>
      <c r="C15" s="22" t="s">
        <v>209</v>
      </c>
      <c r="D15" s="22" t="s">
        <v>199</v>
      </c>
      <c r="E15" s="22">
        <v>1</v>
      </c>
    </row>
    <row r="16" spans="1:5">
      <c r="A16" s="22">
        <v>15</v>
      </c>
      <c r="B16" s="22" t="s">
        <v>214</v>
      </c>
      <c r="C16" s="22" t="s">
        <v>209</v>
      </c>
      <c r="D16" s="22" t="s">
        <v>199</v>
      </c>
      <c r="E16" s="22">
        <v>1.5</v>
      </c>
    </row>
    <row r="17" spans="1:5">
      <c r="A17" s="22">
        <v>16</v>
      </c>
      <c r="B17" s="22" t="s">
        <v>215</v>
      </c>
      <c r="C17" s="22" t="s">
        <v>209</v>
      </c>
      <c r="D17" s="22" t="s">
        <v>210</v>
      </c>
      <c r="E17" s="22">
        <v>2</v>
      </c>
    </row>
    <row r="18" spans="1:5">
      <c r="A18" s="22">
        <v>17</v>
      </c>
      <c r="B18" s="22" t="s">
        <v>216</v>
      </c>
      <c r="C18" s="22" t="s">
        <v>196</v>
      </c>
      <c r="D18" s="22" t="s">
        <v>197</v>
      </c>
      <c r="E18" s="22">
        <v>1</v>
      </c>
    </row>
    <row r="19" spans="1:5">
      <c r="A19" s="22">
        <v>18</v>
      </c>
      <c r="B19" s="22" t="s">
        <v>217</v>
      </c>
      <c r="C19" s="22" t="s">
        <v>196</v>
      </c>
      <c r="D19" s="22" t="s">
        <v>197</v>
      </c>
      <c r="E19" s="22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B9"/>
  <sheetViews>
    <sheetView workbookViewId="0">
      <selection activeCell="F13" sqref="F13"/>
    </sheetView>
  </sheetViews>
  <sheetFormatPr defaultColWidth="9" defaultRowHeight="14.5" outlineLevelCol="1"/>
  <cols>
    <col min="2" max="2" width="14.2818181818182" customWidth="1"/>
  </cols>
  <sheetData>
    <row r="3" spans="2:2">
      <c r="B3" s="10" t="s">
        <v>218</v>
      </c>
    </row>
    <row r="4" spans="2:2">
      <c r="B4" s="15" t="s">
        <v>219</v>
      </c>
    </row>
    <row r="5" spans="2:2">
      <c r="B5" s="15" t="s">
        <v>220</v>
      </c>
    </row>
    <row r="6" spans="2:2">
      <c r="B6" s="15" t="s">
        <v>221</v>
      </c>
    </row>
    <row r="7" spans="2:2">
      <c r="B7" s="15" t="s">
        <v>222</v>
      </c>
    </row>
    <row r="8" spans="2:2">
      <c r="B8" s="15" t="s">
        <v>223</v>
      </c>
    </row>
    <row r="9" spans="2:2">
      <c r="B9" s="15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2"/>
  <sheetViews>
    <sheetView topLeftCell="A294" workbookViewId="0">
      <selection activeCell="B302" sqref="B2:B302"/>
    </sheetView>
  </sheetViews>
  <sheetFormatPr defaultColWidth="9.13636363636364" defaultRowHeight="14.5"/>
  <cols>
    <col min="1" max="1" width="11.2818181818182" style="9" customWidth="1"/>
    <col min="2" max="2" width="11.4272727272727" style="1" customWidth="1"/>
    <col min="3" max="3" width="26.6363636363636" style="1" customWidth="1"/>
    <col min="4" max="4" width="20.1363636363636" style="1" customWidth="1"/>
    <col min="5" max="5" width="17" style="1" customWidth="1"/>
    <col min="6" max="6" width="18.1363636363636" style="1" customWidth="1"/>
    <col min="7" max="7" width="44.4272727272727" style="1" customWidth="1"/>
    <col min="8" max="9" width="19.8545454545455" style="1" customWidth="1"/>
    <col min="10" max="11" width="29.7090909090909" style="1" customWidth="1"/>
    <col min="12" max="12" width="20" style="1" customWidth="1"/>
    <col min="13" max="16384" width="9.13636363636364" style="1"/>
  </cols>
  <sheetData>
    <row r="1" spans="1:12">
      <c r="A1" s="10" t="s">
        <v>224</v>
      </c>
      <c r="B1" s="10" t="s">
        <v>0</v>
      </c>
      <c r="C1" s="10" t="s">
        <v>1</v>
      </c>
      <c r="D1" s="10" t="s">
        <v>225</v>
      </c>
      <c r="E1" s="10" t="s">
        <v>226</v>
      </c>
      <c r="F1" s="10" t="s">
        <v>227</v>
      </c>
      <c r="G1" s="10" t="s">
        <v>228</v>
      </c>
      <c r="H1" s="10" t="s">
        <v>229</v>
      </c>
      <c r="I1" s="10" t="s">
        <v>230</v>
      </c>
      <c r="J1" s="10" t="s">
        <v>194</v>
      </c>
      <c r="K1" s="10" t="s">
        <v>231</v>
      </c>
      <c r="L1" s="10" t="s">
        <v>232</v>
      </c>
    </row>
    <row r="2" ht="16" spans="1:12">
      <c r="A2" s="9">
        <v>46359</v>
      </c>
      <c r="B2" s="11">
        <v>452799</v>
      </c>
      <c r="C2" s="12" t="str">
        <f>VLOOKUP(B2,Employee_Master!A:B,2,0)</f>
        <v>Manish Kukreti</v>
      </c>
      <c r="D2" s="1" t="s">
        <v>233</v>
      </c>
      <c r="E2" s="1" t="s">
        <v>234</v>
      </c>
      <c r="F2" s="1" t="s">
        <v>234</v>
      </c>
      <c r="H2" s="1">
        <f t="shared" ref="H2:H71" si="0">IF(F2="Yes",10,0)</f>
        <v>10</v>
      </c>
      <c r="I2" s="1">
        <f>IF(G2="Winner",100,IF(G2="Runner-up",70,IF(G2="2nd Runner-up",50,IF(G2="Semi",30,IF(G2="Quarter",20,0)))))</f>
        <v>0</v>
      </c>
      <c r="J2" s="1">
        <f>IFERROR(VLOOKUP(D2,Event_Master!B:E,4,FALSE),1)</f>
        <v>1</v>
      </c>
      <c r="K2" s="1">
        <f>(I2*J2)</f>
        <v>0</v>
      </c>
      <c r="L2" s="1">
        <f>K2+H2</f>
        <v>10</v>
      </c>
    </row>
    <row r="3" ht="16" spans="1:12">
      <c r="A3" s="9">
        <v>46359</v>
      </c>
      <c r="B3" s="11">
        <v>457157</v>
      </c>
      <c r="C3" s="12" t="str">
        <f>VLOOKUP(B3,Employee_Master!A:B,2,0)</f>
        <v>Sachin Kashyap</v>
      </c>
      <c r="D3" s="1" t="s">
        <v>233</v>
      </c>
      <c r="E3" s="1" t="s">
        <v>234</v>
      </c>
      <c r="F3" s="1" t="s">
        <v>234</v>
      </c>
      <c r="H3" s="1">
        <f t="shared" si="0"/>
        <v>10</v>
      </c>
      <c r="I3" s="1">
        <f t="shared" ref="I3:I69" si="1">IF(G3="Winner",100,IF(G3="Runner-up",70,IF(G3="2nd Runner-up",50,IF(G3="Semi",30,IF(G3="Quarter",20,0)))))</f>
        <v>0</v>
      </c>
      <c r="J3" s="1">
        <f>IFERROR(VLOOKUP(D3,Event_Master!B:E,4,FALSE),1)</f>
        <v>1</v>
      </c>
      <c r="K3" s="1">
        <f t="shared" ref="K3:K69" si="2">(I3*J3)</f>
        <v>0</v>
      </c>
      <c r="L3" s="1">
        <f t="shared" ref="L3:L34" si="3">K3+H3</f>
        <v>10</v>
      </c>
    </row>
    <row r="4" ht="16" spans="1:12">
      <c r="A4" s="9">
        <v>46359</v>
      </c>
      <c r="B4" s="11">
        <v>451509</v>
      </c>
      <c r="C4" s="12" t="str">
        <f>VLOOKUP(B4,Employee_Master!A:B,2,0)</f>
        <v>Vivek Aswal</v>
      </c>
      <c r="D4" s="1" t="s">
        <v>233</v>
      </c>
      <c r="E4" s="1" t="s">
        <v>234</v>
      </c>
      <c r="F4" s="1" t="s">
        <v>234</v>
      </c>
      <c r="H4" s="1">
        <f t="shared" si="0"/>
        <v>10</v>
      </c>
      <c r="I4" s="1">
        <f t="shared" si="1"/>
        <v>0</v>
      </c>
      <c r="J4" s="1">
        <f>IFERROR(VLOOKUP(D4,Event_Master!B:E,4,FALSE),1)</f>
        <v>1</v>
      </c>
      <c r="K4" s="1">
        <f t="shared" si="2"/>
        <v>0</v>
      </c>
      <c r="L4" s="1">
        <f t="shared" si="3"/>
        <v>10</v>
      </c>
    </row>
    <row r="5" ht="16" spans="1:12">
      <c r="A5" s="9">
        <v>46359</v>
      </c>
      <c r="B5" s="11">
        <v>450030</v>
      </c>
      <c r="C5" s="12" t="str">
        <f>VLOOKUP(B5,Employee_Master!A:B,2,0)</f>
        <v>Manish bisht </v>
      </c>
      <c r="D5" s="1" t="s">
        <v>233</v>
      </c>
      <c r="E5" s="1" t="s">
        <v>234</v>
      </c>
      <c r="F5" s="1" t="s">
        <v>234</v>
      </c>
      <c r="H5" s="1">
        <f t="shared" si="0"/>
        <v>10</v>
      </c>
      <c r="I5" s="1">
        <f t="shared" si="1"/>
        <v>0</v>
      </c>
      <c r="J5" s="1">
        <f>IFERROR(VLOOKUP(D5,Event_Master!B:E,4,FALSE),1)</f>
        <v>1</v>
      </c>
      <c r="K5" s="1">
        <f t="shared" si="2"/>
        <v>0</v>
      </c>
      <c r="L5" s="1">
        <f t="shared" si="3"/>
        <v>10</v>
      </c>
    </row>
    <row r="6" ht="16" spans="1:12">
      <c r="A6" s="9">
        <v>46359</v>
      </c>
      <c r="B6" s="11">
        <v>484877</v>
      </c>
      <c r="C6" s="12" t="str">
        <f>VLOOKUP(B6,Employee_Master!A:B,2,0)</f>
        <v>Prashant Gupta</v>
      </c>
      <c r="D6" s="1" t="s">
        <v>233</v>
      </c>
      <c r="E6" s="1" t="s">
        <v>234</v>
      </c>
      <c r="F6" s="1" t="s">
        <v>234</v>
      </c>
      <c r="H6" s="1">
        <f t="shared" si="0"/>
        <v>10</v>
      </c>
      <c r="I6" s="1">
        <f t="shared" si="1"/>
        <v>0</v>
      </c>
      <c r="J6" s="1">
        <f>IFERROR(VLOOKUP(D6,Event_Master!B:E,4,FALSE),1)</f>
        <v>1</v>
      </c>
      <c r="K6" s="1">
        <f t="shared" si="2"/>
        <v>0</v>
      </c>
      <c r="L6" s="1">
        <f t="shared" si="3"/>
        <v>10</v>
      </c>
    </row>
    <row r="7" ht="16" spans="1:12">
      <c r="A7" s="9">
        <v>46359</v>
      </c>
      <c r="B7" s="11">
        <v>453948</v>
      </c>
      <c r="C7" s="12" t="str">
        <f>VLOOKUP(B7,Employee_Master!A:B,2,0)</f>
        <v>Ashish Bhardwaj</v>
      </c>
      <c r="D7" s="1" t="s">
        <v>233</v>
      </c>
      <c r="E7" s="1" t="s">
        <v>234</v>
      </c>
      <c r="F7" s="1" t="s">
        <v>234</v>
      </c>
      <c r="H7" s="1">
        <f t="shared" si="0"/>
        <v>10</v>
      </c>
      <c r="I7" s="1">
        <f t="shared" si="1"/>
        <v>0</v>
      </c>
      <c r="J7" s="1">
        <f>IFERROR(VLOOKUP(D7,Event_Master!B:E,4,FALSE),1)</f>
        <v>1</v>
      </c>
      <c r="K7" s="1">
        <f t="shared" si="2"/>
        <v>0</v>
      </c>
      <c r="L7" s="1">
        <f t="shared" si="3"/>
        <v>10</v>
      </c>
    </row>
    <row r="8" ht="16" spans="1:12">
      <c r="A8" s="9">
        <v>46359</v>
      </c>
      <c r="B8" s="11">
        <v>470292</v>
      </c>
      <c r="C8" s="12" t="str">
        <f>VLOOKUP(B8,Employee_Master!A:B,2,0)</f>
        <v>Vishal Kumar</v>
      </c>
      <c r="D8" s="1" t="s">
        <v>233</v>
      </c>
      <c r="E8" s="1" t="s">
        <v>234</v>
      </c>
      <c r="F8" s="1" t="s">
        <v>234</v>
      </c>
      <c r="H8" s="1">
        <f t="shared" si="0"/>
        <v>10</v>
      </c>
      <c r="I8" s="1">
        <f t="shared" si="1"/>
        <v>0</v>
      </c>
      <c r="J8" s="1">
        <f>IFERROR(VLOOKUP(D8,Event_Master!B:E,4,FALSE),1)</f>
        <v>1</v>
      </c>
      <c r="K8" s="1">
        <f t="shared" si="2"/>
        <v>0</v>
      </c>
      <c r="L8" s="1">
        <f t="shared" si="3"/>
        <v>10</v>
      </c>
    </row>
    <row r="9" ht="16" spans="1:12">
      <c r="A9" s="9">
        <v>46359</v>
      </c>
      <c r="B9" s="11">
        <v>450224</v>
      </c>
      <c r="C9" s="12" t="str">
        <f>VLOOKUP(B9,Employee_Master!A:B,2,0)</f>
        <v>Lalit Nagar</v>
      </c>
      <c r="D9" s="1" t="s">
        <v>233</v>
      </c>
      <c r="E9" s="1" t="s">
        <v>234</v>
      </c>
      <c r="F9" s="1" t="s">
        <v>234</v>
      </c>
      <c r="H9" s="1">
        <f t="shared" si="0"/>
        <v>10</v>
      </c>
      <c r="I9" s="1">
        <f t="shared" si="1"/>
        <v>0</v>
      </c>
      <c r="J9" s="1">
        <f>IFERROR(VLOOKUP(D9,Event_Master!B:E,4,FALSE),1)</f>
        <v>1</v>
      </c>
      <c r="K9" s="1">
        <f t="shared" si="2"/>
        <v>0</v>
      </c>
      <c r="L9" s="1">
        <f t="shared" si="3"/>
        <v>10</v>
      </c>
    </row>
    <row r="10" ht="16" spans="1:12">
      <c r="A10" s="9">
        <v>46359</v>
      </c>
      <c r="B10" s="11">
        <v>458702</v>
      </c>
      <c r="C10" s="12" t="str">
        <f>VLOOKUP(B10,Employee_Master!A:B,2,0)</f>
        <v>Jasbeer Singh</v>
      </c>
      <c r="D10" s="1" t="s">
        <v>205</v>
      </c>
      <c r="E10" s="1" t="s">
        <v>234</v>
      </c>
      <c r="F10" s="1" t="s">
        <v>234</v>
      </c>
      <c r="G10" s="1" t="s">
        <v>219</v>
      </c>
      <c r="H10" s="1">
        <f t="shared" si="0"/>
        <v>10</v>
      </c>
      <c r="I10" s="1">
        <f t="shared" si="1"/>
        <v>100</v>
      </c>
      <c r="J10" s="1">
        <f>IFERROR(VLOOKUP(D10,Event_Master!B:E,4,FALSE),1)</f>
        <v>1.5</v>
      </c>
      <c r="K10" s="1">
        <f t="shared" si="2"/>
        <v>150</v>
      </c>
      <c r="L10" s="1">
        <f t="shared" si="3"/>
        <v>160</v>
      </c>
    </row>
    <row r="11" ht="16" spans="1:12">
      <c r="A11" s="9">
        <v>46359</v>
      </c>
      <c r="B11" s="11">
        <v>416828</v>
      </c>
      <c r="C11" s="12" t="str">
        <f>VLOOKUP(B11,Employee_Master!A:B,2,0)</f>
        <v>Keshav Dev</v>
      </c>
      <c r="D11" s="1" t="s">
        <v>233</v>
      </c>
      <c r="E11" s="1" t="s">
        <v>234</v>
      </c>
      <c r="F11" s="1" t="s">
        <v>234</v>
      </c>
      <c r="H11" s="1">
        <f t="shared" si="0"/>
        <v>10</v>
      </c>
      <c r="I11" s="1">
        <f t="shared" si="1"/>
        <v>0</v>
      </c>
      <c r="J11" s="1">
        <f>IFERROR(VLOOKUP(D11,Event_Master!B:E,4,FALSE),1)</f>
        <v>1</v>
      </c>
      <c r="K11" s="1">
        <f t="shared" si="2"/>
        <v>0</v>
      </c>
      <c r="L11" s="1">
        <f t="shared" si="3"/>
        <v>10</v>
      </c>
    </row>
    <row r="12" ht="16" spans="1:12">
      <c r="A12" s="9">
        <v>46359</v>
      </c>
      <c r="B12" s="11">
        <v>486309</v>
      </c>
      <c r="C12" s="12" t="str">
        <f>VLOOKUP(B12,Employee_Master!A:B,2,0)</f>
        <v>Ankit Bhatt</v>
      </c>
      <c r="D12" s="1" t="s">
        <v>233</v>
      </c>
      <c r="E12" s="1" t="s">
        <v>234</v>
      </c>
      <c r="F12" s="1" t="s">
        <v>234</v>
      </c>
      <c r="H12" s="1">
        <f t="shared" si="0"/>
        <v>10</v>
      </c>
      <c r="I12" s="1">
        <f t="shared" si="1"/>
        <v>0</v>
      </c>
      <c r="J12" s="1">
        <f>IFERROR(VLOOKUP(D12,Event_Master!B:E,4,FALSE),1)</f>
        <v>1</v>
      </c>
      <c r="K12" s="1">
        <f t="shared" si="2"/>
        <v>0</v>
      </c>
      <c r="L12" s="1">
        <f t="shared" si="3"/>
        <v>10</v>
      </c>
    </row>
    <row r="13" ht="16" spans="1:12">
      <c r="A13" s="9">
        <v>46359</v>
      </c>
      <c r="B13" s="11">
        <v>449890</v>
      </c>
      <c r="C13" s="12" t="str">
        <f>VLOOKUP(B13,Employee_Master!A:B,2,0)</f>
        <v>Ashish Baghel </v>
      </c>
      <c r="D13" s="1" t="s">
        <v>233</v>
      </c>
      <c r="E13" s="1" t="s">
        <v>234</v>
      </c>
      <c r="F13" s="1" t="s">
        <v>234</v>
      </c>
      <c r="H13" s="1">
        <f t="shared" si="0"/>
        <v>10</v>
      </c>
      <c r="I13" s="1">
        <f t="shared" si="1"/>
        <v>0</v>
      </c>
      <c r="J13" s="1">
        <f>IFERROR(VLOOKUP(D13,Event_Master!B:E,4,FALSE),1)</f>
        <v>1</v>
      </c>
      <c r="K13" s="1">
        <f t="shared" si="2"/>
        <v>0</v>
      </c>
      <c r="L13" s="1">
        <f t="shared" si="3"/>
        <v>10</v>
      </c>
    </row>
    <row r="14" ht="16" spans="1:12">
      <c r="A14" s="9">
        <v>46359</v>
      </c>
      <c r="B14" s="13">
        <v>452073</v>
      </c>
      <c r="C14" s="12" t="str">
        <f>VLOOKUP(B14,Employee_Master!A:B,2,0)</f>
        <v>Aashish </v>
      </c>
      <c r="D14" s="1" t="s">
        <v>233</v>
      </c>
      <c r="E14" s="1" t="s">
        <v>234</v>
      </c>
      <c r="F14" s="1" t="s">
        <v>234</v>
      </c>
      <c r="H14" s="1">
        <f t="shared" si="0"/>
        <v>10</v>
      </c>
      <c r="I14" s="1">
        <f t="shared" si="1"/>
        <v>0</v>
      </c>
      <c r="J14" s="1">
        <f>IFERROR(VLOOKUP(D14,Event_Master!B:E,4,FALSE),1)</f>
        <v>1</v>
      </c>
      <c r="K14" s="1">
        <f t="shared" si="2"/>
        <v>0</v>
      </c>
      <c r="L14" s="1">
        <f t="shared" si="3"/>
        <v>10</v>
      </c>
    </row>
    <row r="15" ht="16" spans="1:12">
      <c r="A15" s="9">
        <v>46359</v>
      </c>
      <c r="B15" s="11">
        <v>437534</v>
      </c>
      <c r="C15" s="12" t="str">
        <f>VLOOKUP(B15,Employee_Master!A:B,2,0)</f>
        <v>Himanshu Sangar</v>
      </c>
      <c r="D15" s="1" t="s">
        <v>233</v>
      </c>
      <c r="E15" s="1" t="s">
        <v>234</v>
      </c>
      <c r="F15" s="1" t="s">
        <v>234</v>
      </c>
      <c r="H15" s="1">
        <f t="shared" si="0"/>
        <v>10</v>
      </c>
      <c r="I15" s="1">
        <f t="shared" si="1"/>
        <v>0</v>
      </c>
      <c r="J15" s="1">
        <f>IFERROR(VLOOKUP(D15,Event_Master!B:E,4,FALSE),1)</f>
        <v>1</v>
      </c>
      <c r="K15" s="1">
        <f t="shared" si="2"/>
        <v>0</v>
      </c>
      <c r="L15" s="1">
        <f t="shared" si="3"/>
        <v>10</v>
      </c>
    </row>
    <row r="16" ht="16" spans="1:12">
      <c r="A16" s="9">
        <v>46359</v>
      </c>
      <c r="B16" s="11">
        <v>452991</v>
      </c>
      <c r="C16" s="12" t="str">
        <f>VLOOKUP(B16,Employee_Master!A:B,2,0)</f>
        <v>Gourav Rohilla</v>
      </c>
      <c r="D16" s="1" t="s">
        <v>205</v>
      </c>
      <c r="E16" s="1" t="s">
        <v>234</v>
      </c>
      <c r="F16" s="1" t="s">
        <v>234</v>
      </c>
      <c r="G16" s="1" t="s">
        <v>219</v>
      </c>
      <c r="H16" s="1">
        <f t="shared" si="0"/>
        <v>10</v>
      </c>
      <c r="I16" s="1">
        <f t="shared" si="1"/>
        <v>100</v>
      </c>
      <c r="J16" s="1">
        <f>IFERROR(VLOOKUP(D16,Event_Master!B:E,4,FALSE),1)</f>
        <v>1.5</v>
      </c>
      <c r="K16" s="1">
        <f t="shared" si="2"/>
        <v>150</v>
      </c>
      <c r="L16" s="1">
        <f t="shared" si="3"/>
        <v>160</v>
      </c>
    </row>
    <row r="17" ht="16" spans="1:12">
      <c r="A17" s="9">
        <v>46359</v>
      </c>
      <c r="B17" s="11">
        <v>440620</v>
      </c>
      <c r="C17" s="12" t="str">
        <f>VLOOKUP(B17,Employee_Master!A:B,2,0)</f>
        <v>Kuldeep Singh</v>
      </c>
      <c r="D17" s="1" t="s">
        <v>233</v>
      </c>
      <c r="E17" s="1" t="s">
        <v>234</v>
      </c>
      <c r="F17" s="1" t="s">
        <v>234</v>
      </c>
      <c r="H17" s="1">
        <f t="shared" si="0"/>
        <v>10</v>
      </c>
      <c r="I17" s="1">
        <f t="shared" si="1"/>
        <v>0</v>
      </c>
      <c r="J17" s="1">
        <f>IFERROR(VLOOKUP(D17,Event_Master!B:E,4,FALSE),1)</f>
        <v>1</v>
      </c>
      <c r="K17" s="1">
        <f t="shared" si="2"/>
        <v>0</v>
      </c>
      <c r="L17" s="1">
        <f t="shared" si="3"/>
        <v>10</v>
      </c>
    </row>
    <row r="18" ht="16" spans="1:12">
      <c r="A18" s="9">
        <v>46359</v>
      </c>
      <c r="B18" s="12">
        <v>476372</v>
      </c>
      <c r="C18" s="12" t="str">
        <f>VLOOKUP(B18,Employee_Master!A:B,2,0)</f>
        <v>Laksh</v>
      </c>
      <c r="D18" s="1" t="s">
        <v>233</v>
      </c>
      <c r="E18" s="1" t="s">
        <v>234</v>
      </c>
      <c r="F18" s="1" t="s">
        <v>234</v>
      </c>
      <c r="H18" s="1">
        <f t="shared" si="0"/>
        <v>10</v>
      </c>
      <c r="I18" s="1">
        <f t="shared" si="1"/>
        <v>0</v>
      </c>
      <c r="J18" s="1">
        <f>IFERROR(VLOOKUP(D18,Event_Master!B:E,4,FALSE),1)</f>
        <v>1</v>
      </c>
      <c r="K18" s="1">
        <f t="shared" si="2"/>
        <v>0</v>
      </c>
      <c r="L18" s="1">
        <f t="shared" si="3"/>
        <v>10</v>
      </c>
    </row>
    <row r="19" ht="16" spans="1:12">
      <c r="A19" s="9">
        <v>46359</v>
      </c>
      <c r="B19" s="11">
        <v>450256</v>
      </c>
      <c r="C19" s="12" t="str">
        <f>VLOOKUP(B19,Employee_Master!A:B,2,0)</f>
        <v>Jyotish  Patar</v>
      </c>
      <c r="D19" s="1" t="s">
        <v>233</v>
      </c>
      <c r="E19" s="1" t="s">
        <v>234</v>
      </c>
      <c r="F19" s="1" t="s">
        <v>234</v>
      </c>
      <c r="H19" s="1">
        <f t="shared" si="0"/>
        <v>10</v>
      </c>
      <c r="I19" s="1">
        <f t="shared" si="1"/>
        <v>0</v>
      </c>
      <c r="J19" s="1">
        <f>IFERROR(VLOOKUP(D19,Event_Master!B:E,4,FALSE),1)</f>
        <v>1</v>
      </c>
      <c r="K19" s="1">
        <f t="shared" si="2"/>
        <v>0</v>
      </c>
      <c r="L19" s="1">
        <f t="shared" si="3"/>
        <v>10</v>
      </c>
    </row>
    <row r="20" ht="16" spans="1:12">
      <c r="A20" s="9">
        <v>46359</v>
      </c>
      <c r="B20" s="11">
        <v>459234</v>
      </c>
      <c r="C20" s="12" t="str">
        <f>VLOOKUP(B20,Employee_Master!A:B,2,0)</f>
        <v>Ritik Kumar</v>
      </c>
      <c r="D20" s="1" t="s">
        <v>233</v>
      </c>
      <c r="E20" s="1" t="s">
        <v>234</v>
      </c>
      <c r="F20" s="1" t="s">
        <v>234</v>
      </c>
      <c r="H20" s="1">
        <f t="shared" si="0"/>
        <v>10</v>
      </c>
      <c r="I20" s="1">
        <f t="shared" si="1"/>
        <v>0</v>
      </c>
      <c r="J20" s="1">
        <f>IFERROR(VLOOKUP(D20,Event_Master!B:E,4,FALSE),1)</f>
        <v>1</v>
      </c>
      <c r="K20" s="1">
        <f t="shared" si="2"/>
        <v>0</v>
      </c>
      <c r="L20" s="1">
        <f t="shared" si="3"/>
        <v>10</v>
      </c>
    </row>
    <row r="21" ht="16" spans="1:12">
      <c r="A21" s="9">
        <v>46359</v>
      </c>
      <c r="B21" s="11">
        <v>427154</v>
      </c>
      <c r="C21" s="12" t="str">
        <f>VLOOKUP(B21,Employee_Master!A:B,2,0)</f>
        <v>Rohan Mehra</v>
      </c>
      <c r="D21" s="1" t="s">
        <v>233</v>
      </c>
      <c r="E21" s="1" t="s">
        <v>234</v>
      </c>
      <c r="F21" s="1" t="s">
        <v>234</v>
      </c>
      <c r="H21" s="1">
        <f t="shared" si="0"/>
        <v>10</v>
      </c>
      <c r="I21" s="1">
        <f t="shared" si="1"/>
        <v>0</v>
      </c>
      <c r="J21" s="1">
        <f>IFERROR(VLOOKUP(D21,Event_Master!B:E,4,FALSE),1)</f>
        <v>1</v>
      </c>
      <c r="K21" s="1">
        <f t="shared" si="2"/>
        <v>0</v>
      </c>
      <c r="L21" s="1">
        <f t="shared" si="3"/>
        <v>10</v>
      </c>
    </row>
    <row r="22" ht="16" spans="1:12">
      <c r="A22" s="9">
        <v>46359</v>
      </c>
      <c r="B22" s="11">
        <v>420533</v>
      </c>
      <c r="C22" s="12" t="str">
        <f>VLOOKUP(B22,Employee_Master!A:B,2,0)</f>
        <v>Gaurav Saxena</v>
      </c>
      <c r="D22" s="1" t="s">
        <v>233</v>
      </c>
      <c r="E22" s="1" t="s">
        <v>234</v>
      </c>
      <c r="F22" s="1" t="s">
        <v>234</v>
      </c>
      <c r="H22" s="1">
        <f t="shared" si="0"/>
        <v>10</v>
      </c>
      <c r="I22" s="1">
        <f t="shared" si="1"/>
        <v>0</v>
      </c>
      <c r="J22" s="1">
        <f>IFERROR(VLOOKUP(D22,Event_Master!B:E,4,FALSE),1)</f>
        <v>1</v>
      </c>
      <c r="K22" s="1">
        <f t="shared" si="2"/>
        <v>0</v>
      </c>
      <c r="L22" s="1">
        <f t="shared" si="3"/>
        <v>10</v>
      </c>
    </row>
    <row r="23" ht="16" spans="1:12">
      <c r="A23" s="9">
        <v>46359</v>
      </c>
      <c r="B23" s="11">
        <v>396485</v>
      </c>
      <c r="C23" s="12" t="str">
        <f>VLOOKUP(B23,Employee_Master!A:B,2,0)</f>
        <v>Khushbir Singh</v>
      </c>
      <c r="D23" s="1" t="s">
        <v>233</v>
      </c>
      <c r="E23" s="1" t="s">
        <v>234</v>
      </c>
      <c r="F23" s="1" t="s">
        <v>234</v>
      </c>
      <c r="H23" s="1">
        <f t="shared" si="0"/>
        <v>10</v>
      </c>
      <c r="I23" s="1">
        <f t="shared" si="1"/>
        <v>0</v>
      </c>
      <c r="J23" s="1">
        <f>IFERROR(VLOOKUP(D23,Event_Master!B:E,4,FALSE),1)</f>
        <v>1</v>
      </c>
      <c r="K23" s="1">
        <f t="shared" si="2"/>
        <v>0</v>
      </c>
      <c r="L23" s="1">
        <f t="shared" si="3"/>
        <v>10</v>
      </c>
    </row>
    <row r="24" ht="16" spans="1:12">
      <c r="A24" s="9">
        <v>46359</v>
      </c>
      <c r="B24" s="11">
        <v>473266</v>
      </c>
      <c r="C24" s="12" t="str">
        <f>VLOOKUP(B24,Employee_Master!A:B,2,0)</f>
        <v>Jitender Yadav</v>
      </c>
      <c r="D24" s="1" t="s">
        <v>233</v>
      </c>
      <c r="E24" s="1" t="s">
        <v>234</v>
      </c>
      <c r="F24" s="1" t="s">
        <v>234</v>
      </c>
      <c r="H24" s="1">
        <f t="shared" si="0"/>
        <v>10</v>
      </c>
      <c r="I24" s="1">
        <f t="shared" si="1"/>
        <v>0</v>
      </c>
      <c r="J24" s="1">
        <f>IFERROR(VLOOKUP(D24,Event_Master!B:E,4,FALSE),1)</f>
        <v>1</v>
      </c>
      <c r="K24" s="1">
        <f t="shared" si="2"/>
        <v>0</v>
      </c>
      <c r="L24" s="1">
        <f t="shared" si="3"/>
        <v>10</v>
      </c>
    </row>
    <row r="25" ht="16" spans="1:12">
      <c r="A25" s="9">
        <v>46359</v>
      </c>
      <c r="B25" s="11">
        <v>451567</v>
      </c>
      <c r="C25" s="12" t="str">
        <f>VLOOKUP(B25,Employee_Master!A:B,2,0)</f>
        <v>Gaurav Kumar  </v>
      </c>
      <c r="D25" s="1" t="s">
        <v>233</v>
      </c>
      <c r="E25" s="1" t="s">
        <v>234</v>
      </c>
      <c r="F25" s="1" t="s">
        <v>234</v>
      </c>
      <c r="H25" s="1">
        <f t="shared" si="0"/>
        <v>10</v>
      </c>
      <c r="I25" s="1">
        <f t="shared" si="1"/>
        <v>0</v>
      </c>
      <c r="J25" s="1">
        <f>IFERROR(VLOOKUP(D25,Event_Master!B:E,4,FALSE),1)</f>
        <v>1</v>
      </c>
      <c r="K25" s="1">
        <f t="shared" si="2"/>
        <v>0</v>
      </c>
      <c r="L25" s="1">
        <f t="shared" si="3"/>
        <v>10</v>
      </c>
    </row>
    <row r="26" ht="16" spans="1:12">
      <c r="A26" s="9">
        <v>46359</v>
      </c>
      <c r="B26" s="11">
        <v>365114</v>
      </c>
      <c r="C26" s="12" t="str">
        <f>VLOOKUP(B26,Employee_Master!A:B,2,0)</f>
        <v>Bhanu Sirohi</v>
      </c>
      <c r="D26" s="1" t="s">
        <v>233</v>
      </c>
      <c r="E26" s="1" t="s">
        <v>234</v>
      </c>
      <c r="F26" s="1" t="s">
        <v>234</v>
      </c>
      <c r="H26" s="1">
        <f t="shared" si="0"/>
        <v>10</v>
      </c>
      <c r="I26" s="1">
        <f t="shared" si="1"/>
        <v>0</v>
      </c>
      <c r="J26" s="1">
        <f>IFERROR(VLOOKUP(D26,Event_Master!B:E,4,FALSE),1)</f>
        <v>1</v>
      </c>
      <c r="K26" s="1">
        <f t="shared" si="2"/>
        <v>0</v>
      </c>
      <c r="L26" s="1">
        <f t="shared" si="3"/>
        <v>10</v>
      </c>
    </row>
    <row r="27" ht="16" spans="1:12">
      <c r="A27" s="9">
        <v>46359</v>
      </c>
      <c r="B27" s="11">
        <v>450437</v>
      </c>
      <c r="C27" s="12" t="str">
        <f>VLOOKUP(B27,Employee_Master!A:B,2,0)</f>
        <v>Tinku Shekhawat </v>
      </c>
      <c r="D27" s="1" t="s">
        <v>233</v>
      </c>
      <c r="E27" s="1" t="s">
        <v>234</v>
      </c>
      <c r="F27" s="1" t="s">
        <v>234</v>
      </c>
      <c r="H27" s="1">
        <f t="shared" si="0"/>
        <v>10</v>
      </c>
      <c r="I27" s="1">
        <f t="shared" si="1"/>
        <v>0</v>
      </c>
      <c r="J27" s="1">
        <f>IFERROR(VLOOKUP(D27,Event_Master!B:E,4,FALSE),1)</f>
        <v>1</v>
      </c>
      <c r="K27" s="1">
        <f t="shared" si="2"/>
        <v>0</v>
      </c>
      <c r="L27" s="1">
        <f t="shared" si="3"/>
        <v>10</v>
      </c>
    </row>
    <row r="28" ht="16" spans="1:12">
      <c r="A28" s="9">
        <v>46359</v>
      </c>
      <c r="B28" s="11">
        <v>416087</v>
      </c>
      <c r="C28" s="12" t="str">
        <f>VLOOKUP(B28,Employee_Master!A:B,2,0)</f>
        <v>Manoj Singh</v>
      </c>
      <c r="D28" s="1" t="s">
        <v>233</v>
      </c>
      <c r="E28" s="1" t="s">
        <v>234</v>
      </c>
      <c r="F28" s="1" t="s">
        <v>234</v>
      </c>
      <c r="H28" s="1">
        <f t="shared" si="0"/>
        <v>10</v>
      </c>
      <c r="I28" s="1">
        <f t="shared" si="1"/>
        <v>0</v>
      </c>
      <c r="J28" s="1">
        <f>IFERROR(VLOOKUP(D28,Event_Master!B:E,4,FALSE),1)</f>
        <v>1</v>
      </c>
      <c r="K28" s="1">
        <f t="shared" si="2"/>
        <v>0</v>
      </c>
      <c r="L28" s="1">
        <f t="shared" si="3"/>
        <v>10</v>
      </c>
    </row>
    <row r="29" ht="16" spans="1:12">
      <c r="A29" s="9">
        <v>46359</v>
      </c>
      <c r="B29" s="14">
        <v>457430</v>
      </c>
      <c r="C29" s="12" t="str">
        <f>VLOOKUP(B29,Employee_Master!A:B,2,0)</f>
        <v>Manish Kumar</v>
      </c>
      <c r="D29" s="1" t="s">
        <v>233</v>
      </c>
      <c r="E29" s="1" t="s">
        <v>234</v>
      </c>
      <c r="F29" s="1" t="s">
        <v>234</v>
      </c>
      <c r="H29" s="1">
        <f t="shared" si="0"/>
        <v>10</v>
      </c>
      <c r="I29" s="1">
        <f t="shared" si="1"/>
        <v>0</v>
      </c>
      <c r="J29" s="1">
        <f>IFERROR(VLOOKUP(D29,Event_Master!B:E,4,FALSE),1)</f>
        <v>1</v>
      </c>
      <c r="K29" s="1">
        <f t="shared" si="2"/>
        <v>0</v>
      </c>
      <c r="L29" s="1">
        <f t="shared" si="3"/>
        <v>10</v>
      </c>
    </row>
    <row r="30" ht="16" spans="1:12">
      <c r="A30" s="9">
        <v>46359</v>
      </c>
      <c r="B30" s="11">
        <v>435877</v>
      </c>
      <c r="C30" s="12" t="str">
        <f>VLOOKUP(B30,Employee_Master!A:B,2,0)</f>
        <v>Pardeep Kumar</v>
      </c>
      <c r="D30" s="1" t="s">
        <v>233</v>
      </c>
      <c r="E30" s="1" t="s">
        <v>234</v>
      </c>
      <c r="F30" s="1" t="s">
        <v>234</v>
      </c>
      <c r="H30" s="1">
        <f t="shared" si="0"/>
        <v>10</v>
      </c>
      <c r="I30" s="1">
        <f t="shared" si="1"/>
        <v>0</v>
      </c>
      <c r="J30" s="1">
        <f>IFERROR(VLOOKUP(D30,Event_Master!B:E,4,FALSE),1)</f>
        <v>1</v>
      </c>
      <c r="K30" s="1">
        <f t="shared" si="2"/>
        <v>0</v>
      </c>
      <c r="L30" s="1">
        <f t="shared" si="3"/>
        <v>10</v>
      </c>
    </row>
    <row r="31" ht="16" spans="1:12">
      <c r="A31" s="9">
        <v>46359</v>
      </c>
      <c r="B31" s="11">
        <v>450224</v>
      </c>
      <c r="C31" s="12" t="str">
        <f>VLOOKUP(B31,Employee_Master!A:B,2,0)</f>
        <v>Lalit Nagar</v>
      </c>
      <c r="D31" s="1" t="s">
        <v>233</v>
      </c>
      <c r="E31" s="1" t="s">
        <v>234</v>
      </c>
      <c r="F31" s="1" t="s">
        <v>234</v>
      </c>
      <c r="H31" s="1">
        <f t="shared" si="0"/>
        <v>10</v>
      </c>
      <c r="I31" s="1">
        <f t="shared" si="1"/>
        <v>0</v>
      </c>
      <c r="J31" s="1">
        <f>IFERROR(VLOOKUP(D31,Event_Master!B:E,4,FALSE),1)</f>
        <v>1</v>
      </c>
      <c r="K31" s="1">
        <f t="shared" si="2"/>
        <v>0</v>
      </c>
      <c r="L31" s="1">
        <f t="shared" si="3"/>
        <v>10</v>
      </c>
    </row>
    <row r="32" ht="16" spans="1:12">
      <c r="A32" s="9">
        <v>46359</v>
      </c>
      <c r="B32" s="11">
        <v>449551</v>
      </c>
      <c r="C32" s="12" t="str">
        <f>VLOOKUP(B32,Employee_Master!A:B,2,0)</f>
        <v>Ramesh Kumar</v>
      </c>
      <c r="D32" s="1" t="s">
        <v>233</v>
      </c>
      <c r="E32" s="1" t="s">
        <v>234</v>
      </c>
      <c r="F32" s="1" t="s">
        <v>234</v>
      </c>
      <c r="H32" s="1">
        <f t="shared" si="0"/>
        <v>10</v>
      </c>
      <c r="I32" s="1">
        <f t="shared" si="1"/>
        <v>0</v>
      </c>
      <c r="J32" s="1">
        <f>IFERROR(VLOOKUP(D32,Event_Master!B:E,4,FALSE),1)</f>
        <v>1</v>
      </c>
      <c r="K32" s="1">
        <f t="shared" si="2"/>
        <v>0</v>
      </c>
      <c r="L32" s="1">
        <f t="shared" si="3"/>
        <v>10</v>
      </c>
    </row>
    <row r="33" ht="16" spans="1:12">
      <c r="A33" s="9">
        <v>46359</v>
      </c>
      <c r="B33" s="11">
        <v>457795</v>
      </c>
      <c r="C33" s="12" t="str">
        <f>VLOOKUP(B33,Employee_Master!A:B,2,0)</f>
        <v>Manbir Sain</v>
      </c>
      <c r="D33" s="1" t="s">
        <v>233</v>
      </c>
      <c r="E33" s="1" t="s">
        <v>234</v>
      </c>
      <c r="F33" s="1" t="s">
        <v>234</v>
      </c>
      <c r="H33" s="1">
        <f t="shared" si="0"/>
        <v>10</v>
      </c>
      <c r="I33" s="1">
        <f t="shared" si="1"/>
        <v>0</v>
      </c>
      <c r="J33" s="1">
        <f>IFERROR(VLOOKUP(D33,Event_Master!B:E,4,FALSE),1)</f>
        <v>1</v>
      </c>
      <c r="K33" s="1">
        <f t="shared" si="2"/>
        <v>0</v>
      </c>
      <c r="L33" s="1">
        <f t="shared" si="3"/>
        <v>10</v>
      </c>
    </row>
    <row r="34" ht="16" spans="1:12">
      <c r="A34" s="9">
        <v>46359</v>
      </c>
      <c r="B34" s="11">
        <v>468157</v>
      </c>
      <c r="C34" s="12" t="str">
        <f>VLOOKUP(B34,Employee_Master!A:B,2,0)</f>
        <v>Ankit Tiwari</v>
      </c>
      <c r="D34" s="1" t="s">
        <v>233</v>
      </c>
      <c r="E34" s="1" t="s">
        <v>234</v>
      </c>
      <c r="F34" s="1" t="s">
        <v>234</v>
      </c>
      <c r="H34" s="1">
        <f t="shared" si="0"/>
        <v>10</v>
      </c>
      <c r="I34" s="1">
        <f t="shared" si="1"/>
        <v>0</v>
      </c>
      <c r="J34" s="1">
        <f>IFERROR(VLOOKUP(D34,Event_Master!B:E,4,FALSE),1)</f>
        <v>1</v>
      </c>
      <c r="K34" s="1">
        <f t="shared" si="2"/>
        <v>0</v>
      </c>
      <c r="L34" s="1">
        <f t="shared" si="3"/>
        <v>10</v>
      </c>
    </row>
    <row r="35" ht="16" spans="1:12">
      <c r="A35" s="9">
        <v>46359</v>
      </c>
      <c r="B35" s="11">
        <v>700216</v>
      </c>
      <c r="C35" s="12" t="str">
        <f>VLOOKUP(B35,Employee_Master!A:B,2,0)</f>
        <v>Shivam Rani</v>
      </c>
      <c r="D35" s="1" t="s">
        <v>206</v>
      </c>
      <c r="E35" s="1" t="s">
        <v>234</v>
      </c>
      <c r="F35" s="1" t="s">
        <v>234</v>
      </c>
      <c r="G35" s="1" t="s">
        <v>219</v>
      </c>
      <c r="H35" s="1">
        <f t="shared" si="0"/>
        <v>10</v>
      </c>
      <c r="I35" s="1">
        <f t="shared" si="1"/>
        <v>100</v>
      </c>
      <c r="J35" s="1">
        <f>IFERROR(VLOOKUP(D35,Event_Master!B:E,4,FALSE),1)</f>
        <v>1.5</v>
      </c>
      <c r="K35" s="1">
        <f t="shared" si="2"/>
        <v>150</v>
      </c>
      <c r="L35" s="1">
        <f t="shared" ref="L35:L53" si="4">K35+H35</f>
        <v>160</v>
      </c>
    </row>
    <row r="36" ht="16" spans="1:12">
      <c r="A36" s="9">
        <v>46359</v>
      </c>
      <c r="B36" s="11">
        <v>492857</v>
      </c>
      <c r="C36" s="12" t="str">
        <f>VLOOKUP(B36,Employee_Master!A:B,2,0)</f>
        <v>Arnima Thakur</v>
      </c>
      <c r="D36" s="1" t="s">
        <v>233</v>
      </c>
      <c r="E36" s="1" t="s">
        <v>234</v>
      </c>
      <c r="F36" s="1" t="s">
        <v>234</v>
      </c>
      <c r="H36" s="1">
        <f t="shared" si="0"/>
        <v>10</v>
      </c>
      <c r="I36" s="1">
        <f t="shared" si="1"/>
        <v>0</v>
      </c>
      <c r="J36" s="1">
        <f>IFERROR(VLOOKUP(D36,Event_Master!B:E,4,FALSE),1)</f>
        <v>1</v>
      </c>
      <c r="K36" s="1">
        <f t="shared" si="2"/>
        <v>0</v>
      </c>
      <c r="L36" s="1">
        <f t="shared" si="4"/>
        <v>10</v>
      </c>
    </row>
    <row r="37" ht="16" spans="1:12">
      <c r="A37" s="9">
        <v>46359</v>
      </c>
      <c r="B37" s="12">
        <v>450230</v>
      </c>
      <c r="C37" s="12" t="str">
        <f>VLOOKUP(B37,Employee_Master!A:B,2,0)</f>
        <v>Aarti Gupta</v>
      </c>
      <c r="D37" s="1" t="s">
        <v>233</v>
      </c>
      <c r="E37" s="1" t="s">
        <v>234</v>
      </c>
      <c r="F37" s="1" t="s">
        <v>234</v>
      </c>
      <c r="H37" s="1">
        <f t="shared" si="0"/>
        <v>10</v>
      </c>
      <c r="I37" s="1">
        <f t="shared" si="1"/>
        <v>0</v>
      </c>
      <c r="J37" s="1">
        <f>IFERROR(VLOOKUP(D37,Event_Master!B:E,4,FALSE),1)</f>
        <v>1</v>
      </c>
      <c r="K37" s="1">
        <f t="shared" si="2"/>
        <v>0</v>
      </c>
      <c r="L37" s="1">
        <f t="shared" si="4"/>
        <v>10</v>
      </c>
    </row>
    <row r="38" ht="16" spans="1:12">
      <c r="A38" s="9">
        <v>46359</v>
      </c>
      <c r="B38" s="11">
        <v>438957</v>
      </c>
      <c r="C38" s="12" t="str">
        <f>VLOOKUP(B38,Employee_Master!A:B,2,0)</f>
        <v>Risha Bansal</v>
      </c>
      <c r="D38" s="1" t="s">
        <v>233</v>
      </c>
      <c r="E38" s="1" t="s">
        <v>234</v>
      </c>
      <c r="F38" s="1" t="s">
        <v>234</v>
      </c>
      <c r="H38" s="1">
        <f t="shared" si="0"/>
        <v>10</v>
      </c>
      <c r="I38" s="1">
        <f t="shared" si="1"/>
        <v>0</v>
      </c>
      <c r="J38" s="1">
        <f>IFERROR(VLOOKUP(D38,Event_Master!B:E,4,FALSE),1)</f>
        <v>1</v>
      </c>
      <c r="K38" s="1">
        <f t="shared" si="2"/>
        <v>0</v>
      </c>
      <c r="L38" s="1">
        <f t="shared" si="4"/>
        <v>10</v>
      </c>
    </row>
    <row r="39" ht="16" spans="1:12">
      <c r="A39" s="9">
        <v>46359</v>
      </c>
      <c r="B39" s="12">
        <v>452076</v>
      </c>
      <c r="C39" s="12" t="str">
        <f>VLOOKUP(B39,Employee_Master!A:B,2,0)</f>
        <v>Shraddha Singh</v>
      </c>
      <c r="D39" s="1" t="s">
        <v>233</v>
      </c>
      <c r="E39" s="1" t="s">
        <v>234</v>
      </c>
      <c r="F39" s="1" t="s">
        <v>234</v>
      </c>
      <c r="H39" s="1">
        <f t="shared" si="0"/>
        <v>10</v>
      </c>
      <c r="I39" s="1">
        <f t="shared" si="1"/>
        <v>0</v>
      </c>
      <c r="J39" s="1">
        <f>IFERROR(VLOOKUP(D39,Event_Master!B:E,4,FALSE),1)</f>
        <v>1</v>
      </c>
      <c r="K39" s="1">
        <f t="shared" si="2"/>
        <v>0</v>
      </c>
      <c r="L39" s="1">
        <f t="shared" si="4"/>
        <v>10</v>
      </c>
    </row>
    <row r="40" ht="16" spans="1:12">
      <c r="A40" s="9">
        <v>46359</v>
      </c>
      <c r="B40" s="11">
        <v>452058</v>
      </c>
      <c r="C40" s="12" t="str">
        <f>VLOOKUP(B40,Employee_Master!A:B,2,0)</f>
        <v>Bhavya Gupta</v>
      </c>
      <c r="D40" s="1" t="s">
        <v>233</v>
      </c>
      <c r="E40" s="1" t="s">
        <v>234</v>
      </c>
      <c r="F40" s="1" t="s">
        <v>234</v>
      </c>
      <c r="H40" s="1">
        <f t="shared" si="0"/>
        <v>10</v>
      </c>
      <c r="I40" s="1">
        <f t="shared" si="1"/>
        <v>0</v>
      </c>
      <c r="J40" s="1">
        <f>IFERROR(VLOOKUP(D40,Event_Master!B:E,4,FALSE),1)</f>
        <v>1</v>
      </c>
      <c r="K40" s="1">
        <f t="shared" si="2"/>
        <v>0</v>
      </c>
      <c r="L40" s="1">
        <f t="shared" si="4"/>
        <v>10</v>
      </c>
    </row>
    <row r="41" ht="16" spans="1:12">
      <c r="A41" s="9">
        <v>46359</v>
      </c>
      <c r="B41" s="11">
        <v>452075</v>
      </c>
      <c r="C41" s="12" t="str">
        <f>VLOOKUP(B41,Employee_Master!A:B,2,0)</f>
        <v>Mansi Yadav</v>
      </c>
      <c r="D41" s="1" t="s">
        <v>233</v>
      </c>
      <c r="E41" s="1" t="s">
        <v>234</v>
      </c>
      <c r="F41" s="1" t="s">
        <v>234</v>
      </c>
      <c r="H41" s="1">
        <f t="shared" si="0"/>
        <v>10</v>
      </c>
      <c r="I41" s="1">
        <f t="shared" si="1"/>
        <v>0</v>
      </c>
      <c r="J41" s="1">
        <f>IFERROR(VLOOKUP(D41,Event_Master!B:E,4,FALSE),1)</f>
        <v>1</v>
      </c>
      <c r="K41" s="1">
        <f t="shared" si="2"/>
        <v>0</v>
      </c>
      <c r="L41" s="1">
        <f t="shared" si="4"/>
        <v>10</v>
      </c>
    </row>
    <row r="42" ht="16" spans="1:12">
      <c r="A42" s="9">
        <v>46359</v>
      </c>
      <c r="B42" s="11">
        <v>449891</v>
      </c>
      <c r="C42" s="12" t="str">
        <f>VLOOKUP(B42,Employee_Master!A:B,2,0)</f>
        <v>Komalpreet</v>
      </c>
      <c r="D42" s="1" t="s">
        <v>206</v>
      </c>
      <c r="E42" s="1" t="s">
        <v>234</v>
      </c>
      <c r="F42" s="1" t="s">
        <v>234</v>
      </c>
      <c r="G42" s="1" t="s">
        <v>220</v>
      </c>
      <c r="H42" s="1">
        <f t="shared" si="0"/>
        <v>10</v>
      </c>
      <c r="I42" s="1">
        <f t="shared" si="1"/>
        <v>70</v>
      </c>
      <c r="J42" s="1">
        <f>IFERROR(VLOOKUP(D42,Event_Master!B:E,4,FALSE),1)</f>
        <v>1.5</v>
      </c>
      <c r="K42" s="1">
        <f t="shared" si="2"/>
        <v>105</v>
      </c>
      <c r="L42" s="1">
        <f t="shared" si="4"/>
        <v>115</v>
      </c>
    </row>
    <row r="43" ht="16" spans="1:12">
      <c r="A43" s="9">
        <v>46359</v>
      </c>
      <c r="B43" s="11">
        <v>464871</v>
      </c>
      <c r="C43" s="12" t="str">
        <f>VLOOKUP(B43,Employee_Master!A:B,2,0)</f>
        <v>Mohit Sahu</v>
      </c>
      <c r="D43" s="1" t="s">
        <v>233</v>
      </c>
      <c r="E43" s="1" t="s">
        <v>234</v>
      </c>
      <c r="F43" s="1" t="s">
        <v>234</v>
      </c>
      <c r="H43" s="1">
        <f t="shared" si="0"/>
        <v>10</v>
      </c>
      <c r="I43" s="1">
        <f t="shared" si="1"/>
        <v>0</v>
      </c>
      <c r="J43" s="1">
        <f>IFERROR(VLOOKUP(D43,Event_Master!B:E,4,FALSE),1)</f>
        <v>1</v>
      </c>
      <c r="K43" s="1">
        <f t="shared" si="2"/>
        <v>0</v>
      </c>
      <c r="L43" s="1">
        <f t="shared" si="4"/>
        <v>10</v>
      </c>
    </row>
    <row r="44" ht="16" spans="1:12">
      <c r="A44" s="9">
        <v>46359</v>
      </c>
      <c r="B44" s="14">
        <v>434518</v>
      </c>
      <c r="C44" s="12" t="str">
        <f>VLOOKUP(B44,Employee_Master!A:B,2,0)</f>
        <v>Maneesh Mohan</v>
      </c>
      <c r="D44" s="1" t="s">
        <v>206</v>
      </c>
      <c r="E44" s="1" t="s">
        <v>234</v>
      </c>
      <c r="F44" s="1" t="s">
        <v>234</v>
      </c>
      <c r="G44" s="1" t="s">
        <v>219</v>
      </c>
      <c r="H44" s="1">
        <f t="shared" si="0"/>
        <v>10</v>
      </c>
      <c r="I44" s="1">
        <f t="shared" si="1"/>
        <v>100</v>
      </c>
      <c r="J44" s="1">
        <f>IFERROR(VLOOKUP(D44,Event_Master!B:E,4,FALSE),1)</f>
        <v>1.5</v>
      </c>
      <c r="K44" s="1">
        <f t="shared" si="2"/>
        <v>150</v>
      </c>
      <c r="L44" s="1">
        <f t="shared" si="4"/>
        <v>160</v>
      </c>
    </row>
    <row r="45" ht="16" spans="1:12">
      <c r="A45" s="9">
        <v>46359</v>
      </c>
      <c r="B45" s="12">
        <v>452056</v>
      </c>
      <c r="C45" s="12" t="str">
        <f>VLOOKUP(B45,Employee_Master!A:B,2,0)</f>
        <v>Rupesh Thakur</v>
      </c>
      <c r="D45" s="1" t="s">
        <v>204</v>
      </c>
      <c r="E45" s="1" t="s">
        <v>234</v>
      </c>
      <c r="F45" s="1" t="s">
        <v>234</v>
      </c>
      <c r="G45" s="1" t="s">
        <v>220</v>
      </c>
      <c r="H45" s="1">
        <f t="shared" si="0"/>
        <v>10</v>
      </c>
      <c r="I45" s="1">
        <f t="shared" si="1"/>
        <v>70</v>
      </c>
      <c r="J45" s="1">
        <f>IFERROR(VLOOKUP(D45,Event_Master!B:E,4,FALSE),1)</f>
        <v>1.5</v>
      </c>
      <c r="K45" s="1">
        <f t="shared" si="2"/>
        <v>105</v>
      </c>
      <c r="L45" s="1">
        <f t="shared" si="4"/>
        <v>115</v>
      </c>
    </row>
    <row r="46" ht="16" spans="1:12">
      <c r="A46" s="9">
        <v>46359</v>
      </c>
      <c r="B46" s="14">
        <v>466445</v>
      </c>
      <c r="C46" s="12" t="str">
        <f>VLOOKUP(B46,Employee_Master!A:B,2,0)</f>
        <v>Ayush Kumar</v>
      </c>
      <c r="D46" s="1" t="s">
        <v>233</v>
      </c>
      <c r="E46" s="1" t="s">
        <v>234</v>
      </c>
      <c r="F46" s="1" t="s">
        <v>234</v>
      </c>
      <c r="H46" s="1">
        <f t="shared" si="0"/>
        <v>10</v>
      </c>
      <c r="I46" s="1">
        <f t="shared" si="1"/>
        <v>0</v>
      </c>
      <c r="J46" s="1">
        <f>IFERROR(VLOOKUP(D46,Event_Master!B:E,4,FALSE),1)</f>
        <v>1</v>
      </c>
      <c r="K46" s="1">
        <f t="shared" si="2"/>
        <v>0</v>
      </c>
      <c r="L46" s="1">
        <f t="shared" si="4"/>
        <v>10</v>
      </c>
    </row>
    <row r="47" ht="16" spans="1:12">
      <c r="A47" s="9">
        <v>46359</v>
      </c>
      <c r="B47" s="11">
        <v>451567</v>
      </c>
      <c r="C47" s="12" t="str">
        <f>VLOOKUP(B47,Employee_Master!A:B,2,0)</f>
        <v>Gaurav Kumar  </v>
      </c>
      <c r="D47" s="1" t="s">
        <v>233</v>
      </c>
      <c r="E47" s="1" t="s">
        <v>234</v>
      </c>
      <c r="F47" s="1" t="s">
        <v>234</v>
      </c>
      <c r="H47" s="1">
        <f t="shared" si="0"/>
        <v>10</v>
      </c>
      <c r="I47" s="1">
        <f t="shared" si="1"/>
        <v>0</v>
      </c>
      <c r="J47" s="1">
        <f>IFERROR(VLOOKUP(D47,Event_Master!B:E,4,FALSE),1)</f>
        <v>1</v>
      </c>
      <c r="K47" s="1">
        <f t="shared" si="2"/>
        <v>0</v>
      </c>
      <c r="L47" s="1">
        <f t="shared" si="4"/>
        <v>10</v>
      </c>
    </row>
    <row r="48" ht="16" spans="1:12">
      <c r="A48" s="9">
        <v>46359</v>
      </c>
      <c r="B48" s="11">
        <v>474194</v>
      </c>
      <c r="C48" s="12" t="str">
        <f>VLOOKUP(B48,Employee_Master!A:B,2,0)</f>
        <v>Rohit Yadav</v>
      </c>
      <c r="D48" s="1" t="s">
        <v>233</v>
      </c>
      <c r="E48" s="1" t="s">
        <v>234</v>
      </c>
      <c r="F48" s="1" t="s">
        <v>234</v>
      </c>
      <c r="H48" s="1">
        <f t="shared" si="0"/>
        <v>10</v>
      </c>
      <c r="I48" s="1">
        <f t="shared" si="1"/>
        <v>0</v>
      </c>
      <c r="J48" s="1">
        <f>IFERROR(VLOOKUP(D48,Event_Master!B:E,4,FALSE),1)</f>
        <v>1</v>
      </c>
      <c r="K48" s="1">
        <f t="shared" si="2"/>
        <v>0</v>
      </c>
      <c r="L48" s="1">
        <f t="shared" si="4"/>
        <v>10</v>
      </c>
    </row>
    <row r="49" ht="16" spans="1:12">
      <c r="A49" s="9">
        <v>46359</v>
      </c>
      <c r="B49" s="11">
        <v>452991</v>
      </c>
      <c r="C49" s="12" t="str">
        <f>VLOOKUP(B49,Employee_Master!A:B,2,0)</f>
        <v>Gourav Rohilla</v>
      </c>
      <c r="D49" s="1" t="s">
        <v>206</v>
      </c>
      <c r="E49" s="1" t="s">
        <v>234</v>
      </c>
      <c r="F49" s="1" t="s">
        <v>234</v>
      </c>
      <c r="G49" s="1" t="s">
        <v>220</v>
      </c>
      <c r="H49" s="1">
        <f t="shared" si="0"/>
        <v>10</v>
      </c>
      <c r="I49" s="1">
        <f t="shared" si="1"/>
        <v>70</v>
      </c>
      <c r="J49" s="1">
        <f>IFERROR(VLOOKUP(D49,Event_Master!B:E,4,FALSE),1)</f>
        <v>1.5</v>
      </c>
      <c r="K49" s="1">
        <f t="shared" si="2"/>
        <v>105</v>
      </c>
      <c r="L49" s="1">
        <f t="shared" si="4"/>
        <v>115</v>
      </c>
    </row>
    <row r="50" ht="16" spans="1:12">
      <c r="A50" s="9">
        <v>46359</v>
      </c>
      <c r="B50" s="14">
        <v>434518</v>
      </c>
      <c r="C50" s="12" t="str">
        <f>VLOOKUP(B50,Employee_Master!A:B,2,0)</f>
        <v>Maneesh Mohan</v>
      </c>
      <c r="D50" s="1" t="s">
        <v>205</v>
      </c>
      <c r="E50" s="1" t="s">
        <v>234</v>
      </c>
      <c r="F50" s="1" t="s">
        <v>234</v>
      </c>
      <c r="G50" s="1" t="s">
        <v>220</v>
      </c>
      <c r="H50" s="1">
        <f t="shared" si="0"/>
        <v>10</v>
      </c>
      <c r="I50" s="1">
        <f t="shared" si="1"/>
        <v>70</v>
      </c>
      <c r="J50" s="1">
        <f>IFERROR(VLOOKUP(D50,Event_Master!B:E,4,FALSE),1)</f>
        <v>1.5</v>
      </c>
      <c r="K50" s="1">
        <f t="shared" si="2"/>
        <v>105</v>
      </c>
      <c r="L50" s="1">
        <f t="shared" si="4"/>
        <v>115</v>
      </c>
    </row>
    <row r="51" ht="16" spans="1:12">
      <c r="A51" s="9">
        <v>46359</v>
      </c>
      <c r="B51" s="15">
        <v>452076</v>
      </c>
      <c r="C51" s="12" t="str">
        <f>VLOOKUP(B51,Employee_Master!A:B,2,0)</f>
        <v>Shraddha Singh</v>
      </c>
      <c r="D51" s="1" t="s">
        <v>207</v>
      </c>
      <c r="E51" s="1" t="s">
        <v>234</v>
      </c>
      <c r="F51" s="1" t="s">
        <v>234</v>
      </c>
      <c r="G51" s="1" t="s">
        <v>220</v>
      </c>
      <c r="H51" s="1">
        <f t="shared" ref="H51" si="5">IF(F51="Yes",10,0)</f>
        <v>10</v>
      </c>
      <c r="I51" s="1">
        <f t="shared" ref="I51" si="6">IF(G51="Winner",100,IF(G51="Runner-up",70,IF(G51="2nd Runner-up",50,IF(G51="Semi",30,IF(G51="Quarter",20,0)))))</f>
        <v>70</v>
      </c>
      <c r="J51" s="1">
        <f>IFERROR(VLOOKUP(D51,Event_Master!B:E,4,FALSE),1)</f>
        <v>1.5</v>
      </c>
      <c r="K51" s="1">
        <f t="shared" ref="K51" si="7">(I51*J51)</f>
        <v>105</v>
      </c>
      <c r="L51" s="1">
        <f t="shared" si="4"/>
        <v>115</v>
      </c>
    </row>
    <row r="52" ht="16" spans="1:12">
      <c r="A52" s="9">
        <v>46359</v>
      </c>
      <c r="B52" s="14">
        <v>460812</v>
      </c>
      <c r="C52" s="12" t="str">
        <f>VLOOKUP(B52,Employee_Master!A:B,2,0)</f>
        <v>Deepak Sharma</v>
      </c>
      <c r="D52" s="1" t="s">
        <v>205</v>
      </c>
      <c r="E52" s="1" t="s">
        <v>234</v>
      </c>
      <c r="F52" s="1" t="s">
        <v>234</v>
      </c>
      <c r="G52" s="1" t="s">
        <v>220</v>
      </c>
      <c r="H52" s="1">
        <f t="shared" si="0"/>
        <v>10</v>
      </c>
      <c r="I52" s="1">
        <f t="shared" si="1"/>
        <v>70</v>
      </c>
      <c r="J52" s="1">
        <f>IFERROR(VLOOKUP(D52,Event_Master!B:E,4,FALSE),1)</f>
        <v>1.5</v>
      </c>
      <c r="K52" s="1">
        <f t="shared" si="2"/>
        <v>105</v>
      </c>
      <c r="L52" s="1">
        <f t="shared" si="4"/>
        <v>115</v>
      </c>
    </row>
    <row r="53" ht="16" spans="1:12">
      <c r="A53" s="9">
        <v>46359</v>
      </c>
      <c r="B53" s="16">
        <v>465254</v>
      </c>
      <c r="C53" s="12" t="str">
        <f>VLOOKUP(B53,Employee_Master!A:B,2,0)</f>
        <v>Narender Kumar</v>
      </c>
      <c r="D53" s="1" t="s">
        <v>233</v>
      </c>
      <c r="E53" s="1" t="s">
        <v>234</v>
      </c>
      <c r="F53" s="1" t="s">
        <v>234</v>
      </c>
      <c r="K53" s="1">
        <f t="shared" si="2"/>
        <v>0</v>
      </c>
      <c r="L53" s="1">
        <f t="shared" si="4"/>
        <v>0</v>
      </c>
    </row>
    <row r="54" ht="16" spans="1:12">
      <c r="A54" s="9">
        <v>46359</v>
      </c>
      <c r="B54" s="17">
        <v>430977</v>
      </c>
      <c r="C54" s="12" t="str">
        <f>VLOOKUP(B54,Employee_Master!A:B,2,0)</f>
        <v>Akshit Sood</v>
      </c>
      <c r="D54" s="1" t="s">
        <v>233</v>
      </c>
      <c r="E54" s="1" t="s">
        <v>234</v>
      </c>
      <c r="F54" s="1" t="s">
        <v>234</v>
      </c>
      <c r="H54" s="1">
        <f t="shared" ref="H54:H57" si="8">IF(F54="Yes",10,0)</f>
        <v>10</v>
      </c>
      <c r="I54" s="1">
        <f t="shared" ref="I54:I57" si="9">IF(G54="Winner",100,IF(G54="Runner-up",70,IF(G54="2nd Runner-up",50,IF(G54="Semi",30,IF(G54="Quarter",20,0)))))</f>
        <v>0</v>
      </c>
      <c r="J54" s="1">
        <f>IFERROR(VLOOKUP(D54,Event_Master!B:E,4,FALSE),1)</f>
        <v>1</v>
      </c>
      <c r="K54" s="1">
        <f t="shared" si="2"/>
        <v>0</v>
      </c>
      <c r="L54" s="1">
        <f t="shared" ref="L54:L85" si="10">K54+H54</f>
        <v>10</v>
      </c>
    </row>
    <row r="55" ht="16" spans="1:12">
      <c r="A55" s="9">
        <v>46359</v>
      </c>
      <c r="B55" s="12">
        <v>447836</v>
      </c>
      <c r="C55" s="12" t="str">
        <f>VLOOKUP(B55,Employee_Master!A:B,2,0)</f>
        <v>Rakesh S</v>
      </c>
      <c r="D55" s="1" t="s">
        <v>211</v>
      </c>
      <c r="E55" s="1" t="s">
        <v>234</v>
      </c>
      <c r="F55" s="1" t="s">
        <v>234</v>
      </c>
      <c r="H55" s="1">
        <f t="shared" si="8"/>
        <v>10</v>
      </c>
      <c r="I55" s="1">
        <f t="shared" si="9"/>
        <v>0</v>
      </c>
      <c r="J55" s="1">
        <f>IFERROR(VLOOKUP(D55,Event_Master!B:E,4,FALSE),1)</f>
        <v>1.5</v>
      </c>
      <c r="K55" s="1">
        <f t="shared" si="2"/>
        <v>0</v>
      </c>
      <c r="L55" s="1">
        <f t="shared" si="10"/>
        <v>10</v>
      </c>
    </row>
    <row r="56" ht="16" spans="1:12">
      <c r="A56" s="9">
        <v>46359</v>
      </c>
      <c r="B56" s="12">
        <v>452799</v>
      </c>
      <c r="C56" s="12" t="str">
        <f>VLOOKUP(B56,Employee_Master!A:B,2,0)</f>
        <v>Manish Kukreti</v>
      </c>
      <c r="D56" s="1" t="s">
        <v>211</v>
      </c>
      <c r="E56" s="1" t="s">
        <v>234</v>
      </c>
      <c r="F56" s="1" t="s">
        <v>234</v>
      </c>
      <c r="H56" s="1">
        <f t="shared" si="8"/>
        <v>10</v>
      </c>
      <c r="I56" s="1">
        <f t="shared" si="9"/>
        <v>0</v>
      </c>
      <c r="J56" s="1">
        <f>IFERROR(VLOOKUP(D56,Event_Master!B:E,4,FALSE),1)</f>
        <v>1.5</v>
      </c>
      <c r="K56" s="1">
        <f t="shared" si="2"/>
        <v>0</v>
      </c>
      <c r="L56" s="1">
        <f t="shared" si="10"/>
        <v>10</v>
      </c>
    </row>
    <row r="57" ht="16" spans="1:12">
      <c r="A57" s="9">
        <v>46359</v>
      </c>
      <c r="B57" s="12">
        <v>458702</v>
      </c>
      <c r="C57" s="12" t="str">
        <f>VLOOKUP(B57,Employee_Master!A:B,2,0)</f>
        <v>Jasbeer Singh</v>
      </c>
      <c r="D57" s="1" t="s">
        <v>211</v>
      </c>
      <c r="E57" s="1" t="s">
        <v>234</v>
      </c>
      <c r="F57" s="1" t="s">
        <v>234</v>
      </c>
      <c r="H57" s="1">
        <f t="shared" si="8"/>
        <v>10</v>
      </c>
      <c r="I57" s="1">
        <f t="shared" si="9"/>
        <v>0</v>
      </c>
      <c r="J57" s="1">
        <f>IFERROR(VLOOKUP(D57,Event_Master!B:E,4,FALSE),1)</f>
        <v>1.5</v>
      </c>
      <c r="K57" s="1">
        <f t="shared" si="2"/>
        <v>0</v>
      </c>
      <c r="L57" s="1">
        <f t="shared" si="10"/>
        <v>10</v>
      </c>
    </row>
    <row r="58" ht="16" spans="1:12">
      <c r="A58" s="9">
        <v>46359</v>
      </c>
      <c r="B58" s="14">
        <v>440620</v>
      </c>
      <c r="C58" s="12" t="str">
        <f>VLOOKUP(B58,Employee_Master!A:B,2,0)</f>
        <v>Kuldeep Singh</v>
      </c>
      <c r="D58" s="1" t="s">
        <v>211</v>
      </c>
      <c r="E58" s="1" t="s">
        <v>234</v>
      </c>
      <c r="F58" s="1" t="s">
        <v>234</v>
      </c>
      <c r="H58" s="1">
        <f t="shared" si="0"/>
        <v>10</v>
      </c>
      <c r="I58" s="1">
        <f t="shared" si="1"/>
        <v>0</v>
      </c>
      <c r="J58" s="1">
        <f>IFERROR(VLOOKUP(D58,Event_Master!B:E,4,FALSE),1)</f>
        <v>1.5</v>
      </c>
      <c r="K58" s="1">
        <f t="shared" si="2"/>
        <v>0</v>
      </c>
      <c r="L58" s="1">
        <f t="shared" si="10"/>
        <v>10</v>
      </c>
    </row>
    <row r="59" ht="16" spans="1:12">
      <c r="A59" s="9">
        <v>46359</v>
      </c>
      <c r="B59" s="12">
        <v>467519</v>
      </c>
      <c r="C59" s="12" t="str">
        <f>VLOOKUP(B59,Employee_Master!A:B,2,0)</f>
        <v>Vivek Tiwari</v>
      </c>
      <c r="D59" s="1" t="s">
        <v>211</v>
      </c>
      <c r="E59" s="1" t="s">
        <v>234</v>
      </c>
      <c r="F59" s="1" t="s">
        <v>234</v>
      </c>
      <c r="H59" s="1">
        <f t="shared" si="0"/>
        <v>10</v>
      </c>
      <c r="I59" s="1">
        <f t="shared" si="1"/>
        <v>0</v>
      </c>
      <c r="J59" s="1">
        <f>IFERROR(VLOOKUP(D59,Event_Master!B:E,4,FALSE),1)</f>
        <v>1.5</v>
      </c>
      <c r="K59" s="1">
        <f t="shared" si="2"/>
        <v>0</v>
      </c>
      <c r="L59" s="1">
        <f t="shared" si="10"/>
        <v>10</v>
      </c>
    </row>
    <row r="60" ht="16" spans="1:12">
      <c r="A60" s="9">
        <v>46359</v>
      </c>
      <c r="B60" s="12">
        <v>707131</v>
      </c>
      <c r="C60" s="12" t="str">
        <f>VLOOKUP(B60,Employee_Master!A:B,2,0)</f>
        <v>Puja Bhalotia</v>
      </c>
      <c r="D60" s="1" t="s">
        <v>211</v>
      </c>
      <c r="E60" s="1" t="s">
        <v>234</v>
      </c>
      <c r="F60" s="1" t="s">
        <v>234</v>
      </c>
      <c r="H60" s="1">
        <f t="shared" si="0"/>
        <v>10</v>
      </c>
      <c r="I60" s="1">
        <f t="shared" si="1"/>
        <v>0</v>
      </c>
      <c r="J60" s="1">
        <f>IFERROR(VLOOKUP(D60,Event_Master!B:E,4,FALSE),1)</f>
        <v>1.5</v>
      </c>
      <c r="K60" s="1">
        <f t="shared" si="2"/>
        <v>0</v>
      </c>
      <c r="L60" s="1">
        <f t="shared" si="10"/>
        <v>10</v>
      </c>
    </row>
    <row r="61" ht="16" spans="1:12">
      <c r="A61" s="9">
        <v>46359</v>
      </c>
      <c r="B61" s="12">
        <v>450224</v>
      </c>
      <c r="C61" s="12" t="str">
        <f>VLOOKUP(B61,Employee_Master!A:B,2,0)</f>
        <v>Lalit Nagar</v>
      </c>
      <c r="D61" s="1" t="s">
        <v>211</v>
      </c>
      <c r="E61" s="1" t="s">
        <v>234</v>
      </c>
      <c r="F61" s="1" t="s">
        <v>234</v>
      </c>
      <c r="H61" s="1">
        <f t="shared" si="0"/>
        <v>10</v>
      </c>
      <c r="I61" s="1">
        <f t="shared" si="1"/>
        <v>0</v>
      </c>
      <c r="J61" s="1">
        <f>IFERROR(VLOOKUP(D61,Event_Master!B:E,4,FALSE),1)</f>
        <v>1.5</v>
      </c>
      <c r="K61" s="1">
        <f t="shared" si="2"/>
        <v>0</v>
      </c>
      <c r="L61" s="1">
        <f t="shared" si="10"/>
        <v>10</v>
      </c>
    </row>
    <row r="62" ht="16" spans="1:12">
      <c r="A62" s="9">
        <v>46359</v>
      </c>
      <c r="B62" s="12">
        <v>450228</v>
      </c>
      <c r="C62" s="12" t="str">
        <f>VLOOKUP(B62,Employee_Master!A:B,2,0)</f>
        <v>Shubham Sharma</v>
      </c>
      <c r="D62" s="1" t="s">
        <v>211</v>
      </c>
      <c r="E62" s="1" t="s">
        <v>234</v>
      </c>
      <c r="F62" s="1" t="s">
        <v>234</v>
      </c>
      <c r="H62" s="1">
        <f t="shared" si="0"/>
        <v>10</v>
      </c>
      <c r="I62" s="1">
        <f t="shared" si="1"/>
        <v>0</v>
      </c>
      <c r="J62" s="1">
        <f>IFERROR(VLOOKUP(D62,Event_Master!B:E,4,FALSE),1)</f>
        <v>1.5</v>
      </c>
      <c r="K62" s="1">
        <f t="shared" si="2"/>
        <v>0</v>
      </c>
      <c r="L62" s="1">
        <f t="shared" si="10"/>
        <v>10</v>
      </c>
    </row>
    <row r="63" ht="16" spans="1:12">
      <c r="A63" s="9">
        <v>46359</v>
      </c>
      <c r="B63" s="12">
        <v>424332</v>
      </c>
      <c r="C63" s="12" t="str">
        <f>VLOOKUP(B63,Employee_Master!A:B,2,0)</f>
        <v>Naresh Kumar</v>
      </c>
      <c r="D63" s="1" t="s">
        <v>211</v>
      </c>
      <c r="E63" s="1" t="s">
        <v>234</v>
      </c>
      <c r="F63" s="1" t="s">
        <v>234</v>
      </c>
      <c r="H63" s="1">
        <f t="shared" si="0"/>
        <v>10</v>
      </c>
      <c r="I63" s="1">
        <f t="shared" si="1"/>
        <v>0</v>
      </c>
      <c r="J63" s="1">
        <f>IFERROR(VLOOKUP(D63,Event_Master!B:E,4,FALSE),1)</f>
        <v>1.5</v>
      </c>
      <c r="K63" s="1">
        <f t="shared" si="2"/>
        <v>0</v>
      </c>
      <c r="L63" s="1">
        <f t="shared" si="10"/>
        <v>10</v>
      </c>
    </row>
    <row r="64" ht="16" spans="1:12">
      <c r="A64" s="9">
        <v>46359</v>
      </c>
      <c r="B64" s="12">
        <v>434518</v>
      </c>
      <c r="C64" s="12" t="str">
        <f>VLOOKUP(B64,Employee_Master!A:B,2,0)</f>
        <v>Maneesh Mohan</v>
      </c>
      <c r="D64" s="1" t="s">
        <v>211</v>
      </c>
      <c r="E64" s="1" t="s">
        <v>234</v>
      </c>
      <c r="F64" s="1" t="s">
        <v>234</v>
      </c>
      <c r="H64" s="1">
        <f t="shared" si="0"/>
        <v>10</v>
      </c>
      <c r="I64" s="1">
        <f t="shared" si="1"/>
        <v>0</v>
      </c>
      <c r="J64" s="1">
        <f>IFERROR(VLOOKUP(D64,Event_Master!B:E,4,FALSE),1)</f>
        <v>1.5</v>
      </c>
      <c r="K64" s="1">
        <f t="shared" si="2"/>
        <v>0</v>
      </c>
      <c r="L64" s="1">
        <f t="shared" si="10"/>
        <v>10</v>
      </c>
    </row>
    <row r="65" ht="16" spans="1:12">
      <c r="A65" s="9">
        <v>46359</v>
      </c>
      <c r="B65" s="12">
        <v>450230</v>
      </c>
      <c r="C65" s="12" t="str">
        <f>VLOOKUP(B65,Employee_Master!A:B,2,0)</f>
        <v>Aarti Gupta</v>
      </c>
      <c r="D65" s="1" t="s">
        <v>211</v>
      </c>
      <c r="E65" s="1" t="s">
        <v>234</v>
      </c>
      <c r="F65" s="1" t="s">
        <v>234</v>
      </c>
      <c r="H65" s="1">
        <f t="shared" si="0"/>
        <v>10</v>
      </c>
      <c r="I65" s="1">
        <f t="shared" si="1"/>
        <v>0</v>
      </c>
      <c r="J65" s="1">
        <f>IFERROR(VLOOKUP(D65,Event_Master!B:E,4,FALSE),1)</f>
        <v>1.5</v>
      </c>
      <c r="K65" s="1">
        <f t="shared" si="2"/>
        <v>0</v>
      </c>
      <c r="L65" s="1">
        <f t="shared" si="10"/>
        <v>10</v>
      </c>
    </row>
    <row r="66" ht="16" spans="1:12">
      <c r="A66" s="9">
        <v>46359</v>
      </c>
      <c r="B66" s="12">
        <v>460627</v>
      </c>
      <c r="C66" s="12" t="str">
        <f>VLOOKUP(B66,Employee_Master!A:B,2,0)</f>
        <v>Sushil</v>
      </c>
      <c r="D66" s="1" t="s">
        <v>211</v>
      </c>
      <c r="E66" s="1" t="s">
        <v>234</v>
      </c>
      <c r="F66" s="1" t="s">
        <v>234</v>
      </c>
      <c r="H66" s="1">
        <f t="shared" si="0"/>
        <v>10</v>
      </c>
      <c r="I66" s="1">
        <f t="shared" si="1"/>
        <v>0</v>
      </c>
      <c r="J66" s="1">
        <f>IFERROR(VLOOKUP(D66,Event_Master!B:E,4,FALSE),1)</f>
        <v>1.5</v>
      </c>
      <c r="K66" s="1">
        <f t="shared" si="2"/>
        <v>0</v>
      </c>
      <c r="L66" s="1">
        <f t="shared" si="10"/>
        <v>10</v>
      </c>
    </row>
    <row r="67" ht="16" spans="1:12">
      <c r="A67" s="9">
        <v>46359</v>
      </c>
      <c r="B67" s="13">
        <v>469627</v>
      </c>
      <c r="C67" s="12" t="str">
        <f>VLOOKUP(B67,Employee_Master!A:B,2,0)</f>
        <v>Rahul Kumar</v>
      </c>
      <c r="D67" s="1" t="s">
        <v>211</v>
      </c>
      <c r="E67" s="1" t="s">
        <v>234</v>
      </c>
      <c r="F67" s="1" t="s">
        <v>234</v>
      </c>
      <c r="H67" s="1">
        <f t="shared" si="0"/>
        <v>10</v>
      </c>
      <c r="I67" s="1">
        <f t="shared" si="1"/>
        <v>0</v>
      </c>
      <c r="J67" s="1">
        <f>IFERROR(VLOOKUP(D67,Event_Master!B:E,4,FALSE),1)</f>
        <v>1.5</v>
      </c>
      <c r="K67" s="1">
        <f t="shared" si="2"/>
        <v>0</v>
      </c>
      <c r="L67" s="1">
        <f t="shared" si="10"/>
        <v>10</v>
      </c>
    </row>
    <row r="68" ht="16" spans="1:12">
      <c r="A68" s="9">
        <v>46359</v>
      </c>
      <c r="B68" s="12">
        <v>416828</v>
      </c>
      <c r="C68" s="12" t="str">
        <f>VLOOKUP(B68,Employee_Master!A:B,2,0)</f>
        <v>Keshav Dev</v>
      </c>
      <c r="D68" s="1" t="s">
        <v>211</v>
      </c>
      <c r="E68" s="1" t="s">
        <v>234</v>
      </c>
      <c r="F68" s="1" t="s">
        <v>234</v>
      </c>
      <c r="H68" s="1">
        <f t="shared" si="0"/>
        <v>10</v>
      </c>
      <c r="I68" s="1">
        <f t="shared" si="1"/>
        <v>0</v>
      </c>
      <c r="J68" s="1">
        <f>IFERROR(VLOOKUP(D68,Event_Master!B:E,4,FALSE),1)</f>
        <v>1.5</v>
      </c>
      <c r="K68" s="1">
        <f t="shared" si="2"/>
        <v>0</v>
      </c>
      <c r="L68" s="1">
        <f t="shared" si="10"/>
        <v>10</v>
      </c>
    </row>
    <row r="69" ht="16" spans="1:12">
      <c r="A69" s="9">
        <v>46359</v>
      </c>
      <c r="B69" s="12">
        <v>474194</v>
      </c>
      <c r="C69" s="12" t="str">
        <f>VLOOKUP(B69,Employee_Master!A:B,2,0)</f>
        <v>Rohit Yadav</v>
      </c>
      <c r="D69" s="1" t="s">
        <v>211</v>
      </c>
      <c r="E69" s="1" t="s">
        <v>234</v>
      </c>
      <c r="F69" s="1" t="s">
        <v>234</v>
      </c>
      <c r="H69" s="1">
        <f t="shared" si="0"/>
        <v>10</v>
      </c>
      <c r="I69" s="1">
        <f t="shared" si="1"/>
        <v>0</v>
      </c>
      <c r="J69" s="1">
        <f>IFERROR(VLOOKUP(D69,Event_Master!B:E,4,FALSE),1)</f>
        <v>1.5</v>
      </c>
      <c r="K69" s="1">
        <f t="shared" si="2"/>
        <v>0</v>
      </c>
      <c r="L69" s="1">
        <f t="shared" si="10"/>
        <v>10</v>
      </c>
    </row>
    <row r="70" ht="16" spans="1:12">
      <c r="A70" s="9">
        <v>46359</v>
      </c>
      <c r="B70" s="12">
        <v>466167</v>
      </c>
      <c r="C70" s="12" t="str">
        <f>VLOOKUP(B70,Employee_Master!A:B,2,0)</f>
        <v>Aishwarya Sharma</v>
      </c>
      <c r="D70" s="1" t="s">
        <v>211</v>
      </c>
      <c r="E70" s="1" t="s">
        <v>234</v>
      </c>
      <c r="F70" s="1" t="s">
        <v>234</v>
      </c>
      <c r="H70" s="1">
        <f t="shared" si="0"/>
        <v>10</v>
      </c>
      <c r="I70" s="1">
        <f t="shared" ref="I70:I148" si="11">IF(G70="Winner",100,IF(G70="Runner-up",70,IF(G70="2nd Runner-up",50,IF(G70="Semi",30,IF(G70="Quarter",20,0)))))</f>
        <v>0</v>
      </c>
      <c r="J70" s="1">
        <f>IFERROR(VLOOKUP(D70,Event_Master!B:E,4,FALSE),1)</f>
        <v>1.5</v>
      </c>
      <c r="K70" s="1">
        <f t="shared" ref="K70:K148" si="12">(I70*J70)</f>
        <v>0</v>
      </c>
      <c r="L70" s="1">
        <f t="shared" si="10"/>
        <v>10</v>
      </c>
    </row>
    <row r="71" ht="16" spans="1:12">
      <c r="A71" s="9">
        <v>46359</v>
      </c>
      <c r="B71" s="12">
        <v>470292</v>
      </c>
      <c r="C71" s="12" t="str">
        <f>VLOOKUP(B71,Employee_Master!A:B,2,0)</f>
        <v>Vishal Kumar</v>
      </c>
      <c r="D71" s="1" t="s">
        <v>211</v>
      </c>
      <c r="E71" s="1" t="s">
        <v>234</v>
      </c>
      <c r="F71" s="1" t="s">
        <v>234</v>
      </c>
      <c r="H71" s="1">
        <f t="shared" si="0"/>
        <v>10</v>
      </c>
      <c r="I71" s="1">
        <f t="shared" si="11"/>
        <v>0</v>
      </c>
      <c r="J71" s="1">
        <f>IFERROR(VLOOKUP(D71,Event_Master!B:E,4,FALSE),1)</f>
        <v>1.5</v>
      </c>
      <c r="K71" s="1">
        <f t="shared" si="12"/>
        <v>0</v>
      </c>
      <c r="L71" s="1">
        <f t="shared" si="10"/>
        <v>10</v>
      </c>
    </row>
    <row r="72" ht="16" spans="1:12">
      <c r="A72" s="9">
        <v>46359</v>
      </c>
      <c r="B72" s="12">
        <v>472322</v>
      </c>
      <c r="C72" s="12" t="str">
        <f>VLOOKUP(B72,Employee_Master!A:B,2,0)</f>
        <v>Sanjeet Kumar</v>
      </c>
      <c r="D72" s="1" t="s">
        <v>211</v>
      </c>
      <c r="E72" s="1" t="s">
        <v>234</v>
      </c>
      <c r="F72" s="1" t="s">
        <v>234</v>
      </c>
      <c r="H72" s="1">
        <f t="shared" ref="H72:H105" si="13">IF(F72="Yes",10,0)</f>
        <v>10</v>
      </c>
      <c r="I72" s="1">
        <f t="shared" si="11"/>
        <v>0</v>
      </c>
      <c r="J72" s="1">
        <f>IFERROR(VLOOKUP(D72,Event_Master!B:E,4,FALSE),1)</f>
        <v>1.5</v>
      </c>
      <c r="K72" s="1">
        <f t="shared" si="12"/>
        <v>0</v>
      </c>
      <c r="L72" s="1">
        <f t="shared" si="10"/>
        <v>10</v>
      </c>
    </row>
    <row r="73" ht="16" spans="1:12">
      <c r="A73" s="9">
        <v>46359</v>
      </c>
      <c r="B73" s="12">
        <v>478084</v>
      </c>
      <c r="C73" s="12" t="str">
        <f>VLOOKUP(B73,Employee_Master!A:B,2,0)</f>
        <v>Ashish Mishra</v>
      </c>
      <c r="D73" s="1" t="s">
        <v>211</v>
      </c>
      <c r="E73" s="1" t="s">
        <v>234</v>
      </c>
      <c r="F73" s="1" t="s">
        <v>234</v>
      </c>
      <c r="H73" s="1">
        <f t="shared" si="13"/>
        <v>10</v>
      </c>
      <c r="I73" s="1">
        <f t="shared" si="11"/>
        <v>0</v>
      </c>
      <c r="J73" s="1">
        <f>IFERROR(VLOOKUP(D73,Event_Master!B:E,4,FALSE),1)</f>
        <v>1.5</v>
      </c>
      <c r="K73" s="1">
        <f t="shared" si="12"/>
        <v>0</v>
      </c>
      <c r="L73" s="1">
        <f t="shared" si="10"/>
        <v>10</v>
      </c>
    </row>
    <row r="74" ht="16" spans="1:12">
      <c r="A74" s="9">
        <v>46359</v>
      </c>
      <c r="B74" s="11">
        <v>435877</v>
      </c>
      <c r="C74" s="12" t="str">
        <f>VLOOKUP(B74,Employee_Master!A:B,2,0)</f>
        <v>Pardeep Kumar</v>
      </c>
      <c r="D74" s="1" t="s">
        <v>211</v>
      </c>
      <c r="E74" s="1" t="s">
        <v>234</v>
      </c>
      <c r="F74" s="1" t="s">
        <v>234</v>
      </c>
      <c r="H74" s="1">
        <f t="shared" si="13"/>
        <v>10</v>
      </c>
      <c r="I74" s="1">
        <f t="shared" si="11"/>
        <v>0</v>
      </c>
      <c r="J74" s="1">
        <f>IFERROR(VLOOKUP(D74,Event_Master!B:E,4,FALSE),1)</f>
        <v>1.5</v>
      </c>
      <c r="K74" s="1">
        <f t="shared" si="12"/>
        <v>0</v>
      </c>
      <c r="L74" s="1">
        <f t="shared" si="10"/>
        <v>10</v>
      </c>
    </row>
    <row r="75" ht="16" spans="1:12">
      <c r="A75" s="9">
        <v>46359</v>
      </c>
      <c r="B75" s="12">
        <v>710555</v>
      </c>
      <c r="C75" s="12" t="str">
        <f>VLOOKUP(B75,Employee_Master!A:B,2,0)</f>
        <v>Jyoti Chauhan</v>
      </c>
      <c r="D75" s="1" t="s">
        <v>211</v>
      </c>
      <c r="E75" s="1" t="s">
        <v>234</v>
      </c>
      <c r="F75" s="1" t="s">
        <v>234</v>
      </c>
      <c r="H75" s="1">
        <f t="shared" si="13"/>
        <v>10</v>
      </c>
      <c r="I75" s="1">
        <f t="shared" si="11"/>
        <v>0</v>
      </c>
      <c r="J75" s="1">
        <f>IFERROR(VLOOKUP(D75,Event_Master!B:E,4,FALSE),1)</f>
        <v>1.5</v>
      </c>
      <c r="K75" s="1">
        <f t="shared" si="12"/>
        <v>0</v>
      </c>
      <c r="L75" s="1">
        <f t="shared" si="10"/>
        <v>10</v>
      </c>
    </row>
    <row r="76" ht="16" spans="1:12">
      <c r="A76" s="9">
        <v>46359</v>
      </c>
      <c r="B76" s="12">
        <v>460764</v>
      </c>
      <c r="C76" s="12" t="str">
        <f>VLOOKUP(B76,Employee_Master!A:B,2,0)</f>
        <v>Himanshu Yadav</v>
      </c>
      <c r="D76" s="1" t="s">
        <v>211</v>
      </c>
      <c r="E76" s="1" t="s">
        <v>234</v>
      </c>
      <c r="F76" s="1" t="s">
        <v>234</v>
      </c>
      <c r="H76" s="1">
        <f t="shared" si="13"/>
        <v>10</v>
      </c>
      <c r="I76" s="1">
        <f t="shared" si="11"/>
        <v>0</v>
      </c>
      <c r="J76" s="1">
        <f>IFERROR(VLOOKUP(D76,Event_Master!B:E,4,FALSE),1)</f>
        <v>1.5</v>
      </c>
      <c r="K76" s="1">
        <f t="shared" si="12"/>
        <v>0</v>
      </c>
      <c r="L76" s="1">
        <f t="shared" si="10"/>
        <v>10</v>
      </c>
    </row>
    <row r="77" ht="16" spans="1:12">
      <c r="A77" s="9">
        <v>46359</v>
      </c>
      <c r="B77" s="12">
        <v>453089</v>
      </c>
      <c r="C77" s="12" t="str">
        <f>VLOOKUP(B77,Employee_Master!A:B,2,0)</f>
        <v>Arun Lamba</v>
      </c>
      <c r="D77" s="1" t="s">
        <v>211</v>
      </c>
      <c r="E77" s="1" t="s">
        <v>234</v>
      </c>
      <c r="F77" s="1" t="s">
        <v>234</v>
      </c>
      <c r="H77" s="1">
        <f t="shared" si="13"/>
        <v>10</v>
      </c>
      <c r="I77" s="1">
        <f t="shared" si="11"/>
        <v>0</v>
      </c>
      <c r="J77" s="1">
        <f>IFERROR(VLOOKUP(D77,Event_Master!B:E,4,FALSE),1)</f>
        <v>1.5</v>
      </c>
      <c r="K77" s="1">
        <f t="shared" si="12"/>
        <v>0</v>
      </c>
      <c r="L77" s="1">
        <f t="shared" si="10"/>
        <v>10</v>
      </c>
    </row>
    <row r="78" ht="16" spans="1:12">
      <c r="A78" s="9">
        <v>46359</v>
      </c>
      <c r="B78" s="12">
        <v>446300</v>
      </c>
      <c r="C78" s="12" t="str">
        <f>VLOOKUP(B78,Employee_Master!A:B,2,0)</f>
        <v>Simranjit Singh</v>
      </c>
      <c r="D78" s="1" t="s">
        <v>211</v>
      </c>
      <c r="E78" s="1" t="s">
        <v>234</v>
      </c>
      <c r="F78" s="1" t="s">
        <v>234</v>
      </c>
      <c r="H78" s="1">
        <f t="shared" si="13"/>
        <v>10</v>
      </c>
      <c r="I78" s="1">
        <f t="shared" si="11"/>
        <v>0</v>
      </c>
      <c r="J78" s="1">
        <f>IFERROR(VLOOKUP(D78,Event_Master!B:E,4,FALSE),1)</f>
        <v>1.5</v>
      </c>
      <c r="K78" s="1">
        <f t="shared" si="12"/>
        <v>0</v>
      </c>
      <c r="L78" s="1">
        <f t="shared" si="10"/>
        <v>10</v>
      </c>
    </row>
    <row r="79" ht="16" spans="1:12">
      <c r="A79" s="9">
        <v>46359</v>
      </c>
      <c r="B79" s="12">
        <v>452991</v>
      </c>
      <c r="C79" s="12" t="str">
        <f>VLOOKUP(B79,Employee_Master!A:B,2,0)</f>
        <v>Gourav Rohilla</v>
      </c>
      <c r="D79" s="1" t="s">
        <v>211</v>
      </c>
      <c r="E79" s="1" t="s">
        <v>234</v>
      </c>
      <c r="F79" s="1" t="s">
        <v>234</v>
      </c>
      <c r="H79" s="1">
        <f t="shared" si="13"/>
        <v>10</v>
      </c>
      <c r="I79" s="1">
        <f t="shared" si="11"/>
        <v>0</v>
      </c>
      <c r="J79" s="1">
        <f>IFERROR(VLOOKUP(D79,Event_Master!B:E,4,FALSE),1)</f>
        <v>1.5</v>
      </c>
      <c r="K79" s="1">
        <f t="shared" si="12"/>
        <v>0</v>
      </c>
      <c r="L79" s="1">
        <f t="shared" si="10"/>
        <v>10</v>
      </c>
    </row>
    <row r="80" ht="16" spans="1:12">
      <c r="A80" s="9">
        <v>46359</v>
      </c>
      <c r="B80" s="12">
        <v>710013</v>
      </c>
      <c r="C80" s="12" t="str">
        <f>VLOOKUP(B80,Employee_Master!A:B,2,0)</f>
        <v>Jyoti Saini</v>
      </c>
      <c r="D80" s="1" t="s">
        <v>211</v>
      </c>
      <c r="E80" s="1" t="s">
        <v>234</v>
      </c>
      <c r="F80" s="1" t="s">
        <v>234</v>
      </c>
      <c r="H80" s="1">
        <f t="shared" si="13"/>
        <v>10</v>
      </c>
      <c r="I80" s="1">
        <f t="shared" si="11"/>
        <v>0</v>
      </c>
      <c r="J80" s="1">
        <f>IFERROR(VLOOKUP(D80,Event_Master!B:E,4,FALSE),1)</f>
        <v>1.5</v>
      </c>
      <c r="K80" s="1">
        <f t="shared" si="12"/>
        <v>0</v>
      </c>
      <c r="L80" s="1">
        <f t="shared" si="10"/>
        <v>10</v>
      </c>
    </row>
    <row r="81" ht="16" spans="1:12">
      <c r="A81" s="9">
        <v>46359</v>
      </c>
      <c r="B81" s="12">
        <v>452075</v>
      </c>
      <c r="C81" s="12" t="str">
        <f>VLOOKUP(B81,Employee_Master!A:B,2,0)</f>
        <v>Mansi Yadav</v>
      </c>
      <c r="D81" s="1" t="s">
        <v>211</v>
      </c>
      <c r="E81" s="1" t="s">
        <v>234</v>
      </c>
      <c r="F81" s="1" t="s">
        <v>234</v>
      </c>
      <c r="H81" s="1">
        <f t="shared" si="13"/>
        <v>10</v>
      </c>
      <c r="I81" s="1">
        <f t="shared" si="11"/>
        <v>0</v>
      </c>
      <c r="J81" s="1">
        <f>IFERROR(VLOOKUP(D81,Event_Master!B:E,4,FALSE),1)</f>
        <v>1.5</v>
      </c>
      <c r="K81" s="1">
        <f t="shared" si="12"/>
        <v>0</v>
      </c>
      <c r="L81" s="1">
        <f t="shared" si="10"/>
        <v>10</v>
      </c>
    </row>
    <row r="82" ht="16" spans="1:12">
      <c r="A82" s="9">
        <v>46359</v>
      </c>
      <c r="B82" s="12">
        <v>452115</v>
      </c>
      <c r="C82" s="12" t="str">
        <f>VLOOKUP(B82,Employee_Master!A:B,2,0)</f>
        <v>Anshul Sharma </v>
      </c>
      <c r="D82" s="1" t="s">
        <v>211</v>
      </c>
      <c r="E82" s="1" t="s">
        <v>234</v>
      </c>
      <c r="F82" s="1" t="s">
        <v>234</v>
      </c>
      <c r="H82" s="1">
        <f t="shared" si="13"/>
        <v>10</v>
      </c>
      <c r="I82" s="1">
        <f t="shared" si="11"/>
        <v>0</v>
      </c>
      <c r="J82" s="1">
        <f>IFERROR(VLOOKUP(D82,Event_Master!B:E,4,FALSE),1)</f>
        <v>1.5</v>
      </c>
      <c r="K82" s="1">
        <f t="shared" si="12"/>
        <v>0</v>
      </c>
      <c r="L82" s="1">
        <f t="shared" si="10"/>
        <v>10</v>
      </c>
    </row>
    <row r="83" ht="16" spans="1:12">
      <c r="A83" s="9">
        <v>46359</v>
      </c>
      <c r="B83" s="12">
        <v>452057</v>
      </c>
      <c r="C83" s="12" t="str">
        <f>VLOOKUP(B83,Employee_Master!A:B,2,0)</f>
        <v>Sahil Thakur </v>
      </c>
      <c r="D83" s="1" t="s">
        <v>211</v>
      </c>
      <c r="E83" s="1" t="s">
        <v>234</v>
      </c>
      <c r="F83" s="1" t="s">
        <v>234</v>
      </c>
      <c r="H83" s="1">
        <f t="shared" si="13"/>
        <v>10</v>
      </c>
      <c r="I83" s="1">
        <f t="shared" si="11"/>
        <v>0</v>
      </c>
      <c r="J83" s="1">
        <f>IFERROR(VLOOKUP(D83,Event_Master!B:E,4,FALSE),1)</f>
        <v>1.5</v>
      </c>
      <c r="K83" s="1">
        <f t="shared" si="12"/>
        <v>0</v>
      </c>
      <c r="L83" s="1">
        <f t="shared" si="10"/>
        <v>10</v>
      </c>
    </row>
    <row r="84" ht="16" spans="1:12">
      <c r="A84" s="9">
        <v>46359</v>
      </c>
      <c r="B84" s="12">
        <v>408262</v>
      </c>
      <c r="C84" s="12" t="str">
        <f>VLOOKUP(B84,Employee_Master!A:B,2,0)</f>
        <v>Arpanjot Singh</v>
      </c>
      <c r="D84" s="1" t="s">
        <v>211</v>
      </c>
      <c r="E84" s="1" t="s">
        <v>234</v>
      </c>
      <c r="F84" s="1" t="s">
        <v>234</v>
      </c>
      <c r="G84" s="1" t="s">
        <v>219</v>
      </c>
      <c r="H84" s="1">
        <f t="shared" si="13"/>
        <v>10</v>
      </c>
      <c r="I84" s="1">
        <f t="shared" si="11"/>
        <v>100</v>
      </c>
      <c r="J84" s="1">
        <f>IFERROR(VLOOKUP(D84,Event_Master!B:E,4,FALSE),1)</f>
        <v>1.5</v>
      </c>
      <c r="K84" s="1">
        <f t="shared" si="12"/>
        <v>150</v>
      </c>
      <c r="L84" s="1">
        <f t="shared" si="10"/>
        <v>160</v>
      </c>
    </row>
    <row r="85" ht="16" spans="1:12">
      <c r="A85" s="9">
        <v>46359</v>
      </c>
      <c r="B85" s="12">
        <v>700216</v>
      </c>
      <c r="C85" s="12" t="str">
        <f>VLOOKUP(B85,Employee_Master!A:B,2,0)</f>
        <v>Shivam Rani</v>
      </c>
      <c r="D85" s="1" t="s">
        <v>211</v>
      </c>
      <c r="E85" s="1" t="s">
        <v>234</v>
      </c>
      <c r="F85" s="1" t="s">
        <v>234</v>
      </c>
      <c r="G85" s="1" t="s">
        <v>219</v>
      </c>
      <c r="H85" s="1">
        <f t="shared" si="13"/>
        <v>10</v>
      </c>
      <c r="I85" s="1">
        <f t="shared" si="11"/>
        <v>100</v>
      </c>
      <c r="J85" s="1">
        <f>IFERROR(VLOOKUP(D85,Event_Master!B:E,4,FALSE),1)</f>
        <v>1.5</v>
      </c>
      <c r="K85" s="1">
        <f t="shared" si="12"/>
        <v>150</v>
      </c>
      <c r="L85" s="1">
        <f t="shared" si="10"/>
        <v>160</v>
      </c>
    </row>
    <row r="86" ht="16" spans="1:12">
      <c r="A86" s="9">
        <v>46359</v>
      </c>
      <c r="B86" s="12">
        <v>463660</v>
      </c>
      <c r="C86" s="12" t="str">
        <f>VLOOKUP(B86,Employee_Master!A:B,2,0)</f>
        <v>Rohit Sharma</v>
      </c>
      <c r="D86" s="1" t="s">
        <v>211</v>
      </c>
      <c r="E86" s="1" t="s">
        <v>234</v>
      </c>
      <c r="F86" s="1" t="s">
        <v>234</v>
      </c>
      <c r="G86" s="1" t="s">
        <v>219</v>
      </c>
      <c r="H86" s="1">
        <f t="shared" si="13"/>
        <v>10</v>
      </c>
      <c r="I86" s="1">
        <f t="shared" si="11"/>
        <v>100</v>
      </c>
      <c r="J86" s="1">
        <f>IFERROR(VLOOKUP(D86,Event_Master!B:E,4,FALSE),1)</f>
        <v>1.5</v>
      </c>
      <c r="K86" s="1">
        <f t="shared" si="12"/>
        <v>150</v>
      </c>
      <c r="L86" s="1">
        <f t="shared" ref="L86:L105" si="14">K86+H86</f>
        <v>160</v>
      </c>
    </row>
    <row r="87" ht="16" spans="1:12">
      <c r="A87" s="9">
        <v>46359</v>
      </c>
      <c r="B87" s="12">
        <v>457157</v>
      </c>
      <c r="C87" s="12" t="str">
        <f>VLOOKUP(B87,Employee_Master!A:B,2,0)</f>
        <v>Sachin Kashyap</v>
      </c>
      <c r="D87" s="1" t="s">
        <v>211</v>
      </c>
      <c r="E87" s="1" t="s">
        <v>234</v>
      </c>
      <c r="F87" s="1" t="s">
        <v>234</v>
      </c>
      <c r="G87" s="1" t="s">
        <v>219</v>
      </c>
      <c r="H87" s="1">
        <f t="shared" si="13"/>
        <v>10</v>
      </c>
      <c r="I87" s="1">
        <f t="shared" si="11"/>
        <v>100</v>
      </c>
      <c r="J87" s="1">
        <f>IFERROR(VLOOKUP(D87,Event_Master!B:E,4,FALSE),1)</f>
        <v>1.5</v>
      </c>
      <c r="K87" s="1">
        <f t="shared" si="12"/>
        <v>150</v>
      </c>
      <c r="L87" s="1">
        <f t="shared" si="14"/>
        <v>160</v>
      </c>
    </row>
    <row r="88" ht="16" spans="1:12">
      <c r="A88" s="9">
        <v>46359</v>
      </c>
      <c r="B88" s="12">
        <v>468536</v>
      </c>
      <c r="C88" s="12" t="str">
        <f>VLOOKUP(B88,Employee_Master!A:B,2,0)</f>
        <v>Vinod Kumar</v>
      </c>
      <c r="D88" s="1" t="s">
        <v>211</v>
      </c>
      <c r="E88" s="1" t="s">
        <v>234</v>
      </c>
      <c r="F88" s="1" t="s">
        <v>234</v>
      </c>
      <c r="G88" s="1" t="s">
        <v>219</v>
      </c>
      <c r="H88" s="1">
        <f t="shared" si="13"/>
        <v>10</v>
      </c>
      <c r="I88" s="1">
        <f t="shared" si="11"/>
        <v>100</v>
      </c>
      <c r="J88" s="1">
        <f>IFERROR(VLOOKUP(D88,Event_Master!B:E,4,FALSE),1)</f>
        <v>1.5</v>
      </c>
      <c r="K88" s="1">
        <f t="shared" si="12"/>
        <v>150</v>
      </c>
      <c r="L88" s="1">
        <f t="shared" si="14"/>
        <v>160</v>
      </c>
    </row>
    <row r="89" ht="16" spans="1:12">
      <c r="A89" s="9">
        <v>46359</v>
      </c>
      <c r="B89" s="12">
        <v>486309</v>
      </c>
      <c r="C89" s="12" t="str">
        <f>VLOOKUP(B89,Employee_Master!A:B,2,0)</f>
        <v>Ankit Bhatt</v>
      </c>
      <c r="D89" s="1" t="s">
        <v>211</v>
      </c>
      <c r="E89" s="1" t="s">
        <v>234</v>
      </c>
      <c r="F89" s="1" t="s">
        <v>234</v>
      </c>
      <c r="G89" s="1" t="s">
        <v>219</v>
      </c>
      <c r="H89" s="1">
        <f t="shared" si="13"/>
        <v>10</v>
      </c>
      <c r="I89" s="1">
        <f t="shared" si="11"/>
        <v>100</v>
      </c>
      <c r="J89" s="1">
        <f>IFERROR(VLOOKUP(D89,Event_Master!B:E,4,FALSE),1)</f>
        <v>1.5</v>
      </c>
      <c r="K89" s="1">
        <f t="shared" si="12"/>
        <v>150</v>
      </c>
      <c r="L89" s="1">
        <f t="shared" si="14"/>
        <v>160</v>
      </c>
    </row>
    <row r="90" ht="16" spans="1:12">
      <c r="A90" s="9">
        <v>46359</v>
      </c>
      <c r="B90" s="12">
        <v>449890</v>
      </c>
      <c r="C90" s="12" t="str">
        <f>VLOOKUP(B90,Employee_Master!A:B,2,0)</f>
        <v>Ashish Baghel </v>
      </c>
      <c r="D90" s="1" t="s">
        <v>211</v>
      </c>
      <c r="E90" s="1" t="s">
        <v>234</v>
      </c>
      <c r="F90" s="1" t="s">
        <v>234</v>
      </c>
      <c r="G90" s="1" t="s">
        <v>219</v>
      </c>
      <c r="H90" s="1">
        <f t="shared" si="13"/>
        <v>10</v>
      </c>
      <c r="I90" s="1">
        <f t="shared" si="11"/>
        <v>100</v>
      </c>
      <c r="J90" s="1">
        <f>IFERROR(VLOOKUP(D90,Event_Master!B:E,4,FALSE),1)</f>
        <v>1.5</v>
      </c>
      <c r="K90" s="1">
        <f t="shared" si="12"/>
        <v>150</v>
      </c>
      <c r="L90" s="1">
        <f t="shared" si="14"/>
        <v>160</v>
      </c>
    </row>
    <row r="91" ht="16" spans="1:12">
      <c r="A91" s="9">
        <v>46359</v>
      </c>
      <c r="B91" s="12">
        <v>459234</v>
      </c>
      <c r="C91" s="12" t="str">
        <f>VLOOKUP(B91,Employee_Master!A:B,2,0)</f>
        <v>Ritik Kumar</v>
      </c>
      <c r="D91" s="1" t="s">
        <v>211</v>
      </c>
      <c r="E91" s="1" t="s">
        <v>234</v>
      </c>
      <c r="F91" s="1" t="s">
        <v>234</v>
      </c>
      <c r="G91" s="1" t="s">
        <v>219</v>
      </c>
      <c r="H91" s="1">
        <f t="shared" si="13"/>
        <v>10</v>
      </c>
      <c r="I91" s="1">
        <f t="shared" si="11"/>
        <v>100</v>
      </c>
      <c r="J91" s="1">
        <f>IFERROR(VLOOKUP(D91,Event_Master!B:E,4,FALSE),1)</f>
        <v>1.5</v>
      </c>
      <c r="K91" s="1">
        <f t="shared" si="12"/>
        <v>150</v>
      </c>
      <c r="L91" s="1">
        <f t="shared" si="14"/>
        <v>160</v>
      </c>
    </row>
    <row r="92" ht="16" spans="1:12">
      <c r="A92" s="9">
        <v>46359</v>
      </c>
      <c r="B92" s="12">
        <v>410040</v>
      </c>
      <c r="C92" s="12" t="str">
        <f>VLOOKUP(B92,Employee_Master!A:B,2,0)</f>
        <v>Deepak Singh</v>
      </c>
      <c r="D92" s="1" t="s">
        <v>211</v>
      </c>
      <c r="E92" s="1" t="s">
        <v>234</v>
      </c>
      <c r="F92" s="1" t="s">
        <v>234</v>
      </c>
      <c r="H92" s="1">
        <f t="shared" si="13"/>
        <v>10</v>
      </c>
      <c r="I92" s="1">
        <f t="shared" si="11"/>
        <v>0</v>
      </c>
      <c r="J92" s="1">
        <f>IFERROR(VLOOKUP(D92,Event_Master!B:E,4,FALSE),1)</f>
        <v>1.5</v>
      </c>
      <c r="K92" s="1">
        <f t="shared" si="12"/>
        <v>0</v>
      </c>
      <c r="L92" s="1">
        <f t="shared" si="14"/>
        <v>10</v>
      </c>
    </row>
    <row r="93" ht="16" spans="1:12">
      <c r="A93" s="9">
        <v>46359</v>
      </c>
      <c r="B93" s="12">
        <v>450225</v>
      </c>
      <c r="C93" s="12" t="str">
        <f>VLOOKUP(B93,Employee_Master!A:B,2,0)</f>
        <v>Nikita</v>
      </c>
      <c r="D93" s="1" t="s">
        <v>211</v>
      </c>
      <c r="E93" s="1" t="s">
        <v>234</v>
      </c>
      <c r="F93" s="1" t="s">
        <v>234</v>
      </c>
      <c r="H93" s="1">
        <f t="shared" si="13"/>
        <v>10</v>
      </c>
      <c r="I93" s="1">
        <f t="shared" si="11"/>
        <v>0</v>
      </c>
      <c r="J93" s="1">
        <f>IFERROR(VLOOKUP(D93,Event_Master!B:E,4,FALSE),1)</f>
        <v>1.5</v>
      </c>
      <c r="K93" s="1">
        <f t="shared" si="12"/>
        <v>0</v>
      </c>
      <c r="L93" s="1">
        <f t="shared" si="14"/>
        <v>10</v>
      </c>
    </row>
    <row r="94" ht="16" spans="1:12">
      <c r="A94" s="9">
        <v>46359</v>
      </c>
      <c r="B94" s="12">
        <v>450030</v>
      </c>
      <c r="C94" s="12" t="str">
        <f>VLOOKUP(B94,Employee_Master!A:B,2,0)</f>
        <v>Manish bisht </v>
      </c>
      <c r="D94" s="1" t="s">
        <v>211</v>
      </c>
      <c r="E94" s="1" t="s">
        <v>234</v>
      </c>
      <c r="F94" s="1" t="s">
        <v>234</v>
      </c>
      <c r="H94" s="1">
        <f t="shared" si="13"/>
        <v>10</v>
      </c>
      <c r="I94" s="1">
        <f t="shared" si="11"/>
        <v>0</v>
      </c>
      <c r="J94" s="1">
        <f>IFERROR(VLOOKUP(D94,Event_Master!B:E,4,FALSE),1)</f>
        <v>1.5</v>
      </c>
      <c r="K94" s="1">
        <f t="shared" si="12"/>
        <v>0</v>
      </c>
      <c r="L94" s="1">
        <f t="shared" si="14"/>
        <v>10</v>
      </c>
    </row>
    <row r="95" ht="16" spans="1:12">
      <c r="A95" s="9">
        <v>46359</v>
      </c>
      <c r="B95" s="13">
        <v>457430</v>
      </c>
      <c r="C95" s="12" t="str">
        <f>VLOOKUP(B95,Employee_Master!A:B,2,0)</f>
        <v>Manish Kumar</v>
      </c>
      <c r="D95" s="1" t="s">
        <v>211</v>
      </c>
      <c r="E95" s="1" t="s">
        <v>234</v>
      </c>
      <c r="F95" s="1" t="s">
        <v>234</v>
      </c>
      <c r="H95" s="1">
        <f t="shared" si="13"/>
        <v>10</v>
      </c>
      <c r="I95" s="1">
        <f t="shared" si="11"/>
        <v>0</v>
      </c>
      <c r="J95" s="1">
        <f>IFERROR(VLOOKUP(D95,Event_Master!B:E,4,FALSE),1)</f>
        <v>1.5</v>
      </c>
      <c r="K95" s="1">
        <f t="shared" si="12"/>
        <v>0</v>
      </c>
      <c r="L95" s="1">
        <f t="shared" si="14"/>
        <v>10</v>
      </c>
    </row>
    <row r="96" ht="16" spans="1:12">
      <c r="A96" s="9">
        <v>46359</v>
      </c>
      <c r="B96" s="12">
        <v>460628</v>
      </c>
      <c r="C96" s="12" t="str">
        <f>VLOOKUP(B96,Employee_Master!A:B,2,0)</f>
        <v>Smarth</v>
      </c>
      <c r="D96" s="1" t="s">
        <v>211</v>
      </c>
      <c r="E96" s="1" t="s">
        <v>234</v>
      </c>
      <c r="F96" s="1" t="s">
        <v>234</v>
      </c>
      <c r="H96" s="1">
        <f t="shared" si="13"/>
        <v>10</v>
      </c>
      <c r="I96" s="1">
        <f t="shared" si="11"/>
        <v>0</v>
      </c>
      <c r="J96" s="1">
        <f>IFERROR(VLOOKUP(D96,Event_Master!B:E,4,FALSE),1)</f>
        <v>1.5</v>
      </c>
      <c r="K96" s="1">
        <f t="shared" si="12"/>
        <v>0</v>
      </c>
      <c r="L96" s="1">
        <f t="shared" si="14"/>
        <v>10</v>
      </c>
    </row>
    <row r="97" ht="16" spans="1:12">
      <c r="A97" s="9">
        <v>46359</v>
      </c>
      <c r="B97" s="12">
        <v>452076</v>
      </c>
      <c r="C97" s="12" t="str">
        <f>VLOOKUP(B97,Employee_Master!A:B,2,0)</f>
        <v>Shraddha Singh</v>
      </c>
      <c r="D97" s="1" t="s">
        <v>211</v>
      </c>
      <c r="E97" s="1" t="s">
        <v>234</v>
      </c>
      <c r="F97" s="1" t="s">
        <v>234</v>
      </c>
      <c r="H97" s="1">
        <f t="shared" si="13"/>
        <v>10</v>
      </c>
      <c r="I97" s="1">
        <f t="shared" si="11"/>
        <v>0</v>
      </c>
      <c r="J97" s="1">
        <f>IFERROR(VLOOKUP(D97,Event_Master!B:E,4,FALSE),1)</f>
        <v>1.5</v>
      </c>
      <c r="K97" s="1">
        <f t="shared" si="12"/>
        <v>0</v>
      </c>
      <c r="L97" s="1">
        <f t="shared" si="14"/>
        <v>10</v>
      </c>
    </row>
    <row r="98" ht="16" spans="1:12">
      <c r="A98" s="9">
        <v>46359</v>
      </c>
      <c r="B98" s="12">
        <v>448882</v>
      </c>
      <c r="C98" s="12" t="str">
        <f>VLOOKUP(B98,Employee_Master!A:B,2,0)</f>
        <v>Gurwinder Singh</v>
      </c>
      <c r="D98" s="1" t="s">
        <v>211</v>
      </c>
      <c r="E98" s="1" t="s">
        <v>234</v>
      </c>
      <c r="F98" s="1" t="s">
        <v>234</v>
      </c>
      <c r="G98" s="1" t="s">
        <v>220</v>
      </c>
      <c r="H98" s="1">
        <f t="shared" si="13"/>
        <v>10</v>
      </c>
      <c r="I98" s="1">
        <f t="shared" si="11"/>
        <v>70</v>
      </c>
      <c r="J98" s="1">
        <f>IFERROR(VLOOKUP(D98,Event_Master!B:E,4,FALSE),1)</f>
        <v>1.5</v>
      </c>
      <c r="K98" s="1">
        <f t="shared" si="12"/>
        <v>105</v>
      </c>
      <c r="L98" s="1">
        <f t="shared" si="14"/>
        <v>115</v>
      </c>
    </row>
    <row r="99" ht="16" spans="1:12">
      <c r="A99" s="9">
        <v>46359</v>
      </c>
      <c r="B99" s="12">
        <v>468887</v>
      </c>
      <c r="C99" s="12" t="str">
        <f>VLOOKUP(B99,Employee_Master!A:B,2,0)</f>
        <v>Prachi Shukla</v>
      </c>
      <c r="D99" s="1" t="s">
        <v>211</v>
      </c>
      <c r="E99" s="1" t="s">
        <v>234</v>
      </c>
      <c r="F99" s="1" t="s">
        <v>234</v>
      </c>
      <c r="G99" s="1" t="s">
        <v>220</v>
      </c>
      <c r="H99" s="1">
        <f t="shared" si="13"/>
        <v>10</v>
      </c>
      <c r="I99" s="1">
        <f t="shared" si="11"/>
        <v>70</v>
      </c>
      <c r="J99" s="1">
        <f>IFERROR(VLOOKUP(D99,Event_Master!B:E,4,FALSE),1)</f>
        <v>1.5</v>
      </c>
      <c r="K99" s="1">
        <f t="shared" si="12"/>
        <v>105</v>
      </c>
      <c r="L99" s="1">
        <f t="shared" si="14"/>
        <v>115</v>
      </c>
    </row>
    <row r="100" ht="16" spans="1:12">
      <c r="A100" s="9">
        <v>46359</v>
      </c>
      <c r="B100" s="12">
        <v>452056</v>
      </c>
      <c r="C100" s="12" t="str">
        <f>VLOOKUP(B100,Employee_Master!A:B,2,0)</f>
        <v>Rupesh Thakur</v>
      </c>
      <c r="D100" s="1" t="s">
        <v>211</v>
      </c>
      <c r="E100" s="1" t="s">
        <v>234</v>
      </c>
      <c r="F100" s="1" t="s">
        <v>234</v>
      </c>
      <c r="G100" s="1" t="s">
        <v>220</v>
      </c>
      <c r="H100" s="1">
        <f t="shared" si="13"/>
        <v>10</v>
      </c>
      <c r="I100" s="1">
        <f t="shared" si="11"/>
        <v>70</v>
      </c>
      <c r="J100" s="1">
        <f>IFERROR(VLOOKUP(D100,Event_Master!B:E,4,FALSE),1)</f>
        <v>1.5</v>
      </c>
      <c r="K100" s="1">
        <f t="shared" si="12"/>
        <v>105</v>
      </c>
      <c r="L100" s="1">
        <f t="shared" si="14"/>
        <v>115</v>
      </c>
    </row>
    <row r="101" ht="16" spans="1:12">
      <c r="A101" s="9">
        <v>46359</v>
      </c>
      <c r="B101" s="12">
        <v>430977</v>
      </c>
      <c r="C101" s="12" t="str">
        <f>VLOOKUP(B101,Employee_Master!A:B,2,0)</f>
        <v>Akshit Sood</v>
      </c>
      <c r="D101" s="1" t="s">
        <v>211</v>
      </c>
      <c r="E101" s="1" t="s">
        <v>234</v>
      </c>
      <c r="F101" s="1" t="s">
        <v>234</v>
      </c>
      <c r="G101" s="1" t="s">
        <v>220</v>
      </c>
      <c r="H101" s="1">
        <f t="shared" si="13"/>
        <v>10</v>
      </c>
      <c r="I101" s="1">
        <f t="shared" si="11"/>
        <v>70</v>
      </c>
      <c r="J101" s="1">
        <f>IFERROR(VLOOKUP(D101,Event_Master!B:E,4,FALSE),1)</f>
        <v>1.5</v>
      </c>
      <c r="K101" s="1">
        <f t="shared" si="12"/>
        <v>105</v>
      </c>
      <c r="L101" s="1">
        <f t="shared" si="14"/>
        <v>115</v>
      </c>
    </row>
    <row r="102" ht="16" spans="1:12">
      <c r="A102" s="9">
        <v>46359</v>
      </c>
      <c r="B102" s="12">
        <v>464500</v>
      </c>
      <c r="C102" s="12" t="str">
        <f>VLOOKUP(B102,Employee_Master!A:B,2,0)</f>
        <v>Dalip Sharma</v>
      </c>
      <c r="D102" s="1" t="s">
        <v>211</v>
      </c>
      <c r="E102" s="1" t="s">
        <v>234</v>
      </c>
      <c r="F102" s="1" t="s">
        <v>234</v>
      </c>
      <c r="G102" s="1" t="s">
        <v>220</v>
      </c>
      <c r="H102" s="1">
        <f t="shared" si="13"/>
        <v>10</v>
      </c>
      <c r="I102" s="1">
        <f t="shared" si="11"/>
        <v>70</v>
      </c>
      <c r="J102" s="1">
        <f>IFERROR(VLOOKUP(D102,Event_Master!B:E,4,FALSE),1)</f>
        <v>1.5</v>
      </c>
      <c r="K102" s="1">
        <f t="shared" si="12"/>
        <v>105</v>
      </c>
      <c r="L102" s="1">
        <f t="shared" si="14"/>
        <v>115</v>
      </c>
    </row>
    <row r="103" ht="16" spans="1:12">
      <c r="A103" s="9">
        <v>46359</v>
      </c>
      <c r="B103" s="12">
        <v>427154</v>
      </c>
      <c r="C103" s="12" t="str">
        <f>VLOOKUP(B103,Employee_Master!A:B,2,0)</f>
        <v>Rohan Mehra</v>
      </c>
      <c r="D103" s="1" t="s">
        <v>211</v>
      </c>
      <c r="E103" s="1" t="s">
        <v>234</v>
      </c>
      <c r="F103" s="1" t="s">
        <v>234</v>
      </c>
      <c r="G103" s="1" t="s">
        <v>220</v>
      </c>
      <c r="H103" s="1">
        <f t="shared" si="13"/>
        <v>10</v>
      </c>
      <c r="I103" s="1">
        <f t="shared" si="11"/>
        <v>70</v>
      </c>
      <c r="J103" s="1">
        <f>IFERROR(VLOOKUP(D103,Event_Master!B:E,4,FALSE),1)</f>
        <v>1.5</v>
      </c>
      <c r="K103" s="1">
        <f t="shared" si="12"/>
        <v>105</v>
      </c>
      <c r="L103" s="1">
        <f t="shared" si="14"/>
        <v>115</v>
      </c>
    </row>
    <row r="104" ht="16" spans="1:12">
      <c r="A104" s="9">
        <v>46359</v>
      </c>
      <c r="B104" s="12">
        <v>451858</v>
      </c>
      <c r="C104" s="12" t="str">
        <f>VLOOKUP(B104,Employee_Master!A:B,2,0)</f>
        <v>Ankit Bhardwaj</v>
      </c>
      <c r="D104" s="1" t="s">
        <v>211</v>
      </c>
      <c r="E104" s="1" t="s">
        <v>234</v>
      </c>
      <c r="F104" s="1" t="s">
        <v>234</v>
      </c>
      <c r="G104" s="1" t="s">
        <v>220</v>
      </c>
      <c r="H104" s="1">
        <f t="shared" si="13"/>
        <v>10</v>
      </c>
      <c r="I104" s="1">
        <f t="shared" si="11"/>
        <v>70</v>
      </c>
      <c r="J104" s="1">
        <f>IFERROR(VLOOKUP(D104,Event_Master!B:E,4,FALSE),1)</f>
        <v>1.5</v>
      </c>
      <c r="K104" s="1">
        <f t="shared" si="12"/>
        <v>105</v>
      </c>
      <c r="L104" s="1">
        <f t="shared" si="14"/>
        <v>115</v>
      </c>
    </row>
    <row r="105" ht="16" spans="1:12">
      <c r="A105" s="9">
        <v>46359</v>
      </c>
      <c r="B105" s="12">
        <v>454456</v>
      </c>
      <c r="C105" s="12" t="str">
        <f>VLOOKUP(B105,Employee_Master!A:B,2,0)</f>
        <v>Akash Deshmukh</v>
      </c>
      <c r="D105" s="1" t="s">
        <v>211</v>
      </c>
      <c r="E105" s="1" t="s">
        <v>234</v>
      </c>
      <c r="F105" s="1" t="s">
        <v>234</v>
      </c>
      <c r="G105" s="1" t="s">
        <v>220</v>
      </c>
      <c r="H105" s="1">
        <f t="shared" si="13"/>
        <v>10</v>
      </c>
      <c r="I105" s="1">
        <f t="shared" si="11"/>
        <v>70</v>
      </c>
      <c r="J105" s="1">
        <f>IFERROR(VLOOKUP(D105,Event_Master!B:E,4,FALSE),1)</f>
        <v>1.5</v>
      </c>
      <c r="K105" s="1">
        <f t="shared" si="12"/>
        <v>105</v>
      </c>
      <c r="L105" s="1">
        <f t="shared" si="14"/>
        <v>115</v>
      </c>
    </row>
    <row r="106" ht="16" spans="1:12">
      <c r="A106" s="9">
        <v>46359</v>
      </c>
      <c r="B106" s="15">
        <v>453948</v>
      </c>
      <c r="C106" s="12" t="str">
        <f>VLOOKUP(B106,Employee_Master!A:B,2,0)</f>
        <v>Ashish Bhardwaj</v>
      </c>
      <c r="D106" s="1" t="s">
        <v>211</v>
      </c>
      <c r="E106" s="1" t="s">
        <v>234</v>
      </c>
      <c r="F106" s="1" t="s">
        <v>234</v>
      </c>
      <c r="H106" s="1">
        <f t="shared" ref="H106:H120" si="15">IF(F106="Yes",10,0)</f>
        <v>10</v>
      </c>
      <c r="I106" s="1">
        <f t="shared" ref="I106:I120" si="16">IF(G106="Winner",100,IF(G106="Runner-up",70,IF(G106="2nd Runner-up",50,IF(G106="Semi",30,IF(G106="Quarter",20,0)))))</f>
        <v>0</v>
      </c>
      <c r="J106" s="1">
        <f>IFERROR(VLOOKUP(D106,Event_Master!B:E,4,FALSE),1)</f>
        <v>1.5</v>
      </c>
      <c r="K106" s="1">
        <f t="shared" ref="K106:K120" si="17">(I106*J106)</f>
        <v>0</v>
      </c>
      <c r="L106" s="1">
        <f t="shared" ref="L106:L120" si="18">K106+H106</f>
        <v>10</v>
      </c>
    </row>
    <row r="107" ht="16" spans="1:12">
      <c r="A107" s="9">
        <v>46359</v>
      </c>
      <c r="B107" s="15">
        <v>365114</v>
      </c>
      <c r="C107" s="12" t="str">
        <f>VLOOKUP(B107,Employee_Master!A:B,2,0)</f>
        <v>Bhanu Sirohi</v>
      </c>
      <c r="D107" s="1" t="s">
        <v>211</v>
      </c>
      <c r="E107" s="1" t="s">
        <v>234</v>
      </c>
      <c r="F107" s="1" t="s">
        <v>234</v>
      </c>
      <c r="H107" s="1">
        <f t="shared" si="15"/>
        <v>10</v>
      </c>
      <c r="I107" s="1">
        <f t="shared" si="16"/>
        <v>0</v>
      </c>
      <c r="J107" s="1">
        <f>IFERROR(VLOOKUP(D107,Event_Master!B:E,4,FALSE),1)</f>
        <v>1.5</v>
      </c>
      <c r="K107" s="1">
        <f t="shared" si="17"/>
        <v>0</v>
      </c>
      <c r="L107" s="1">
        <f t="shared" si="18"/>
        <v>10</v>
      </c>
    </row>
    <row r="108" ht="16" spans="1:12">
      <c r="A108" s="9">
        <v>46359</v>
      </c>
      <c r="B108" s="15">
        <v>408627</v>
      </c>
      <c r="C108" s="12" t="str">
        <f>VLOOKUP(B108,Employee_Master!A:B,2,0)</f>
        <v>Govind Rai</v>
      </c>
      <c r="D108" s="1" t="s">
        <v>211</v>
      </c>
      <c r="E108" s="1" t="s">
        <v>234</v>
      </c>
      <c r="F108" s="1" t="s">
        <v>234</v>
      </c>
      <c r="H108" s="1">
        <f t="shared" si="15"/>
        <v>10</v>
      </c>
      <c r="I108" s="1">
        <f t="shared" si="16"/>
        <v>0</v>
      </c>
      <c r="J108" s="1">
        <f>IFERROR(VLOOKUP(D108,Event_Master!B:E,4,FALSE),1)</f>
        <v>1.5</v>
      </c>
      <c r="K108" s="1">
        <f t="shared" si="17"/>
        <v>0</v>
      </c>
      <c r="L108" s="1">
        <f t="shared" si="18"/>
        <v>10</v>
      </c>
    </row>
    <row r="109" ht="16" spans="1:12">
      <c r="A109" s="9">
        <v>46359</v>
      </c>
      <c r="B109" s="15">
        <v>464188</v>
      </c>
      <c r="C109" s="12" t="str">
        <f>VLOOKUP(B109,Employee_Master!A:B,2,0)</f>
        <v>Himanshu Saini</v>
      </c>
      <c r="D109" s="1" t="s">
        <v>211</v>
      </c>
      <c r="E109" s="1" t="s">
        <v>234</v>
      </c>
      <c r="F109" s="1" t="s">
        <v>234</v>
      </c>
      <c r="H109" s="1">
        <f t="shared" si="15"/>
        <v>10</v>
      </c>
      <c r="I109" s="1">
        <f t="shared" si="16"/>
        <v>0</v>
      </c>
      <c r="J109" s="1">
        <f>IFERROR(VLOOKUP(D109,Event_Master!B:E,4,FALSE),1)</f>
        <v>1.5</v>
      </c>
      <c r="K109" s="1">
        <f t="shared" si="17"/>
        <v>0</v>
      </c>
      <c r="L109" s="1">
        <f t="shared" si="18"/>
        <v>10</v>
      </c>
    </row>
    <row r="110" ht="16" spans="1:12">
      <c r="A110" s="9">
        <v>46359</v>
      </c>
      <c r="B110" s="15">
        <v>396485</v>
      </c>
      <c r="C110" s="12" t="str">
        <f>VLOOKUP(B110,Employee_Master!A:B,2,0)</f>
        <v>Khushbir Singh</v>
      </c>
      <c r="D110" s="1" t="s">
        <v>211</v>
      </c>
      <c r="E110" s="1" t="s">
        <v>234</v>
      </c>
      <c r="F110" s="1" t="s">
        <v>234</v>
      </c>
      <c r="H110" s="1">
        <f t="shared" si="15"/>
        <v>10</v>
      </c>
      <c r="I110" s="1">
        <f t="shared" si="16"/>
        <v>0</v>
      </c>
      <c r="J110" s="1">
        <f>IFERROR(VLOOKUP(D110,Event_Master!B:E,4,FALSE),1)</f>
        <v>1.5</v>
      </c>
      <c r="K110" s="1">
        <f t="shared" si="17"/>
        <v>0</v>
      </c>
      <c r="L110" s="1">
        <f t="shared" si="18"/>
        <v>10</v>
      </c>
    </row>
    <row r="111" ht="16" spans="1:12">
      <c r="A111" s="9">
        <v>46359</v>
      </c>
      <c r="B111" s="15">
        <v>452059</v>
      </c>
      <c r="C111" s="12" t="str">
        <f>VLOOKUP(B111,Employee_Master!A:B,2,0)</f>
        <v>Mahi Singh</v>
      </c>
      <c r="D111" s="1" t="s">
        <v>211</v>
      </c>
      <c r="E111" s="1" t="s">
        <v>234</v>
      </c>
      <c r="F111" s="1" t="s">
        <v>234</v>
      </c>
      <c r="H111" s="1">
        <f t="shared" si="15"/>
        <v>10</v>
      </c>
      <c r="I111" s="1">
        <f t="shared" si="16"/>
        <v>0</v>
      </c>
      <c r="J111" s="1">
        <f>IFERROR(VLOOKUP(D111,Event_Master!B:E,4,FALSE),1)</f>
        <v>1.5</v>
      </c>
      <c r="K111" s="1">
        <f t="shared" si="17"/>
        <v>0</v>
      </c>
      <c r="L111" s="1">
        <f t="shared" si="18"/>
        <v>10</v>
      </c>
    </row>
    <row r="112" ht="16" spans="1:12">
      <c r="A112" s="9">
        <v>46359</v>
      </c>
      <c r="B112" s="18">
        <v>488518</v>
      </c>
      <c r="C112" s="12" t="str">
        <f>VLOOKUP(B112,Employee_Master!A:B,2,0)</f>
        <v>Neha Chaturvedi</v>
      </c>
      <c r="D112" s="1" t="s">
        <v>211</v>
      </c>
      <c r="E112" s="1" t="s">
        <v>234</v>
      </c>
      <c r="F112" s="1" t="s">
        <v>234</v>
      </c>
      <c r="H112" s="1">
        <f t="shared" si="15"/>
        <v>10</v>
      </c>
      <c r="I112" s="1">
        <f t="shared" si="16"/>
        <v>0</v>
      </c>
      <c r="J112" s="1">
        <f>IFERROR(VLOOKUP(D112,Event_Master!B:E,4,FALSE),1)</f>
        <v>1.5</v>
      </c>
      <c r="K112" s="1">
        <f t="shared" si="17"/>
        <v>0</v>
      </c>
      <c r="L112" s="1">
        <f t="shared" si="18"/>
        <v>10</v>
      </c>
    </row>
    <row r="113" ht="16" spans="1:12">
      <c r="A113" s="9">
        <v>46359</v>
      </c>
      <c r="B113" s="18">
        <v>412273</v>
      </c>
      <c r="C113" s="12" t="str">
        <f>VLOOKUP(B113,Employee_Master!A:B,2,0)</f>
        <v>Sandeep Sengar</v>
      </c>
      <c r="D113" s="1" t="s">
        <v>211</v>
      </c>
      <c r="E113" s="1" t="s">
        <v>234</v>
      </c>
      <c r="F113" s="1" t="s">
        <v>234</v>
      </c>
      <c r="H113" s="1">
        <f t="shared" si="15"/>
        <v>10</v>
      </c>
      <c r="I113" s="1">
        <f t="shared" si="16"/>
        <v>0</v>
      </c>
      <c r="J113" s="1">
        <f>IFERROR(VLOOKUP(D113,Event_Master!B:E,4,FALSE),1)</f>
        <v>1.5</v>
      </c>
      <c r="K113" s="1">
        <f t="shared" si="17"/>
        <v>0</v>
      </c>
      <c r="L113" s="1">
        <f t="shared" si="18"/>
        <v>10</v>
      </c>
    </row>
    <row r="114" ht="16" spans="1:12">
      <c r="A114" s="9">
        <v>46359</v>
      </c>
      <c r="B114" s="18">
        <v>438679</v>
      </c>
      <c r="C114" s="12" t="str">
        <f>VLOOKUP(B114,Employee_Master!A:B,2,0)</f>
        <v>Saurabh Kumar</v>
      </c>
      <c r="D114" s="1" t="s">
        <v>211</v>
      </c>
      <c r="E114" s="1" t="s">
        <v>234</v>
      </c>
      <c r="F114" s="1" t="s">
        <v>234</v>
      </c>
      <c r="H114" s="1">
        <f t="shared" si="15"/>
        <v>10</v>
      </c>
      <c r="I114" s="1">
        <f t="shared" si="16"/>
        <v>0</v>
      </c>
      <c r="J114" s="1">
        <f>IFERROR(VLOOKUP(D114,Event_Master!B:E,4,FALSE),1)</f>
        <v>1.5</v>
      </c>
      <c r="K114" s="1">
        <f t="shared" si="17"/>
        <v>0</v>
      </c>
      <c r="L114" s="1">
        <f t="shared" si="18"/>
        <v>10</v>
      </c>
    </row>
    <row r="115" ht="16" spans="1:12">
      <c r="A115" s="9">
        <v>46359</v>
      </c>
      <c r="B115" s="18">
        <v>706181</v>
      </c>
      <c r="C115" s="12" t="str">
        <f>VLOOKUP(B115,Employee_Master!A:B,2,0)</f>
        <v>Sonam Kachhap</v>
      </c>
      <c r="D115" s="1" t="s">
        <v>211</v>
      </c>
      <c r="E115" s="1" t="s">
        <v>234</v>
      </c>
      <c r="F115" s="1" t="s">
        <v>234</v>
      </c>
      <c r="H115" s="1">
        <f t="shared" si="15"/>
        <v>10</v>
      </c>
      <c r="I115" s="1">
        <f t="shared" si="16"/>
        <v>0</v>
      </c>
      <c r="J115" s="1">
        <f>IFERROR(VLOOKUP(D115,Event_Master!B:E,4,FALSE),1)</f>
        <v>1.5</v>
      </c>
      <c r="K115" s="1">
        <f t="shared" si="17"/>
        <v>0</v>
      </c>
      <c r="L115" s="1">
        <f t="shared" si="18"/>
        <v>10</v>
      </c>
    </row>
    <row r="116" ht="16" spans="1:12">
      <c r="A116" s="9">
        <v>46359</v>
      </c>
      <c r="B116" s="18">
        <v>423859</v>
      </c>
      <c r="C116" s="12" t="str">
        <f>VLOOKUP(B116,Employee_Master!A:B,2,0)</f>
        <v>Tilak Raj</v>
      </c>
      <c r="D116" s="1" t="s">
        <v>211</v>
      </c>
      <c r="E116" s="1" t="s">
        <v>234</v>
      </c>
      <c r="F116" s="1" t="s">
        <v>234</v>
      </c>
      <c r="H116" s="1">
        <f t="shared" ref="H116:H179" si="19">IF(F116="Yes",10,0)</f>
        <v>10</v>
      </c>
      <c r="I116" s="1">
        <f t="shared" si="16"/>
        <v>0</v>
      </c>
      <c r="J116" s="1">
        <f>IFERROR(VLOOKUP(D116,Event_Master!B:E,4,FALSE),1)</f>
        <v>1.5</v>
      </c>
      <c r="K116" s="1">
        <f t="shared" si="17"/>
        <v>0</v>
      </c>
      <c r="L116" s="1">
        <f t="shared" si="18"/>
        <v>10</v>
      </c>
    </row>
    <row r="117" ht="16" spans="1:12">
      <c r="A117" s="9">
        <v>46359</v>
      </c>
      <c r="B117" s="18">
        <v>450437</v>
      </c>
      <c r="C117" s="12" t="str">
        <f>VLOOKUP(B117,Employee_Master!A:B,2,0)</f>
        <v>Tinku Shekhawat </v>
      </c>
      <c r="D117" s="1" t="s">
        <v>211</v>
      </c>
      <c r="E117" s="1" t="s">
        <v>234</v>
      </c>
      <c r="F117" s="1" t="s">
        <v>234</v>
      </c>
      <c r="H117" s="1">
        <f t="shared" si="19"/>
        <v>10</v>
      </c>
      <c r="I117" s="1">
        <f t="shared" si="16"/>
        <v>0</v>
      </c>
      <c r="J117" s="1">
        <f>IFERROR(VLOOKUP(D117,Event_Master!B:E,4,FALSE),1)</f>
        <v>1.5</v>
      </c>
      <c r="K117" s="1">
        <f t="shared" si="17"/>
        <v>0</v>
      </c>
      <c r="L117" s="1">
        <f t="shared" si="18"/>
        <v>10</v>
      </c>
    </row>
    <row r="118" ht="16" spans="1:12">
      <c r="A118" s="9">
        <v>46359</v>
      </c>
      <c r="B118" s="18">
        <v>426232</v>
      </c>
      <c r="C118" s="12" t="str">
        <f>VLOOKUP(B118,Employee_Master!A:B,2,0)</f>
        <v>Varish Hussain</v>
      </c>
      <c r="D118" s="1" t="s">
        <v>211</v>
      </c>
      <c r="E118" s="1" t="s">
        <v>234</v>
      </c>
      <c r="F118" s="1" t="s">
        <v>234</v>
      </c>
      <c r="H118" s="1">
        <f t="shared" si="19"/>
        <v>10</v>
      </c>
      <c r="I118" s="1">
        <f t="shared" si="16"/>
        <v>0</v>
      </c>
      <c r="J118" s="1">
        <f>IFERROR(VLOOKUP(D118,Event_Master!B:E,4,FALSE),1)</f>
        <v>1.5</v>
      </c>
      <c r="K118" s="1">
        <f t="shared" si="17"/>
        <v>0</v>
      </c>
      <c r="L118" s="1">
        <f t="shared" si="18"/>
        <v>10</v>
      </c>
    </row>
    <row r="119" ht="16" spans="1:12">
      <c r="A119" s="9">
        <v>46359</v>
      </c>
      <c r="B119" s="18">
        <v>451509</v>
      </c>
      <c r="C119" s="12" t="str">
        <f>VLOOKUP(B119,Employee_Master!A:B,2,0)</f>
        <v>Vivek Aswal</v>
      </c>
      <c r="D119" s="1" t="s">
        <v>211</v>
      </c>
      <c r="E119" s="1" t="s">
        <v>234</v>
      </c>
      <c r="F119" s="1" t="s">
        <v>234</v>
      </c>
      <c r="H119" s="1">
        <f t="shared" si="19"/>
        <v>10</v>
      </c>
      <c r="I119" s="1">
        <f t="shared" si="16"/>
        <v>0</v>
      </c>
      <c r="J119" s="1">
        <f>IFERROR(VLOOKUP(D119,Event_Master!B:E,4,FALSE),1)</f>
        <v>1.5</v>
      </c>
      <c r="K119" s="1">
        <f t="shared" si="17"/>
        <v>0</v>
      </c>
      <c r="L119" s="1">
        <f t="shared" si="18"/>
        <v>10</v>
      </c>
    </row>
    <row r="120" ht="16" spans="1:12">
      <c r="A120" s="9">
        <v>46359</v>
      </c>
      <c r="B120" s="18">
        <v>451609</v>
      </c>
      <c r="C120" s="12" t="str">
        <f>VLOOKUP(B120,Employee_Master!A:B,2,0)</f>
        <v>Vivek Kumar Yadav</v>
      </c>
      <c r="D120" s="1" t="s">
        <v>211</v>
      </c>
      <c r="E120" s="1" t="s">
        <v>234</v>
      </c>
      <c r="F120" s="1" t="s">
        <v>234</v>
      </c>
      <c r="H120" s="1">
        <f t="shared" si="19"/>
        <v>10</v>
      </c>
      <c r="I120" s="1">
        <f t="shared" si="16"/>
        <v>0</v>
      </c>
      <c r="J120" s="1">
        <f>IFERROR(VLOOKUP(D120,Event_Master!B:E,4,FALSE),1)</f>
        <v>1.5</v>
      </c>
      <c r="K120" s="1">
        <f t="shared" si="17"/>
        <v>0</v>
      </c>
      <c r="L120" s="1">
        <f t="shared" si="18"/>
        <v>10</v>
      </c>
    </row>
    <row r="121" ht="16" spans="1:12">
      <c r="A121" s="9">
        <v>46359</v>
      </c>
      <c r="B121" s="16">
        <v>430977</v>
      </c>
      <c r="C121" s="12" t="str">
        <f>VLOOKUP(B121,Employee_Master!A:B,2,0)</f>
        <v>Akshit Sood</v>
      </c>
      <c r="D121" s="1" t="s">
        <v>235</v>
      </c>
      <c r="E121" s="1" t="s">
        <v>234</v>
      </c>
      <c r="F121" s="1" t="s">
        <v>234</v>
      </c>
      <c r="H121" s="1">
        <f t="shared" si="19"/>
        <v>10</v>
      </c>
      <c r="I121" s="1">
        <f t="shared" si="11"/>
        <v>0</v>
      </c>
      <c r="J121" s="1">
        <f>IFERROR(VLOOKUP(D121,Event_Master!B:E,4,FALSE),1)</f>
        <v>1</v>
      </c>
      <c r="K121" s="1">
        <f t="shared" si="12"/>
        <v>0</v>
      </c>
      <c r="L121" s="1">
        <f t="shared" ref="L105:L151" si="20">K121+H121</f>
        <v>10</v>
      </c>
    </row>
    <row r="122" ht="16" spans="1:12">
      <c r="A122" s="9">
        <v>46359</v>
      </c>
      <c r="B122" s="16">
        <v>408262</v>
      </c>
      <c r="C122" s="12" t="str">
        <f>VLOOKUP(B122,Employee_Master!A:B,2,0)</f>
        <v>Arpanjot Singh</v>
      </c>
      <c r="D122" s="1" t="s">
        <v>235</v>
      </c>
      <c r="E122" s="1" t="s">
        <v>234</v>
      </c>
      <c r="F122" s="1" t="s">
        <v>234</v>
      </c>
      <c r="H122" s="1">
        <f t="shared" si="19"/>
        <v>10</v>
      </c>
      <c r="I122" s="1">
        <f t="shared" si="11"/>
        <v>0</v>
      </c>
      <c r="J122" s="1">
        <f>IFERROR(VLOOKUP(D122,Event_Master!B:E,4,FALSE),1)</f>
        <v>1</v>
      </c>
      <c r="K122" s="1">
        <f t="shared" si="12"/>
        <v>0</v>
      </c>
      <c r="L122" s="1">
        <f t="shared" si="20"/>
        <v>10</v>
      </c>
    </row>
    <row r="123" ht="16" spans="1:12">
      <c r="A123" s="9">
        <v>46359</v>
      </c>
      <c r="B123" s="16">
        <v>449890</v>
      </c>
      <c r="C123" s="12" t="str">
        <f>VLOOKUP(B123,Employee_Master!A:B,2,0)</f>
        <v>Ashish Baghel </v>
      </c>
      <c r="D123" s="1" t="s">
        <v>235</v>
      </c>
      <c r="E123" s="1" t="s">
        <v>234</v>
      </c>
      <c r="F123" s="1" t="s">
        <v>234</v>
      </c>
      <c r="H123" s="1">
        <f t="shared" si="19"/>
        <v>10</v>
      </c>
      <c r="I123" s="1">
        <f t="shared" si="11"/>
        <v>0</v>
      </c>
      <c r="J123" s="1">
        <f>IFERROR(VLOOKUP(D123,Event_Master!B:E,4,FALSE),1)</f>
        <v>1</v>
      </c>
      <c r="K123" s="1">
        <f t="shared" si="12"/>
        <v>0</v>
      </c>
      <c r="L123" s="1">
        <f t="shared" si="20"/>
        <v>10</v>
      </c>
    </row>
    <row r="124" ht="16" spans="1:12">
      <c r="A124" s="9">
        <v>46359</v>
      </c>
      <c r="B124" s="16">
        <v>452058</v>
      </c>
      <c r="C124" s="12" t="str">
        <f>VLOOKUP(B124,Employee_Master!A:B,2,0)</f>
        <v>Bhavya Gupta</v>
      </c>
      <c r="D124" s="1" t="s">
        <v>235</v>
      </c>
      <c r="E124" s="1" t="s">
        <v>234</v>
      </c>
      <c r="F124" s="1" t="s">
        <v>234</v>
      </c>
      <c r="H124" s="1">
        <f t="shared" si="19"/>
        <v>10</v>
      </c>
      <c r="I124" s="1">
        <f t="shared" si="11"/>
        <v>0</v>
      </c>
      <c r="J124" s="1">
        <f>IFERROR(VLOOKUP(D124,Event_Master!B:E,4,FALSE),1)</f>
        <v>1</v>
      </c>
      <c r="K124" s="1">
        <f t="shared" si="12"/>
        <v>0</v>
      </c>
      <c r="L124" s="1">
        <f t="shared" si="20"/>
        <v>10</v>
      </c>
    </row>
    <row r="125" ht="16" spans="1:12">
      <c r="A125" s="9">
        <v>46359</v>
      </c>
      <c r="B125" s="16">
        <v>478270</v>
      </c>
      <c r="C125" s="12" t="str">
        <f>VLOOKUP(B125,Employee_Master!A:B,2,0)</f>
        <v>Inzmam Ali </v>
      </c>
      <c r="D125" s="1" t="s">
        <v>235</v>
      </c>
      <c r="E125" s="1" t="s">
        <v>234</v>
      </c>
      <c r="F125" s="1" t="s">
        <v>234</v>
      </c>
      <c r="H125" s="1">
        <f t="shared" si="19"/>
        <v>10</v>
      </c>
      <c r="I125" s="1">
        <f t="shared" si="11"/>
        <v>0</v>
      </c>
      <c r="J125" s="1">
        <f>IFERROR(VLOOKUP(D125,Event_Master!B:E,4,FALSE),1)</f>
        <v>1</v>
      </c>
      <c r="K125" s="1">
        <f t="shared" si="12"/>
        <v>0</v>
      </c>
      <c r="L125" s="1">
        <f t="shared" si="20"/>
        <v>10</v>
      </c>
    </row>
    <row r="126" ht="16" spans="1:12">
      <c r="A126" s="9">
        <v>46359</v>
      </c>
      <c r="B126" s="16">
        <v>458702</v>
      </c>
      <c r="C126" s="12" t="str">
        <f>VLOOKUP(B126,Employee_Master!A:B,2,0)</f>
        <v>Jasbeer Singh</v>
      </c>
      <c r="D126" s="1" t="s">
        <v>235</v>
      </c>
      <c r="E126" s="1" t="s">
        <v>234</v>
      </c>
      <c r="F126" s="1" t="s">
        <v>234</v>
      </c>
      <c r="H126" s="1">
        <f t="shared" si="19"/>
        <v>10</v>
      </c>
      <c r="I126" s="1">
        <f t="shared" si="11"/>
        <v>0</v>
      </c>
      <c r="J126" s="1">
        <f>IFERROR(VLOOKUP(D126,Event_Master!B:E,4,FALSE),1)</f>
        <v>1</v>
      </c>
      <c r="K126" s="1">
        <f t="shared" si="12"/>
        <v>0</v>
      </c>
      <c r="L126" s="1">
        <f t="shared" si="20"/>
        <v>10</v>
      </c>
    </row>
    <row r="127" ht="16" spans="1:12">
      <c r="A127" s="9">
        <v>46359</v>
      </c>
      <c r="B127" s="16">
        <v>473266</v>
      </c>
      <c r="C127" s="12" t="str">
        <f>VLOOKUP(B127,Employee_Master!A:B,2,0)</f>
        <v>Jitender Yadav</v>
      </c>
      <c r="D127" s="1" t="s">
        <v>235</v>
      </c>
      <c r="E127" s="1" t="s">
        <v>234</v>
      </c>
      <c r="F127" s="1" t="s">
        <v>234</v>
      </c>
      <c r="H127" s="1">
        <f t="shared" si="19"/>
        <v>10</v>
      </c>
      <c r="I127" s="1">
        <f t="shared" si="11"/>
        <v>0</v>
      </c>
      <c r="J127" s="1">
        <f>IFERROR(VLOOKUP(D127,Event_Master!B:E,4,FALSE),1)</f>
        <v>1</v>
      </c>
      <c r="K127" s="1">
        <f t="shared" si="12"/>
        <v>0</v>
      </c>
      <c r="L127" s="1">
        <f t="shared" si="20"/>
        <v>10</v>
      </c>
    </row>
    <row r="128" ht="16" spans="1:12">
      <c r="A128" s="9">
        <v>46359</v>
      </c>
      <c r="B128" s="16">
        <v>450256</v>
      </c>
      <c r="C128" s="12" t="str">
        <f>VLOOKUP(B128,Employee_Master!A:B,2,0)</f>
        <v>Jyotish  Patar</v>
      </c>
      <c r="D128" s="1" t="s">
        <v>235</v>
      </c>
      <c r="E128" s="1" t="s">
        <v>234</v>
      </c>
      <c r="F128" s="1" t="s">
        <v>234</v>
      </c>
      <c r="H128" s="1">
        <f t="shared" si="19"/>
        <v>10</v>
      </c>
      <c r="I128" s="1">
        <f t="shared" si="11"/>
        <v>0</v>
      </c>
      <c r="J128" s="1">
        <f>IFERROR(VLOOKUP(D128,Event_Master!B:E,4,FALSE),1)</f>
        <v>1</v>
      </c>
      <c r="K128" s="1">
        <f t="shared" si="12"/>
        <v>0</v>
      </c>
      <c r="L128" s="1">
        <f t="shared" si="20"/>
        <v>10</v>
      </c>
    </row>
    <row r="129" ht="16" spans="1:12">
      <c r="A129" s="9">
        <v>46359</v>
      </c>
      <c r="B129" s="16">
        <v>396485</v>
      </c>
      <c r="C129" s="12" t="str">
        <f>VLOOKUP(B129,Employee_Master!A:B,2,0)</f>
        <v>Khushbir Singh</v>
      </c>
      <c r="D129" s="1" t="s">
        <v>203</v>
      </c>
      <c r="E129" s="1" t="s">
        <v>234</v>
      </c>
      <c r="F129" s="1" t="s">
        <v>234</v>
      </c>
      <c r="G129" s="1" t="s">
        <v>219</v>
      </c>
      <c r="H129" s="1">
        <f t="shared" si="19"/>
        <v>10</v>
      </c>
      <c r="I129" s="1">
        <f t="shared" si="11"/>
        <v>100</v>
      </c>
      <c r="J129" s="1">
        <f>IFERROR(VLOOKUP(D129,Event_Master!B:E,4,FALSE),1)</f>
        <v>1.5</v>
      </c>
      <c r="K129" s="1">
        <f t="shared" si="12"/>
        <v>150</v>
      </c>
      <c r="L129" s="1">
        <f t="shared" si="20"/>
        <v>160</v>
      </c>
    </row>
    <row r="130" ht="16" spans="1:12">
      <c r="A130" s="9">
        <v>46359</v>
      </c>
      <c r="B130" s="16">
        <v>440620</v>
      </c>
      <c r="C130" s="12" t="str">
        <f>VLOOKUP(B130,Employee_Master!A:B,2,0)</f>
        <v>Kuldeep Singh</v>
      </c>
      <c r="D130" s="1" t="s">
        <v>235</v>
      </c>
      <c r="E130" s="1" t="s">
        <v>234</v>
      </c>
      <c r="F130" s="1" t="s">
        <v>234</v>
      </c>
      <c r="H130" s="1">
        <f t="shared" si="19"/>
        <v>10</v>
      </c>
      <c r="I130" s="1">
        <f t="shared" si="11"/>
        <v>0</v>
      </c>
      <c r="J130" s="1">
        <f>IFERROR(VLOOKUP(D130,Event_Master!B:E,4,FALSE),1)</f>
        <v>1</v>
      </c>
      <c r="K130" s="1">
        <f t="shared" si="12"/>
        <v>0</v>
      </c>
      <c r="L130" s="1">
        <f t="shared" si="20"/>
        <v>10</v>
      </c>
    </row>
    <row r="131" ht="16" spans="1:12">
      <c r="A131" s="9">
        <v>46359</v>
      </c>
      <c r="B131" s="16">
        <v>450224</v>
      </c>
      <c r="C131" s="12" t="str">
        <f>VLOOKUP(B131,Employee_Master!A:B,2,0)</f>
        <v>Lalit Nagar</v>
      </c>
      <c r="D131" s="1" t="s">
        <v>235</v>
      </c>
      <c r="E131" s="1" t="s">
        <v>234</v>
      </c>
      <c r="F131" s="1" t="s">
        <v>234</v>
      </c>
      <c r="H131" s="1">
        <f t="shared" si="19"/>
        <v>10</v>
      </c>
      <c r="I131" s="1">
        <f t="shared" si="11"/>
        <v>0</v>
      </c>
      <c r="J131" s="1">
        <f>IFERROR(VLOOKUP(D131,Event_Master!B:E,4,FALSE),1)</f>
        <v>1</v>
      </c>
      <c r="K131" s="1">
        <f t="shared" si="12"/>
        <v>0</v>
      </c>
      <c r="L131" s="1">
        <f t="shared" si="20"/>
        <v>10</v>
      </c>
    </row>
    <row r="132" ht="16" spans="1:12">
      <c r="A132" s="9">
        <v>46359</v>
      </c>
      <c r="B132" s="16">
        <v>476372</v>
      </c>
      <c r="C132" s="12" t="str">
        <f>VLOOKUP(B132,Employee_Master!A:B,2,0)</f>
        <v>Laksh</v>
      </c>
      <c r="D132" s="1" t="s">
        <v>235</v>
      </c>
      <c r="E132" s="1" t="s">
        <v>234</v>
      </c>
      <c r="F132" s="1" t="s">
        <v>234</v>
      </c>
      <c r="H132" s="1">
        <f t="shared" si="19"/>
        <v>10</v>
      </c>
      <c r="I132" s="1">
        <f t="shared" si="11"/>
        <v>0</v>
      </c>
      <c r="J132" s="1">
        <f>IFERROR(VLOOKUP(D132,Event_Master!B:E,4,FALSE),1)</f>
        <v>1</v>
      </c>
      <c r="K132" s="1">
        <f t="shared" si="12"/>
        <v>0</v>
      </c>
      <c r="L132" s="1">
        <f t="shared" si="20"/>
        <v>10</v>
      </c>
    </row>
    <row r="133" ht="16" spans="1:12">
      <c r="A133" s="9">
        <v>46359</v>
      </c>
      <c r="B133" s="16">
        <v>434518</v>
      </c>
      <c r="C133" s="12" t="str">
        <f>VLOOKUP(B133,Employee_Master!A:B,2,0)</f>
        <v>Maneesh Mohan</v>
      </c>
      <c r="D133" s="1" t="s">
        <v>235</v>
      </c>
      <c r="E133" s="1" t="s">
        <v>234</v>
      </c>
      <c r="F133" s="1" t="s">
        <v>234</v>
      </c>
      <c r="H133" s="1">
        <f t="shared" si="19"/>
        <v>10</v>
      </c>
      <c r="I133" s="1">
        <f t="shared" si="11"/>
        <v>0</v>
      </c>
      <c r="J133" s="1">
        <f>IFERROR(VLOOKUP(D133,Event_Master!B:E,4,FALSE),1)</f>
        <v>1</v>
      </c>
      <c r="K133" s="1">
        <f t="shared" si="12"/>
        <v>0</v>
      </c>
      <c r="L133" s="1">
        <f t="shared" si="20"/>
        <v>10</v>
      </c>
    </row>
    <row r="134" ht="16" spans="1:12">
      <c r="A134" s="9">
        <v>46359</v>
      </c>
      <c r="B134" s="16">
        <v>450030</v>
      </c>
      <c r="C134" s="12" t="str">
        <f>VLOOKUP(B134,Employee_Master!A:B,2,0)</f>
        <v>Manish bisht </v>
      </c>
      <c r="D134" s="1" t="s">
        <v>235</v>
      </c>
      <c r="E134" s="1" t="s">
        <v>234</v>
      </c>
      <c r="F134" s="1" t="s">
        <v>234</v>
      </c>
      <c r="H134" s="1">
        <f t="shared" si="19"/>
        <v>10</v>
      </c>
      <c r="I134" s="1">
        <f t="shared" si="11"/>
        <v>0</v>
      </c>
      <c r="J134" s="1">
        <f>IFERROR(VLOOKUP(D134,Event_Master!B:E,4,FALSE),1)</f>
        <v>1</v>
      </c>
      <c r="K134" s="1">
        <f t="shared" si="12"/>
        <v>0</v>
      </c>
      <c r="L134" s="1">
        <f t="shared" si="20"/>
        <v>10</v>
      </c>
    </row>
    <row r="135" ht="16" spans="1:12">
      <c r="A135" s="9">
        <v>46359</v>
      </c>
      <c r="B135" s="13">
        <v>457430</v>
      </c>
      <c r="C135" s="12" t="str">
        <f>VLOOKUP(B135,Employee_Master!A:B,2,0)</f>
        <v>Manish Kumar</v>
      </c>
      <c r="D135" s="1" t="s">
        <v>235</v>
      </c>
      <c r="E135" s="1" t="s">
        <v>234</v>
      </c>
      <c r="F135" s="1" t="s">
        <v>234</v>
      </c>
      <c r="H135" s="1">
        <f t="shared" si="19"/>
        <v>10</v>
      </c>
      <c r="I135" s="1">
        <f t="shared" si="11"/>
        <v>0</v>
      </c>
      <c r="J135" s="1">
        <f>IFERROR(VLOOKUP(D135,Event_Master!B:E,4,FALSE),1)</f>
        <v>1</v>
      </c>
      <c r="K135" s="1">
        <f t="shared" si="12"/>
        <v>0</v>
      </c>
      <c r="L135" s="1">
        <f t="shared" si="20"/>
        <v>10</v>
      </c>
    </row>
    <row r="136" ht="16" spans="1:12">
      <c r="A136" s="9">
        <v>46359</v>
      </c>
      <c r="B136" s="16">
        <v>452799</v>
      </c>
      <c r="C136" s="12" t="str">
        <f>VLOOKUP(B136,Employee_Master!A:B,2,0)</f>
        <v>Manish Kukreti</v>
      </c>
      <c r="D136" s="1" t="s">
        <v>235</v>
      </c>
      <c r="E136" s="1" t="s">
        <v>234</v>
      </c>
      <c r="F136" s="1" t="s">
        <v>234</v>
      </c>
      <c r="H136" s="1">
        <f t="shared" si="19"/>
        <v>10</v>
      </c>
      <c r="I136" s="1">
        <f t="shared" si="11"/>
        <v>0</v>
      </c>
      <c r="J136" s="1">
        <f>IFERROR(VLOOKUP(D136,Event_Master!B:E,4,FALSE),1)</f>
        <v>1</v>
      </c>
      <c r="K136" s="1">
        <f t="shared" si="12"/>
        <v>0</v>
      </c>
      <c r="L136" s="1">
        <f t="shared" si="20"/>
        <v>10</v>
      </c>
    </row>
    <row r="137" ht="16" spans="1:12">
      <c r="A137" s="9">
        <v>46359</v>
      </c>
      <c r="B137" s="16">
        <v>460692</v>
      </c>
      <c r="C137" s="12" t="str">
        <f>VLOOKUP(B137,Employee_Master!A:B,2,0)</f>
        <v>Mayank Arya</v>
      </c>
      <c r="D137" s="1" t="s">
        <v>235</v>
      </c>
      <c r="E137" s="1" t="s">
        <v>234</v>
      </c>
      <c r="F137" s="1" t="s">
        <v>234</v>
      </c>
      <c r="H137" s="1">
        <f t="shared" si="19"/>
        <v>10</v>
      </c>
      <c r="I137" s="1">
        <f t="shared" si="11"/>
        <v>0</v>
      </c>
      <c r="J137" s="1">
        <f>IFERROR(VLOOKUP(D137,Event_Master!B:E,4,FALSE),1)</f>
        <v>1</v>
      </c>
      <c r="K137" s="1">
        <f t="shared" si="12"/>
        <v>0</v>
      </c>
      <c r="L137" s="1">
        <f t="shared" si="20"/>
        <v>10</v>
      </c>
    </row>
    <row r="138" ht="16" spans="1:12">
      <c r="A138" s="9">
        <v>46359</v>
      </c>
      <c r="B138" s="16">
        <v>468224</v>
      </c>
      <c r="C138" s="12" t="str">
        <f>VLOOKUP(B138,Employee_Master!A:B,2,0)</f>
        <v>Mohit Kumar</v>
      </c>
      <c r="D138" s="1" t="s">
        <v>235</v>
      </c>
      <c r="E138" s="1" t="s">
        <v>234</v>
      </c>
      <c r="F138" s="1" t="s">
        <v>234</v>
      </c>
      <c r="H138" s="1">
        <f t="shared" si="19"/>
        <v>10</v>
      </c>
      <c r="I138" s="1">
        <f t="shared" si="11"/>
        <v>0</v>
      </c>
      <c r="J138" s="1">
        <f>IFERROR(VLOOKUP(D138,Event_Master!B:E,4,FALSE),1)</f>
        <v>1</v>
      </c>
      <c r="K138" s="1">
        <f t="shared" si="12"/>
        <v>0</v>
      </c>
      <c r="L138" s="1">
        <f t="shared" si="20"/>
        <v>10</v>
      </c>
    </row>
    <row r="139" ht="16" spans="1:12">
      <c r="A139" s="9">
        <v>46359</v>
      </c>
      <c r="B139" s="16">
        <v>440317</v>
      </c>
      <c r="C139" s="12" t="str">
        <f>VLOOKUP(B139,Employee_Master!A:B,2,0)</f>
        <v>Praveen Chandel</v>
      </c>
      <c r="D139" s="1" t="s">
        <v>235</v>
      </c>
      <c r="E139" s="1" t="s">
        <v>234</v>
      </c>
      <c r="F139" s="1" t="s">
        <v>234</v>
      </c>
      <c r="H139" s="1">
        <f t="shared" si="19"/>
        <v>10</v>
      </c>
      <c r="I139" s="1">
        <f t="shared" si="11"/>
        <v>0</v>
      </c>
      <c r="J139" s="1">
        <f>IFERROR(VLOOKUP(D139,Event_Master!B:E,4,FALSE),1)</f>
        <v>1</v>
      </c>
      <c r="K139" s="1">
        <f t="shared" si="12"/>
        <v>0</v>
      </c>
      <c r="L139" s="1">
        <f t="shared" si="20"/>
        <v>10</v>
      </c>
    </row>
    <row r="140" ht="16" spans="1:12">
      <c r="A140" s="9">
        <v>46359</v>
      </c>
      <c r="B140" s="16">
        <v>438864</v>
      </c>
      <c r="C140" s="12" t="str">
        <f>VLOOKUP(B140,Employee_Master!A:B,2,0)</f>
        <v>Rajan Gupta</v>
      </c>
      <c r="D140" s="1" t="s">
        <v>235</v>
      </c>
      <c r="E140" s="1" t="s">
        <v>234</v>
      </c>
      <c r="F140" s="1" t="s">
        <v>234</v>
      </c>
      <c r="H140" s="1">
        <f t="shared" si="19"/>
        <v>10</v>
      </c>
      <c r="I140" s="1">
        <f t="shared" si="11"/>
        <v>0</v>
      </c>
      <c r="J140" s="1">
        <f>IFERROR(VLOOKUP(D140,Event_Master!B:E,4,FALSE),1)</f>
        <v>1</v>
      </c>
      <c r="K140" s="1">
        <f t="shared" si="12"/>
        <v>0</v>
      </c>
      <c r="L140" s="1">
        <f t="shared" si="20"/>
        <v>10</v>
      </c>
    </row>
    <row r="141" ht="16" spans="1:12">
      <c r="A141" s="9">
        <v>46359</v>
      </c>
      <c r="B141" s="16">
        <v>427154</v>
      </c>
      <c r="C141" s="12" t="str">
        <f>VLOOKUP(B141,Employee_Master!A:B,2,0)</f>
        <v>Rohan Mehra</v>
      </c>
      <c r="D141" s="1" t="s">
        <v>202</v>
      </c>
      <c r="E141" s="1" t="s">
        <v>234</v>
      </c>
      <c r="F141" s="1" t="s">
        <v>234</v>
      </c>
      <c r="G141" s="1" t="s">
        <v>220</v>
      </c>
      <c r="H141" s="1">
        <f t="shared" si="19"/>
        <v>10</v>
      </c>
      <c r="I141" s="1">
        <f t="shared" si="11"/>
        <v>70</v>
      </c>
      <c r="J141" s="1">
        <f>IFERROR(VLOOKUP(D141,Event_Master!B:E,4,FALSE),1)</f>
        <v>1.5</v>
      </c>
      <c r="K141" s="1">
        <f t="shared" si="12"/>
        <v>105</v>
      </c>
      <c r="L141" s="1">
        <f t="shared" si="20"/>
        <v>115</v>
      </c>
    </row>
    <row r="142" ht="16" spans="1:12">
      <c r="A142" s="9">
        <v>46359</v>
      </c>
      <c r="B142" s="16">
        <v>474194</v>
      </c>
      <c r="C142" s="12" t="str">
        <f>VLOOKUP(B142,Employee_Master!A:B,2,0)</f>
        <v>Rohit Yadav</v>
      </c>
      <c r="D142" s="1" t="s">
        <v>235</v>
      </c>
      <c r="E142" s="1" t="s">
        <v>234</v>
      </c>
      <c r="F142" s="1" t="s">
        <v>234</v>
      </c>
      <c r="H142" s="1">
        <f t="shared" si="19"/>
        <v>10</v>
      </c>
      <c r="I142" s="1">
        <f t="shared" si="11"/>
        <v>0</v>
      </c>
      <c r="J142" s="1">
        <f>IFERROR(VLOOKUP(D142,Event_Master!B:E,4,FALSE),1)</f>
        <v>1</v>
      </c>
      <c r="K142" s="1">
        <f t="shared" si="12"/>
        <v>0</v>
      </c>
      <c r="L142" s="1">
        <f t="shared" si="20"/>
        <v>10</v>
      </c>
    </row>
    <row r="143" ht="16" spans="1:12">
      <c r="A143" s="9">
        <v>46359</v>
      </c>
      <c r="B143" s="16">
        <v>432865</v>
      </c>
      <c r="C143" s="12" t="str">
        <f>VLOOKUP(B143,Employee_Master!A:B,2,0)</f>
        <v>Rupesh Gandhi</v>
      </c>
      <c r="D143" s="1" t="s">
        <v>202</v>
      </c>
      <c r="E143" s="1" t="s">
        <v>234</v>
      </c>
      <c r="F143" s="1" t="s">
        <v>234</v>
      </c>
      <c r="G143" s="1" t="s">
        <v>219</v>
      </c>
      <c r="H143" s="1">
        <f t="shared" si="19"/>
        <v>10</v>
      </c>
      <c r="I143" s="1">
        <f t="shared" si="11"/>
        <v>100</v>
      </c>
      <c r="J143" s="1">
        <f>IFERROR(VLOOKUP(D143,Event_Master!B:E,4,FALSE),1)</f>
        <v>1.5</v>
      </c>
      <c r="K143" s="1">
        <f t="shared" si="12"/>
        <v>150</v>
      </c>
      <c r="L143" s="1">
        <f t="shared" si="20"/>
        <v>160</v>
      </c>
    </row>
    <row r="144" ht="16" spans="1:12">
      <c r="A144" s="9">
        <v>46359</v>
      </c>
      <c r="B144" s="16">
        <v>457157</v>
      </c>
      <c r="C144" s="12" t="str">
        <f>VLOOKUP(B144,Employee_Master!A:B,2,0)</f>
        <v>Sachin Kashyap</v>
      </c>
      <c r="D144" s="1" t="s">
        <v>235</v>
      </c>
      <c r="E144" s="1" t="s">
        <v>234</v>
      </c>
      <c r="F144" s="1" t="s">
        <v>234</v>
      </c>
      <c r="H144" s="1">
        <f t="shared" si="19"/>
        <v>10</v>
      </c>
      <c r="I144" s="1">
        <f t="shared" si="11"/>
        <v>0</v>
      </c>
      <c r="J144" s="1">
        <f>IFERROR(VLOOKUP(D144,Event_Master!B:E,4,FALSE),1)</f>
        <v>1</v>
      </c>
      <c r="K144" s="1">
        <f t="shared" si="12"/>
        <v>0</v>
      </c>
      <c r="L144" s="1">
        <f t="shared" si="20"/>
        <v>10</v>
      </c>
    </row>
    <row r="145" ht="16" spans="1:12">
      <c r="A145" s="9">
        <v>46359</v>
      </c>
      <c r="B145" s="16">
        <v>438679</v>
      </c>
      <c r="C145" s="12" t="str">
        <f>VLOOKUP(B145,Employee_Master!A:B,2,0)</f>
        <v>Saurabh Kumar</v>
      </c>
      <c r="D145" s="1" t="s">
        <v>203</v>
      </c>
      <c r="E145" s="1" t="s">
        <v>234</v>
      </c>
      <c r="F145" s="1" t="s">
        <v>234</v>
      </c>
      <c r="G145" s="1" t="s">
        <v>220</v>
      </c>
      <c r="H145" s="1">
        <f t="shared" si="19"/>
        <v>10</v>
      </c>
      <c r="I145" s="1">
        <f t="shared" si="11"/>
        <v>70</v>
      </c>
      <c r="J145" s="1">
        <f>IFERROR(VLOOKUP(D145,Event_Master!B:E,4,FALSE),1)</f>
        <v>1.5</v>
      </c>
      <c r="K145" s="1">
        <f t="shared" si="12"/>
        <v>105</v>
      </c>
      <c r="L145" s="1">
        <f t="shared" si="20"/>
        <v>115</v>
      </c>
    </row>
    <row r="146" ht="16" spans="1:12">
      <c r="A146" s="9">
        <v>46359</v>
      </c>
      <c r="B146" s="16">
        <v>450228</v>
      </c>
      <c r="C146" s="12" t="str">
        <f>VLOOKUP(B146,Employee_Master!A:B,2,0)</f>
        <v>Shubham Sharma</v>
      </c>
      <c r="D146" s="1" t="s">
        <v>235</v>
      </c>
      <c r="E146" s="1" t="s">
        <v>234</v>
      </c>
      <c r="F146" s="1" t="s">
        <v>234</v>
      </c>
      <c r="H146" s="1">
        <f t="shared" si="19"/>
        <v>10</v>
      </c>
      <c r="I146" s="1">
        <f t="shared" si="11"/>
        <v>0</v>
      </c>
      <c r="J146" s="1">
        <f>IFERROR(VLOOKUP(D146,Event_Master!B:E,4,FALSE),1)</f>
        <v>1</v>
      </c>
      <c r="K146" s="1">
        <f t="shared" si="12"/>
        <v>0</v>
      </c>
      <c r="L146" s="1">
        <f t="shared" si="20"/>
        <v>10</v>
      </c>
    </row>
    <row r="147" ht="16" spans="1:12">
      <c r="A147" s="9">
        <v>46359</v>
      </c>
      <c r="B147" s="16">
        <v>450437</v>
      </c>
      <c r="C147" s="12" t="str">
        <f>VLOOKUP(B147,Employee_Master!A:B,2,0)</f>
        <v>Tinku Shekhawat </v>
      </c>
      <c r="D147" s="1" t="s">
        <v>235</v>
      </c>
      <c r="E147" s="1" t="s">
        <v>234</v>
      </c>
      <c r="F147" s="1" t="s">
        <v>234</v>
      </c>
      <c r="H147" s="1">
        <f t="shared" si="19"/>
        <v>10</v>
      </c>
      <c r="I147" s="1">
        <f t="shared" si="11"/>
        <v>0</v>
      </c>
      <c r="J147" s="1">
        <f>IFERROR(VLOOKUP(D147,Event_Master!B:E,4,FALSE),1)</f>
        <v>1</v>
      </c>
      <c r="K147" s="1">
        <f t="shared" si="12"/>
        <v>0</v>
      </c>
      <c r="L147" s="1">
        <f t="shared" si="20"/>
        <v>10</v>
      </c>
    </row>
    <row r="148" ht="16" spans="1:12">
      <c r="A148" s="9">
        <v>46359</v>
      </c>
      <c r="B148" s="16">
        <v>468536</v>
      </c>
      <c r="C148" s="12" t="str">
        <f>VLOOKUP(B148,Employee_Master!A:B,2,0)</f>
        <v>Vinod Kumar</v>
      </c>
      <c r="D148" s="1" t="s">
        <v>235</v>
      </c>
      <c r="E148" s="1" t="s">
        <v>234</v>
      </c>
      <c r="F148" s="1" t="s">
        <v>234</v>
      </c>
      <c r="H148" s="1">
        <f t="shared" si="19"/>
        <v>10</v>
      </c>
      <c r="I148" s="1">
        <f t="shared" si="11"/>
        <v>0</v>
      </c>
      <c r="J148" s="1">
        <f>IFERROR(VLOOKUP(D148,Event_Master!B:E,4,FALSE),1)</f>
        <v>1</v>
      </c>
      <c r="K148" s="1">
        <f t="shared" si="12"/>
        <v>0</v>
      </c>
      <c r="L148" s="1">
        <f t="shared" si="20"/>
        <v>10</v>
      </c>
    </row>
    <row r="149" ht="16" spans="1:12">
      <c r="A149" s="9">
        <v>46359</v>
      </c>
      <c r="B149" s="16">
        <v>437534</v>
      </c>
      <c r="C149" s="12" t="str">
        <f>VLOOKUP(B149,Employee_Master!A:B,2,0)</f>
        <v>Himanshu Sangar</v>
      </c>
      <c r="D149" s="1" t="s">
        <v>235</v>
      </c>
      <c r="E149" s="1" t="s">
        <v>234</v>
      </c>
      <c r="F149" s="1" t="s">
        <v>234</v>
      </c>
      <c r="H149" s="1">
        <f t="shared" si="19"/>
        <v>10</v>
      </c>
      <c r="I149" s="1">
        <f t="shared" ref="I149:I212" si="21">IF(G149="Winner",100,IF(G149="Runner-up",70,IF(G149="2nd Runner-up",50,IF(G149="Semi",30,IF(G149="Quarter",20,0)))))</f>
        <v>0</v>
      </c>
      <c r="J149" s="1">
        <f>IFERROR(VLOOKUP(D149,Event_Master!B:E,4,FALSE),1)</f>
        <v>1</v>
      </c>
      <c r="K149" s="1">
        <f t="shared" ref="K149:K212" si="22">(I149*J149)</f>
        <v>0</v>
      </c>
      <c r="L149" s="1">
        <f t="shared" si="20"/>
        <v>10</v>
      </c>
    </row>
    <row r="150" ht="16" spans="1:12">
      <c r="A150" s="9">
        <v>46359</v>
      </c>
      <c r="B150" s="16">
        <v>460764</v>
      </c>
      <c r="C150" s="12" t="str">
        <f>VLOOKUP(B150,Employee_Master!A:B,2,0)</f>
        <v>Himanshu Yadav</v>
      </c>
      <c r="D150" s="1" t="s">
        <v>235</v>
      </c>
      <c r="E150" s="1" t="s">
        <v>234</v>
      </c>
      <c r="F150" s="1" t="s">
        <v>234</v>
      </c>
      <c r="H150" s="1">
        <f t="shared" si="19"/>
        <v>10</v>
      </c>
      <c r="I150" s="1">
        <f t="shared" si="21"/>
        <v>0</v>
      </c>
      <c r="J150" s="1">
        <f>IFERROR(VLOOKUP(D150,Event_Master!B:E,4,FALSE),1)</f>
        <v>1</v>
      </c>
      <c r="K150" s="1">
        <f t="shared" si="22"/>
        <v>0</v>
      </c>
      <c r="L150" s="1">
        <f t="shared" si="20"/>
        <v>10</v>
      </c>
    </row>
    <row r="151" ht="16" spans="1:12">
      <c r="A151" s="9">
        <v>46359</v>
      </c>
      <c r="B151" s="16">
        <v>427154</v>
      </c>
      <c r="C151" s="12" t="str">
        <f>VLOOKUP(B151,Employee_Master!A:B,2,0)</f>
        <v>Rohan Mehra</v>
      </c>
      <c r="D151" s="1" t="s">
        <v>203</v>
      </c>
      <c r="E151" s="1" t="s">
        <v>234</v>
      </c>
      <c r="F151" s="1" t="s">
        <v>234</v>
      </c>
      <c r="G151" s="1" t="s">
        <v>219</v>
      </c>
      <c r="H151" s="1">
        <f t="shared" si="19"/>
        <v>10</v>
      </c>
      <c r="I151" s="1">
        <f t="shared" si="21"/>
        <v>100</v>
      </c>
      <c r="J151" s="1">
        <f>IFERROR(VLOOKUP(D151,Event_Master!B:E,4,FALSE),1)</f>
        <v>1.5</v>
      </c>
      <c r="K151" s="1">
        <f t="shared" si="22"/>
        <v>150</v>
      </c>
      <c r="L151" s="1">
        <f t="shared" si="20"/>
        <v>160</v>
      </c>
    </row>
    <row r="152" ht="16" spans="1:12">
      <c r="A152" s="9">
        <v>46359</v>
      </c>
      <c r="B152" s="16">
        <v>432865</v>
      </c>
      <c r="C152" s="12" t="str">
        <f>VLOOKUP(B152,Employee_Master!A:B,2,0)</f>
        <v>Rupesh Gandhi</v>
      </c>
      <c r="D152" s="1" t="s">
        <v>203</v>
      </c>
      <c r="E152" s="1" t="s">
        <v>234</v>
      </c>
      <c r="F152" s="1" t="s">
        <v>234</v>
      </c>
      <c r="G152" s="1" t="s">
        <v>220</v>
      </c>
      <c r="H152" s="1">
        <f t="shared" si="19"/>
        <v>10</v>
      </c>
      <c r="I152" s="1">
        <f t="shared" si="21"/>
        <v>70</v>
      </c>
      <c r="J152" s="1">
        <f>IFERROR(VLOOKUP(D152,Event_Master!B:E,4,FALSE),1)</f>
        <v>1.5</v>
      </c>
      <c r="K152" s="1">
        <f t="shared" si="22"/>
        <v>105</v>
      </c>
      <c r="L152" s="1">
        <f t="shared" ref="L152:L183" si="23">K152+H152</f>
        <v>115</v>
      </c>
    </row>
    <row r="153" ht="16" spans="1:12">
      <c r="A153" s="9">
        <v>46359</v>
      </c>
      <c r="B153" s="16">
        <v>476372</v>
      </c>
      <c r="C153" s="12" t="str">
        <f>VLOOKUP(B153,Employee_Master!A:B,2,0)</f>
        <v>Laksh</v>
      </c>
      <c r="D153" s="1" t="s">
        <v>198</v>
      </c>
      <c r="E153" s="1" t="s">
        <v>234</v>
      </c>
      <c r="F153" s="1" t="s">
        <v>234</v>
      </c>
      <c r="H153" s="1">
        <f t="shared" si="19"/>
        <v>10</v>
      </c>
      <c r="I153" s="1">
        <f t="shared" si="21"/>
        <v>0</v>
      </c>
      <c r="J153" s="1">
        <f>IFERROR(VLOOKUP(D153,Event_Master!B:E,4,FALSE),1)</f>
        <v>1.3</v>
      </c>
      <c r="K153" s="1">
        <f t="shared" si="22"/>
        <v>0</v>
      </c>
      <c r="L153" s="1">
        <f t="shared" si="23"/>
        <v>10</v>
      </c>
    </row>
    <row r="154" ht="16" spans="1:12">
      <c r="A154" s="9">
        <v>46359</v>
      </c>
      <c r="B154" s="16">
        <v>468157</v>
      </c>
      <c r="C154" s="12" t="str">
        <f>VLOOKUP(B154,Employee_Master!A:B,2,0)</f>
        <v>Ankit Tiwari</v>
      </c>
      <c r="D154" s="1" t="s">
        <v>198</v>
      </c>
      <c r="E154" s="1" t="s">
        <v>234</v>
      </c>
      <c r="F154" s="1" t="s">
        <v>234</v>
      </c>
      <c r="H154" s="1">
        <f t="shared" si="19"/>
        <v>10</v>
      </c>
      <c r="I154" s="1">
        <f t="shared" si="21"/>
        <v>0</v>
      </c>
      <c r="J154" s="1">
        <f>IFERROR(VLOOKUP(D154,Event_Master!B:E,4,FALSE),1)</f>
        <v>1.3</v>
      </c>
      <c r="K154" s="1">
        <f t="shared" si="22"/>
        <v>0</v>
      </c>
      <c r="L154" s="1">
        <f t="shared" si="23"/>
        <v>10</v>
      </c>
    </row>
    <row r="155" ht="16" spans="1:12">
      <c r="A155" s="9">
        <v>46359</v>
      </c>
      <c r="B155" s="16">
        <v>460627</v>
      </c>
      <c r="C155" s="12" t="str">
        <f>VLOOKUP(B155,Employee_Master!A:B,2,0)</f>
        <v>Sushil</v>
      </c>
      <c r="D155" s="1" t="s">
        <v>198</v>
      </c>
      <c r="E155" s="1" t="s">
        <v>234</v>
      </c>
      <c r="F155" s="1" t="s">
        <v>234</v>
      </c>
      <c r="H155" s="1">
        <f t="shared" si="19"/>
        <v>10</v>
      </c>
      <c r="I155" s="1">
        <f t="shared" si="21"/>
        <v>0</v>
      </c>
      <c r="J155" s="1">
        <f>IFERROR(VLOOKUP(D155,Event_Master!B:E,4,FALSE),1)</f>
        <v>1.3</v>
      </c>
      <c r="K155" s="1">
        <f t="shared" si="22"/>
        <v>0</v>
      </c>
      <c r="L155" s="1">
        <f t="shared" si="23"/>
        <v>10</v>
      </c>
    </row>
    <row r="156" ht="16" spans="1:12">
      <c r="A156" s="9">
        <v>46359</v>
      </c>
      <c r="B156" s="16">
        <v>473266</v>
      </c>
      <c r="C156" s="12" t="str">
        <f>VLOOKUP(B156,Employee_Master!A:B,2,0)</f>
        <v>Jitender Yadav</v>
      </c>
      <c r="D156" s="1" t="s">
        <v>198</v>
      </c>
      <c r="E156" s="1" t="s">
        <v>234</v>
      </c>
      <c r="F156" s="1" t="s">
        <v>234</v>
      </c>
      <c r="H156" s="1">
        <f t="shared" si="19"/>
        <v>10</v>
      </c>
      <c r="I156" s="1">
        <f t="shared" si="21"/>
        <v>0</v>
      </c>
      <c r="J156" s="1">
        <f>IFERROR(VLOOKUP(D156,Event_Master!B:E,4,FALSE),1)</f>
        <v>1.3</v>
      </c>
      <c r="K156" s="1">
        <f t="shared" si="22"/>
        <v>0</v>
      </c>
      <c r="L156" s="1">
        <f t="shared" si="23"/>
        <v>10</v>
      </c>
    </row>
    <row r="157" ht="16" spans="1:12">
      <c r="A157" s="9">
        <v>46359</v>
      </c>
      <c r="B157" s="16">
        <v>438864</v>
      </c>
      <c r="C157" s="12" t="str">
        <f>VLOOKUP(B157,Employee_Master!A:B,2,0)</f>
        <v>Rajan Gupta</v>
      </c>
      <c r="D157" s="1" t="s">
        <v>198</v>
      </c>
      <c r="E157" s="1" t="s">
        <v>234</v>
      </c>
      <c r="F157" s="1" t="s">
        <v>234</v>
      </c>
      <c r="H157" s="1">
        <f t="shared" si="19"/>
        <v>10</v>
      </c>
      <c r="I157" s="1">
        <f t="shared" si="21"/>
        <v>0</v>
      </c>
      <c r="J157" s="1">
        <f>IFERROR(VLOOKUP(D157,Event_Master!B:E,4,FALSE),1)</f>
        <v>1.3</v>
      </c>
      <c r="K157" s="1">
        <f t="shared" si="22"/>
        <v>0</v>
      </c>
      <c r="L157" s="1">
        <f t="shared" si="23"/>
        <v>10</v>
      </c>
    </row>
    <row r="158" ht="16" spans="1:12">
      <c r="A158" s="9">
        <v>46359</v>
      </c>
      <c r="B158" s="19">
        <v>708792</v>
      </c>
      <c r="C158" s="12" t="str">
        <f>VLOOKUP(B158,Employee_Master!A:B,2,0)</f>
        <v>Shubhanshu Pandey</v>
      </c>
      <c r="D158" s="1" t="s">
        <v>198</v>
      </c>
      <c r="E158" s="1" t="s">
        <v>234</v>
      </c>
      <c r="F158" s="1" t="s">
        <v>234</v>
      </c>
      <c r="H158" s="1">
        <f t="shared" si="19"/>
        <v>10</v>
      </c>
      <c r="I158" s="1">
        <f t="shared" si="21"/>
        <v>0</v>
      </c>
      <c r="J158" s="1">
        <f>IFERROR(VLOOKUP(D158,Event_Master!B:E,4,FALSE),1)</f>
        <v>1.3</v>
      </c>
      <c r="K158" s="1">
        <f t="shared" si="22"/>
        <v>0</v>
      </c>
      <c r="L158" s="1">
        <f t="shared" si="23"/>
        <v>10</v>
      </c>
    </row>
    <row r="159" ht="16" spans="1:12">
      <c r="A159" s="9">
        <v>46359</v>
      </c>
      <c r="B159" s="16">
        <v>420533</v>
      </c>
      <c r="C159" s="12" t="str">
        <f>VLOOKUP(B159,Employee_Master!A:B,2,0)</f>
        <v>Gaurav Saxena</v>
      </c>
      <c r="D159" s="1" t="s">
        <v>198</v>
      </c>
      <c r="E159" s="1" t="s">
        <v>234</v>
      </c>
      <c r="F159" s="1" t="s">
        <v>234</v>
      </c>
      <c r="H159" s="1">
        <f t="shared" si="19"/>
        <v>10</v>
      </c>
      <c r="I159" s="1">
        <f t="shared" si="21"/>
        <v>0</v>
      </c>
      <c r="J159" s="1">
        <f>IFERROR(VLOOKUP(D159,Event_Master!B:E,4,FALSE),1)</f>
        <v>1.3</v>
      </c>
      <c r="K159" s="1">
        <f t="shared" si="22"/>
        <v>0</v>
      </c>
      <c r="L159" s="1">
        <f t="shared" si="23"/>
        <v>10</v>
      </c>
    </row>
    <row r="160" ht="16" spans="1:12">
      <c r="A160" s="9">
        <v>46359</v>
      </c>
      <c r="B160" s="16">
        <v>437534</v>
      </c>
      <c r="C160" s="12" t="str">
        <f>VLOOKUP(B160,Employee_Master!A:B,2,0)</f>
        <v>Himanshu Sangar</v>
      </c>
      <c r="D160" s="1" t="s">
        <v>198</v>
      </c>
      <c r="E160" s="1" t="s">
        <v>234</v>
      </c>
      <c r="F160" s="1" t="s">
        <v>234</v>
      </c>
      <c r="H160" s="1">
        <f t="shared" si="19"/>
        <v>10</v>
      </c>
      <c r="I160" s="1">
        <f t="shared" si="21"/>
        <v>0</v>
      </c>
      <c r="J160" s="1">
        <f>IFERROR(VLOOKUP(D160,Event_Master!B:E,4,FALSE),1)</f>
        <v>1.3</v>
      </c>
      <c r="K160" s="1">
        <f t="shared" si="22"/>
        <v>0</v>
      </c>
      <c r="L160" s="1">
        <f t="shared" si="23"/>
        <v>10</v>
      </c>
    </row>
    <row r="161" ht="16" spans="1:12">
      <c r="A161" s="9">
        <v>46359</v>
      </c>
      <c r="B161" s="19">
        <v>457430</v>
      </c>
      <c r="C161" s="12" t="str">
        <f>VLOOKUP(B161,Employee_Master!A:B,2,0)</f>
        <v>Manish Kumar</v>
      </c>
      <c r="D161" s="1" t="s">
        <v>198</v>
      </c>
      <c r="E161" s="1" t="s">
        <v>234</v>
      </c>
      <c r="F161" s="1" t="s">
        <v>234</v>
      </c>
      <c r="H161" s="1">
        <f t="shared" si="19"/>
        <v>10</v>
      </c>
      <c r="I161" s="1">
        <f t="shared" si="21"/>
        <v>0</v>
      </c>
      <c r="J161" s="1">
        <f>IFERROR(VLOOKUP(D161,Event_Master!B:E,4,FALSE),1)</f>
        <v>1.3</v>
      </c>
      <c r="K161" s="1">
        <f t="shared" si="22"/>
        <v>0</v>
      </c>
      <c r="L161" s="1">
        <f t="shared" si="23"/>
        <v>10</v>
      </c>
    </row>
    <row r="162" ht="16" spans="1:12">
      <c r="A162" s="9">
        <v>46359</v>
      </c>
      <c r="B162" s="16">
        <v>484877</v>
      </c>
      <c r="C162" s="12" t="str">
        <f>VLOOKUP(B162,Employee_Master!A:B,2,0)</f>
        <v>Prashant Gupta</v>
      </c>
      <c r="D162" s="1" t="s">
        <v>198</v>
      </c>
      <c r="E162" s="1" t="s">
        <v>234</v>
      </c>
      <c r="F162" s="1" t="s">
        <v>234</v>
      </c>
      <c r="H162" s="1">
        <f t="shared" si="19"/>
        <v>10</v>
      </c>
      <c r="I162" s="1">
        <f t="shared" si="21"/>
        <v>0</v>
      </c>
      <c r="J162" s="1">
        <f>IFERROR(VLOOKUP(D162,Event_Master!B:E,4,FALSE),1)</f>
        <v>1.3</v>
      </c>
      <c r="K162" s="1">
        <f t="shared" si="22"/>
        <v>0</v>
      </c>
      <c r="L162" s="1">
        <f t="shared" si="23"/>
        <v>10</v>
      </c>
    </row>
    <row r="163" ht="16" spans="1:12">
      <c r="A163" s="9">
        <v>46359</v>
      </c>
      <c r="B163" s="16">
        <v>452059</v>
      </c>
      <c r="C163" s="12" t="str">
        <f>VLOOKUP(B163,Employee_Master!A:B,2,0)</f>
        <v>Mahi Singh</v>
      </c>
      <c r="D163" s="1" t="s">
        <v>198</v>
      </c>
      <c r="E163" s="1" t="s">
        <v>234</v>
      </c>
      <c r="F163" s="1" t="s">
        <v>234</v>
      </c>
      <c r="H163" s="1">
        <f t="shared" si="19"/>
        <v>10</v>
      </c>
      <c r="I163" s="1">
        <f t="shared" si="21"/>
        <v>0</v>
      </c>
      <c r="J163" s="1">
        <f>IFERROR(VLOOKUP(D163,Event_Master!B:E,4,FALSE),1)</f>
        <v>1.3</v>
      </c>
      <c r="K163" s="1">
        <f t="shared" si="22"/>
        <v>0</v>
      </c>
      <c r="L163" s="1">
        <f t="shared" si="23"/>
        <v>10</v>
      </c>
    </row>
    <row r="164" ht="16" spans="1:12">
      <c r="A164" s="9">
        <v>46359</v>
      </c>
      <c r="B164" s="16">
        <v>450256</v>
      </c>
      <c r="C164" s="12" t="str">
        <f>VLOOKUP(B164,Employee_Master!A:B,2,0)</f>
        <v>Jyotish  Patar</v>
      </c>
      <c r="D164" s="1" t="s">
        <v>198</v>
      </c>
      <c r="E164" s="1" t="s">
        <v>234</v>
      </c>
      <c r="F164" s="1" t="s">
        <v>234</v>
      </c>
      <c r="H164" s="1">
        <f t="shared" si="19"/>
        <v>10</v>
      </c>
      <c r="I164" s="1">
        <f t="shared" si="21"/>
        <v>0</v>
      </c>
      <c r="J164" s="1">
        <f>IFERROR(VLOOKUP(D164,Event_Master!B:E,4,FALSE),1)</f>
        <v>1.3</v>
      </c>
      <c r="K164" s="1">
        <f t="shared" si="22"/>
        <v>0</v>
      </c>
      <c r="L164" s="1">
        <f t="shared" si="23"/>
        <v>10</v>
      </c>
    </row>
    <row r="165" ht="16" spans="1:12">
      <c r="A165" s="9">
        <v>46359</v>
      </c>
      <c r="B165" s="16">
        <v>465181</v>
      </c>
      <c r="C165" s="12" t="str">
        <f>VLOOKUP(B165,Employee_Master!A:B,2,0)</f>
        <v>Gaurav Singh Gurjar</v>
      </c>
      <c r="D165" s="1" t="s">
        <v>198</v>
      </c>
      <c r="E165" s="1" t="s">
        <v>234</v>
      </c>
      <c r="F165" s="1" t="s">
        <v>234</v>
      </c>
      <c r="H165" s="1">
        <f t="shared" si="19"/>
        <v>10</v>
      </c>
      <c r="I165" s="1">
        <f t="shared" si="21"/>
        <v>0</v>
      </c>
      <c r="J165" s="1">
        <f>IFERROR(VLOOKUP(D165,Event_Master!B:E,4,FALSE),1)</f>
        <v>1.3</v>
      </c>
      <c r="K165" s="1">
        <f t="shared" si="22"/>
        <v>0</v>
      </c>
      <c r="L165" s="1">
        <f t="shared" si="23"/>
        <v>10</v>
      </c>
    </row>
    <row r="166" ht="16" spans="1:12">
      <c r="A166" s="9">
        <v>46359</v>
      </c>
      <c r="B166" s="16">
        <v>700216</v>
      </c>
      <c r="C166" s="12" t="str">
        <f>VLOOKUP(B166,Employee_Master!A:B,2,0)</f>
        <v>Shivam Rani</v>
      </c>
      <c r="D166" s="1" t="s">
        <v>198</v>
      </c>
      <c r="E166" s="1" t="s">
        <v>234</v>
      </c>
      <c r="F166" s="1" t="s">
        <v>234</v>
      </c>
      <c r="H166" s="1">
        <f t="shared" si="19"/>
        <v>10</v>
      </c>
      <c r="I166" s="1">
        <f t="shared" si="21"/>
        <v>0</v>
      </c>
      <c r="J166" s="1">
        <f>IFERROR(VLOOKUP(D166,Event_Master!B:E,4,FALSE),1)</f>
        <v>1.3</v>
      </c>
      <c r="K166" s="1">
        <f t="shared" si="22"/>
        <v>0</v>
      </c>
      <c r="L166" s="1">
        <f t="shared" si="23"/>
        <v>10</v>
      </c>
    </row>
    <row r="167" ht="16" spans="1:12">
      <c r="A167" s="9">
        <v>46359</v>
      </c>
      <c r="B167" s="16">
        <v>434518</v>
      </c>
      <c r="C167" s="12" t="str">
        <f>VLOOKUP(B167,Employee_Master!A:B,2,0)</f>
        <v>Maneesh Mohan</v>
      </c>
      <c r="D167" s="1" t="s">
        <v>198</v>
      </c>
      <c r="E167" s="1" t="s">
        <v>234</v>
      </c>
      <c r="F167" s="1" t="s">
        <v>234</v>
      </c>
      <c r="H167" s="1">
        <f t="shared" si="19"/>
        <v>10</v>
      </c>
      <c r="I167" s="1">
        <f t="shared" si="21"/>
        <v>0</v>
      </c>
      <c r="J167" s="1">
        <f>IFERROR(VLOOKUP(D167,Event_Master!B:E,4,FALSE),1)</f>
        <v>1.3</v>
      </c>
      <c r="K167" s="1">
        <f t="shared" si="22"/>
        <v>0</v>
      </c>
      <c r="L167" s="1">
        <f t="shared" si="23"/>
        <v>10</v>
      </c>
    </row>
    <row r="168" ht="16" spans="1:12">
      <c r="A168" s="9">
        <v>46359</v>
      </c>
      <c r="B168" s="16">
        <v>465255</v>
      </c>
      <c r="C168" s="12" t="str">
        <f>VLOOKUP(B168,Employee_Master!A:B,2,0)</f>
        <v>Mukul Suman</v>
      </c>
      <c r="D168" s="1" t="s">
        <v>198</v>
      </c>
      <c r="E168" s="1" t="s">
        <v>234</v>
      </c>
      <c r="F168" s="1" t="s">
        <v>234</v>
      </c>
      <c r="H168" s="1">
        <f t="shared" si="19"/>
        <v>10</v>
      </c>
      <c r="I168" s="1">
        <f t="shared" si="21"/>
        <v>0</v>
      </c>
      <c r="J168" s="1">
        <f>IFERROR(VLOOKUP(D168,Event_Master!B:E,4,FALSE),1)</f>
        <v>1.3</v>
      </c>
      <c r="K168" s="1">
        <f t="shared" si="22"/>
        <v>0</v>
      </c>
      <c r="L168" s="1">
        <f t="shared" si="23"/>
        <v>10</v>
      </c>
    </row>
    <row r="169" ht="16" spans="1:12">
      <c r="A169" s="9">
        <v>46359</v>
      </c>
      <c r="B169" s="16">
        <v>430977</v>
      </c>
      <c r="C169" s="12" t="str">
        <f>VLOOKUP(B169,Employee_Master!A:B,2,0)</f>
        <v>Akshit Sood</v>
      </c>
      <c r="D169" s="1" t="s">
        <v>198</v>
      </c>
      <c r="E169" s="1" t="s">
        <v>234</v>
      </c>
      <c r="F169" s="1" t="s">
        <v>234</v>
      </c>
      <c r="H169" s="1">
        <f t="shared" si="19"/>
        <v>10</v>
      </c>
      <c r="I169" s="1">
        <f t="shared" si="21"/>
        <v>0</v>
      </c>
      <c r="J169" s="1">
        <f>IFERROR(VLOOKUP(D169,Event_Master!B:E,4,FALSE),1)</f>
        <v>1.3</v>
      </c>
      <c r="K169" s="1">
        <f t="shared" si="22"/>
        <v>0</v>
      </c>
      <c r="L169" s="1">
        <f t="shared" si="23"/>
        <v>10</v>
      </c>
    </row>
    <row r="170" ht="16" spans="1:12">
      <c r="A170" s="9">
        <v>46359</v>
      </c>
      <c r="B170" s="16">
        <v>438679</v>
      </c>
      <c r="C170" s="12" t="str">
        <f>VLOOKUP(B170,Employee_Master!A:B,2,0)</f>
        <v>Saurabh Kumar</v>
      </c>
      <c r="D170" s="1" t="s">
        <v>198</v>
      </c>
      <c r="E170" s="1" t="s">
        <v>234</v>
      </c>
      <c r="F170" s="1" t="s">
        <v>234</v>
      </c>
      <c r="H170" s="1">
        <f t="shared" si="19"/>
        <v>10</v>
      </c>
      <c r="I170" s="1">
        <f t="shared" si="21"/>
        <v>0</v>
      </c>
      <c r="J170" s="1">
        <f>IFERROR(VLOOKUP(D170,Event_Master!B:E,4,FALSE),1)</f>
        <v>1.3</v>
      </c>
      <c r="K170" s="1">
        <f t="shared" si="22"/>
        <v>0</v>
      </c>
      <c r="L170" s="1">
        <f t="shared" si="23"/>
        <v>10</v>
      </c>
    </row>
    <row r="171" ht="16" spans="1:12">
      <c r="A171" s="9">
        <v>46359</v>
      </c>
      <c r="B171" s="16">
        <v>396485</v>
      </c>
      <c r="C171" s="12" t="str">
        <f>VLOOKUP(B171,Employee_Master!A:B,2,0)</f>
        <v>Khushbir Singh</v>
      </c>
      <c r="D171" s="1" t="s">
        <v>198</v>
      </c>
      <c r="E171" s="1" t="s">
        <v>234</v>
      </c>
      <c r="F171" s="1" t="s">
        <v>234</v>
      </c>
      <c r="H171" s="1">
        <f t="shared" si="19"/>
        <v>10</v>
      </c>
      <c r="I171" s="1">
        <f t="shared" si="21"/>
        <v>0</v>
      </c>
      <c r="J171" s="1">
        <f>IFERROR(VLOOKUP(D171,Event_Master!B:E,4,FALSE),1)</f>
        <v>1.3</v>
      </c>
      <c r="K171" s="1">
        <f t="shared" si="22"/>
        <v>0</v>
      </c>
      <c r="L171" s="1">
        <f t="shared" si="23"/>
        <v>10</v>
      </c>
    </row>
    <row r="172" ht="16" spans="1:12">
      <c r="A172" s="9">
        <v>46359</v>
      </c>
      <c r="B172" s="16">
        <v>452058</v>
      </c>
      <c r="C172" s="12" t="str">
        <f>VLOOKUP(B172,Employee_Master!A:B,2,0)</f>
        <v>Bhavya Gupta</v>
      </c>
      <c r="D172" s="1" t="s">
        <v>198</v>
      </c>
      <c r="E172" s="1" t="s">
        <v>234</v>
      </c>
      <c r="F172" s="1" t="s">
        <v>234</v>
      </c>
      <c r="H172" s="1">
        <f t="shared" si="19"/>
        <v>10</v>
      </c>
      <c r="I172" s="1">
        <f t="shared" si="21"/>
        <v>0</v>
      </c>
      <c r="J172" s="1">
        <f>IFERROR(VLOOKUP(D172,Event_Master!B:E,4,FALSE),1)</f>
        <v>1.3</v>
      </c>
      <c r="K172" s="1">
        <f t="shared" si="22"/>
        <v>0</v>
      </c>
      <c r="L172" s="1">
        <f t="shared" si="23"/>
        <v>10</v>
      </c>
    </row>
    <row r="173" ht="16" spans="1:12">
      <c r="A173" s="9">
        <v>46359</v>
      </c>
      <c r="B173" s="16">
        <v>450437</v>
      </c>
      <c r="C173" s="12" t="str">
        <f>VLOOKUP(B173,Employee_Master!A:B,2,0)</f>
        <v>Tinku Shekhawat </v>
      </c>
      <c r="D173" s="1" t="s">
        <v>198</v>
      </c>
      <c r="E173" s="1" t="s">
        <v>234</v>
      </c>
      <c r="F173" s="1" t="s">
        <v>234</v>
      </c>
      <c r="H173" s="1">
        <f t="shared" si="19"/>
        <v>10</v>
      </c>
      <c r="I173" s="1">
        <f t="shared" si="21"/>
        <v>0</v>
      </c>
      <c r="J173" s="1">
        <f>IFERROR(VLOOKUP(D173,Event_Master!B:E,4,FALSE),1)</f>
        <v>1.3</v>
      </c>
      <c r="K173" s="1">
        <f t="shared" si="22"/>
        <v>0</v>
      </c>
      <c r="L173" s="1">
        <f t="shared" si="23"/>
        <v>10</v>
      </c>
    </row>
    <row r="174" ht="16" spans="1:12">
      <c r="A174" s="9">
        <v>46359</v>
      </c>
      <c r="B174" s="16">
        <v>478270</v>
      </c>
      <c r="C174" s="12" t="str">
        <f>VLOOKUP(B174,Employee_Master!A:B,2,0)</f>
        <v>Inzmam Ali </v>
      </c>
      <c r="D174" s="1" t="s">
        <v>198</v>
      </c>
      <c r="E174" s="1" t="s">
        <v>234</v>
      </c>
      <c r="F174" s="1" t="s">
        <v>234</v>
      </c>
      <c r="G174" s="1" t="s">
        <v>221</v>
      </c>
      <c r="H174" s="1">
        <f t="shared" si="19"/>
        <v>10</v>
      </c>
      <c r="I174" s="1">
        <f t="shared" si="21"/>
        <v>50</v>
      </c>
      <c r="J174" s="1">
        <f>IFERROR(VLOOKUP(D174,Event_Master!B:E,4,FALSE),1)</f>
        <v>1.3</v>
      </c>
      <c r="K174" s="1">
        <f t="shared" si="22"/>
        <v>65</v>
      </c>
      <c r="L174" s="1">
        <f t="shared" si="23"/>
        <v>75</v>
      </c>
    </row>
    <row r="175" ht="16" spans="1:12">
      <c r="A175" s="9">
        <v>46359</v>
      </c>
      <c r="B175" s="16">
        <v>449890</v>
      </c>
      <c r="C175" s="12" t="str">
        <f>VLOOKUP(B175,Employee_Master!A:B,2,0)</f>
        <v>Ashish Baghel </v>
      </c>
      <c r="D175" s="1" t="s">
        <v>198</v>
      </c>
      <c r="E175" s="1" t="s">
        <v>234</v>
      </c>
      <c r="F175" s="1" t="s">
        <v>234</v>
      </c>
      <c r="G175" s="1" t="s">
        <v>219</v>
      </c>
      <c r="H175" s="1">
        <f t="shared" si="19"/>
        <v>10</v>
      </c>
      <c r="I175" s="1">
        <f t="shared" si="21"/>
        <v>100</v>
      </c>
      <c r="J175" s="1">
        <f>IFERROR(VLOOKUP(D175,Event_Master!B:E,4,FALSE),1)</f>
        <v>1.3</v>
      </c>
      <c r="K175" s="1">
        <f t="shared" si="22"/>
        <v>130</v>
      </c>
      <c r="L175" s="1">
        <f t="shared" si="23"/>
        <v>140</v>
      </c>
    </row>
    <row r="176" ht="16" spans="1:12">
      <c r="A176" s="9">
        <v>46359</v>
      </c>
      <c r="B176" s="16">
        <v>468456</v>
      </c>
      <c r="C176" s="12" t="str">
        <f>VLOOKUP(B176,Employee_Master!A:B,2,0)</f>
        <v>Ayush Joshi</v>
      </c>
      <c r="D176" s="1" t="s">
        <v>198</v>
      </c>
      <c r="E176" s="1" t="s">
        <v>234</v>
      </c>
      <c r="F176" s="1" t="s">
        <v>234</v>
      </c>
      <c r="H176" s="1">
        <f t="shared" si="19"/>
        <v>10</v>
      </c>
      <c r="I176" s="1">
        <f t="shared" si="21"/>
        <v>0</v>
      </c>
      <c r="J176" s="1">
        <f>IFERROR(VLOOKUP(D176,Event_Master!B:E,4,FALSE),1)</f>
        <v>1.3</v>
      </c>
      <c r="K176" s="1">
        <f t="shared" si="22"/>
        <v>0</v>
      </c>
      <c r="L176" s="1">
        <f t="shared" si="23"/>
        <v>10</v>
      </c>
    </row>
    <row r="177" ht="16" spans="1:12">
      <c r="A177" s="9">
        <v>46359</v>
      </c>
      <c r="B177" s="19">
        <v>452073</v>
      </c>
      <c r="C177" s="12" t="str">
        <f>VLOOKUP(B177,Employee_Master!A:B,2,0)</f>
        <v>Aashish </v>
      </c>
      <c r="D177" s="1" t="s">
        <v>198</v>
      </c>
      <c r="E177" s="1" t="s">
        <v>234</v>
      </c>
      <c r="F177" s="1" t="s">
        <v>234</v>
      </c>
      <c r="H177" s="1">
        <f t="shared" si="19"/>
        <v>10</v>
      </c>
      <c r="I177" s="1">
        <f t="shared" si="21"/>
        <v>0</v>
      </c>
      <c r="J177" s="1">
        <f>IFERROR(VLOOKUP(D177,Event_Master!B:E,4,FALSE),1)</f>
        <v>1.3</v>
      </c>
      <c r="K177" s="1">
        <f t="shared" si="22"/>
        <v>0</v>
      </c>
      <c r="L177" s="1">
        <f t="shared" si="23"/>
        <v>10</v>
      </c>
    </row>
    <row r="178" ht="16" spans="1:12">
      <c r="A178" s="9">
        <v>46359</v>
      </c>
      <c r="B178" s="16">
        <v>706306</v>
      </c>
      <c r="C178" s="12" t="str">
        <f>VLOOKUP(B178,Employee_Master!A:B,2,0)</f>
        <v>Subhashree Nayak</v>
      </c>
      <c r="D178" s="1" t="s">
        <v>198</v>
      </c>
      <c r="E178" s="1" t="s">
        <v>234</v>
      </c>
      <c r="F178" s="1" t="s">
        <v>234</v>
      </c>
      <c r="H178" s="1">
        <f t="shared" si="19"/>
        <v>10</v>
      </c>
      <c r="I178" s="1">
        <f t="shared" si="21"/>
        <v>0</v>
      </c>
      <c r="J178" s="1">
        <f>IFERROR(VLOOKUP(D178,Event_Master!B:E,4,FALSE),1)</f>
        <v>1.3</v>
      </c>
      <c r="K178" s="1">
        <f t="shared" si="22"/>
        <v>0</v>
      </c>
      <c r="L178" s="1">
        <f t="shared" si="23"/>
        <v>10</v>
      </c>
    </row>
    <row r="179" ht="16" spans="1:12">
      <c r="A179" s="9">
        <v>46359</v>
      </c>
      <c r="B179" s="16">
        <v>449551</v>
      </c>
      <c r="C179" s="12" t="str">
        <f>VLOOKUP(B179,Employee_Master!A:B,2,0)</f>
        <v>Ramesh Kumar</v>
      </c>
      <c r="D179" s="1" t="s">
        <v>198</v>
      </c>
      <c r="E179" s="1" t="s">
        <v>234</v>
      </c>
      <c r="F179" s="1" t="s">
        <v>234</v>
      </c>
      <c r="H179" s="1">
        <f t="shared" si="19"/>
        <v>10</v>
      </c>
      <c r="I179" s="1">
        <f t="shared" si="21"/>
        <v>0</v>
      </c>
      <c r="J179" s="1">
        <f>IFERROR(VLOOKUP(D179,Event_Master!B:E,4,FALSE),1)</f>
        <v>1.3</v>
      </c>
      <c r="K179" s="1">
        <f t="shared" si="22"/>
        <v>0</v>
      </c>
      <c r="L179" s="1">
        <f t="shared" si="23"/>
        <v>10</v>
      </c>
    </row>
    <row r="180" ht="16" spans="1:12">
      <c r="A180" s="9">
        <v>46359</v>
      </c>
      <c r="B180" s="16">
        <v>452799</v>
      </c>
      <c r="C180" s="12" t="str">
        <f>VLOOKUP(B180,Employee_Master!A:B,2,0)</f>
        <v>Manish Kukreti</v>
      </c>
      <c r="D180" s="1" t="s">
        <v>198</v>
      </c>
      <c r="E180" s="1" t="s">
        <v>234</v>
      </c>
      <c r="F180" s="1" t="s">
        <v>234</v>
      </c>
      <c r="H180" s="1">
        <f t="shared" ref="H180:H243" si="24">IF(F180="Yes",10,0)</f>
        <v>10</v>
      </c>
      <c r="I180" s="1">
        <f t="shared" si="21"/>
        <v>0</v>
      </c>
      <c r="J180" s="1">
        <f>IFERROR(VLOOKUP(D180,Event_Master!B:E,4,FALSE),1)</f>
        <v>1.3</v>
      </c>
      <c r="K180" s="1">
        <f t="shared" si="22"/>
        <v>0</v>
      </c>
      <c r="L180" s="1">
        <f t="shared" si="23"/>
        <v>10</v>
      </c>
    </row>
    <row r="181" ht="16" spans="1:12">
      <c r="A181" s="9">
        <v>46359</v>
      </c>
      <c r="B181" s="16">
        <v>453949</v>
      </c>
      <c r="C181" s="12" t="str">
        <f>VLOOKUP(B181,Employee_Master!A:B,2,0)</f>
        <v>Naveen Kumar</v>
      </c>
      <c r="D181" s="1" t="s">
        <v>198</v>
      </c>
      <c r="E181" s="1" t="s">
        <v>234</v>
      </c>
      <c r="F181" s="1" t="s">
        <v>234</v>
      </c>
      <c r="H181" s="1">
        <f t="shared" si="24"/>
        <v>10</v>
      </c>
      <c r="I181" s="1">
        <f t="shared" si="21"/>
        <v>0</v>
      </c>
      <c r="J181" s="1">
        <f>IFERROR(VLOOKUP(D181,Event_Master!B:E,4,FALSE),1)</f>
        <v>1.3</v>
      </c>
      <c r="K181" s="1">
        <f t="shared" si="22"/>
        <v>0</v>
      </c>
      <c r="L181" s="1">
        <f t="shared" si="23"/>
        <v>10</v>
      </c>
    </row>
    <row r="182" ht="16" spans="1:12">
      <c r="A182" s="9">
        <v>46359</v>
      </c>
      <c r="B182" s="16">
        <v>436468</v>
      </c>
      <c r="C182" s="12" t="str">
        <f>VLOOKUP(B182,Employee_Master!A:B,2,0)</f>
        <v>Karan Singh</v>
      </c>
      <c r="D182" s="1" t="s">
        <v>198</v>
      </c>
      <c r="E182" s="1" t="s">
        <v>234</v>
      </c>
      <c r="F182" s="1" t="s">
        <v>234</v>
      </c>
      <c r="H182" s="1">
        <f t="shared" si="24"/>
        <v>10</v>
      </c>
      <c r="I182" s="1">
        <f t="shared" si="21"/>
        <v>0</v>
      </c>
      <c r="J182" s="1">
        <f>IFERROR(VLOOKUP(D182,Event_Master!B:E,4,FALSE),1)</f>
        <v>1.3</v>
      </c>
      <c r="K182" s="1">
        <f t="shared" si="22"/>
        <v>0</v>
      </c>
      <c r="L182" s="1">
        <f t="shared" si="23"/>
        <v>10</v>
      </c>
    </row>
    <row r="183" ht="16" spans="1:12">
      <c r="A183" s="9">
        <v>46359</v>
      </c>
      <c r="B183" s="16">
        <v>458702</v>
      </c>
      <c r="C183" s="12" t="str">
        <f>VLOOKUP(B183,Employee_Master!A:B,2,0)</f>
        <v>Jasbeer Singh</v>
      </c>
      <c r="D183" s="1" t="s">
        <v>198</v>
      </c>
      <c r="E183" s="1" t="s">
        <v>234</v>
      </c>
      <c r="F183" s="1" t="s">
        <v>234</v>
      </c>
      <c r="H183" s="1">
        <f t="shared" si="24"/>
        <v>10</v>
      </c>
      <c r="I183" s="1">
        <f t="shared" si="21"/>
        <v>0</v>
      </c>
      <c r="J183" s="1">
        <f>IFERROR(VLOOKUP(D183,Event_Master!B:E,4,FALSE),1)</f>
        <v>1.3</v>
      </c>
      <c r="K183" s="1">
        <f t="shared" si="22"/>
        <v>0</v>
      </c>
      <c r="L183" s="1">
        <f t="shared" si="23"/>
        <v>10</v>
      </c>
    </row>
    <row r="184" ht="16" spans="1:12">
      <c r="A184" s="9">
        <v>46359</v>
      </c>
      <c r="B184" s="16">
        <v>486309</v>
      </c>
      <c r="C184" s="12" t="str">
        <f>VLOOKUP(B184,Employee_Master!A:B,2,0)</f>
        <v>Ankit Bhatt</v>
      </c>
      <c r="D184" s="1" t="s">
        <v>198</v>
      </c>
      <c r="E184" s="1" t="s">
        <v>234</v>
      </c>
      <c r="F184" s="1" t="s">
        <v>234</v>
      </c>
      <c r="H184" s="1">
        <f t="shared" si="24"/>
        <v>10</v>
      </c>
      <c r="I184" s="1">
        <f t="shared" si="21"/>
        <v>0</v>
      </c>
      <c r="J184" s="1">
        <f>IFERROR(VLOOKUP(D184,Event_Master!B:E,4,FALSE),1)</f>
        <v>1.3</v>
      </c>
      <c r="K184" s="1">
        <f t="shared" si="22"/>
        <v>0</v>
      </c>
      <c r="L184" s="1">
        <f t="shared" ref="L184:L218" si="25">K184+H184</f>
        <v>10</v>
      </c>
    </row>
    <row r="185" ht="16" spans="1:12">
      <c r="A185" s="9">
        <v>46359</v>
      </c>
      <c r="B185" s="16">
        <v>452075</v>
      </c>
      <c r="C185" s="12" t="str">
        <f>VLOOKUP(B185,Employee_Master!A:B,2,0)</f>
        <v>Mansi Yadav</v>
      </c>
      <c r="D185" s="1" t="s">
        <v>198</v>
      </c>
      <c r="E185" s="1" t="s">
        <v>234</v>
      </c>
      <c r="F185" s="1" t="s">
        <v>234</v>
      </c>
      <c r="H185" s="1">
        <f t="shared" si="24"/>
        <v>10</v>
      </c>
      <c r="I185" s="1">
        <f t="shared" si="21"/>
        <v>0</v>
      </c>
      <c r="J185" s="1">
        <f>IFERROR(VLOOKUP(D185,Event_Master!B:E,4,FALSE),1)</f>
        <v>1.3</v>
      </c>
      <c r="K185" s="1">
        <f t="shared" si="22"/>
        <v>0</v>
      </c>
      <c r="L185" s="1">
        <f t="shared" si="25"/>
        <v>10</v>
      </c>
    </row>
    <row r="186" ht="16" spans="1:12">
      <c r="A186" s="9">
        <v>46359</v>
      </c>
      <c r="B186" s="16">
        <v>452056</v>
      </c>
      <c r="C186" s="12" t="str">
        <f>VLOOKUP(B186,Employee_Master!A:B,2,0)</f>
        <v>Rupesh Thakur</v>
      </c>
      <c r="D186" s="1" t="s">
        <v>198</v>
      </c>
      <c r="E186" s="1" t="s">
        <v>234</v>
      </c>
      <c r="F186" s="1" t="s">
        <v>234</v>
      </c>
      <c r="H186" s="1">
        <f t="shared" si="24"/>
        <v>10</v>
      </c>
      <c r="I186" s="1">
        <f t="shared" si="21"/>
        <v>0</v>
      </c>
      <c r="J186" s="1">
        <f>IFERROR(VLOOKUP(D186,Event_Master!B:E,4,FALSE),1)</f>
        <v>1.3</v>
      </c>
      <c r="K186" s="1">
        <f t="shared" si="22"/>
        <v>0</v>
      </c>
      <c r="L186" s="1">
        <f t="shared" si="25"/>
        <v>10</v>
      </c>
    </row>
    <row r="187" ht="16" spans="1:12">
      <c r="A187" s="9">
        <v>46359</v>
      </c>
      <c r="B187" s="16">
        <v>456091</v>
      </c>
      <c r="C187" s="12" t="str">
        <f>VLOOKUP(B187,Employee_Master!A:B,2,0)</f>
        <v>Abhinesh Pandey</v>
      </c>
      <c r="D187" s="1" t="s">
        <v>198</v>
      </c>
      <c r="E187" s="1" t="s">
        <v>234</v>
      </c>
      <c r="F187" s="1" t="s">
        <v>234</v>
      </c>
      <c r="G187" s="1" t="s">
        <v>220</v>
      </c>
      <c r="H187" s="1">
        <f t="shared" si="24"/>
        <v>10</v>
      </c>
      <c r="I187" s="1">
        <f t="shared" si="21"/>
        <v>70</v>
      </c>
      <c r="J187" s="1">
        <f>IFERROR(VLOOKUP(D187,Event_Master!B:E,4,FALSE),1)</f>
        <v>1.3</v>
      </c>
      <c r="K187" s="1">
        <f t="shared" si="22"/>
        <v>91</v>
      </c>
      <c r="L187" s="1">
        <f t="shared" si="25"/>
        <v>101</v>
      </c>
    </row>
    <row r="188" ht="16" spans="1:12">
      <c r="A188" s="9">
        <v>46359</v>
      </c>
      <c r="B188" s="16">
        <v>466167</v>
      </c>
      <c r="C188" s="12" t="str">
        <f>VLOOKUP(B188,Employee_Master!A:B,2,0)</f>
        <v>Aishwarya Sharma</v>
      </c>
      <c r="D188" s="1" t="s">
        <v>198</v>
      </c>
      <c r="E188" s="1" t="s">
        <v>234</v>
      </c>
      <c r="F188" s="1" t="s">
        <v>234</v>
      </c>
      <c r="H188" s="1">
        <f t="shared" si="24"/>
        <v>10</v>
      </c>
      <c r="I188" s="1">
        <f t="shared" si="21"/>
        <v>0</v>
      </c>
      <c r="J188" s="1">
        <f>IFERROR(VLOOKUP(D188,Event_Master!B:E,4,FALSE),1)</f>
        <v>1.3</v>
      </c>
      <c r="K188" s="1">
        <f t="shared" si="22"/>
        <v>0</v>
      </c>
      <c r="L188" s="1">
        <f t="shared" si="25"/>
        <v>10</v>
      </c>
    </row>
    <row r="189" ht="16" spans="1:12">
      <c r="A189" s="9">
        <v>46359</v>
      </c>
      <c r="B189" s="16">
        <v>464500</v>
      </c>
      <c r="C189" s="12" t="str">
        <f>VLOOKUP(B189,Employee_Master!A:B,2,0)</f>
        <v>Dalip Sharma</v>
      </c>
      <c r="D189" s="1" t="s">
        <v>198</v>
      </c>
      <c r="E189" s="1" t="s">
        <v>234</v>
      </c>
      <c r="F189" s="1" t="s">
        <v>234</v>
      </c>
      <c r="H189" s="1">
        <f t="shared" si="24"/>
        <v>10</v>
      </c>
      <c r="I189" s="1">
        <f t="shared" si="21"/>
        <v>0</v>
      </c>
      <c r="J189" s="1">
        <f>IFERROR(VLOOKUP(D189,Event_Master!B:E,4,FALSE),1)</f>
        <v>1.3</v>
      </c>
      <c r="K189" s="1">
        <f t="shared" si="22"/>
        <v>0</v>
      </c>
      <c r="L189" s="1">
        <f t="shared" si="25"/>
        <v>10</v>
      </c>
    </row>
    <row r="190" ht="16" spans="1:12">
      <c r="A190" s="9">
        <v>46359</v>
      </c>
      <c r="B190" s="16">
        <v>478308</v>
      </c>
      <c r="C190" s="12" t="str">
        <f>VLOOKUP(B190,Employee_Master!A:B,2,0)</f>
        <v>Abhishek savita </v>
      </c>
      <c r="D190" s="1" t="s">
        <v>198</v>
      </c>
      <c r="E190" s="1" t="s">
        <v>234</v>
      </c>
      <c r="F190" s="1" t="s">
        <v>234</v>
      </c>
      <c r="H190" s="1">
        <f t="shared" si="24"/>
        <v>10</v>
      </c>
      <c r="I190" s="1">
        <f t="shared" si="21"/>
        <v>0</v>
      </c>
      <c r="J190" s="1">
        <f>IFERROR(VLOOKUP(D190,Event_Master!B:E,4,FALSE),1)</f>
        <v>1.3</v>
      </c>
      <c r="K190" s="1">
        <f t="shared" si="22"/>
        <v>0</v>
      </c>
      <c r="L190" s="1">
        <f t="shared" si="25"/>
        <v>10</v>
      </c>
    </row>
    <row r="191" ht="16" spans="1:12">
      <c r="A191" s="9">
        <v>46359</v>
      </c>
      <c r="B191" s="16">
        <v>427154</v>
      </c>
      <c r="C191" s="12" t="str">
        <f>VLOOKUP(B191,Employee_Master!A:B,2,0)</f>
        <v>Rohan Mehra</v>
      </c>
      <c r="D191" s="1" t="s">
        <v>198</v>
      </c>
      <c r="E191" s="1" t="s">
        <v>234</v>
      </c>
      <c r="F191" s="1" t="s">
        <v>234</v>
      </c>
      <c r="H191" s="1">
        <f t="shared" si="24"/>
        <v>10</v>
      </c>
      <c r="I191" s="1">
        <f t="shared" si="21"/>
        <v>0</v>
      </c>
      <c r="J191" s="1">
        <f>IFERROR(VLOOKUP(D191,Event_Master!B:E,4,FALSE),1)</f>
        <v>1.3</v>
      </c>
      <c r="K191" s="1">
        <f t="shared" si="22"/>
        <v>0</v>
      </c>
      <c r="L191" s="1">
        <f t="shared" si="25"/>
        <v>10</v>
      </c>
    </row>
    <row r="192" ht="16" spans="1:12">
      <c r="A192" s="9">
        <v>46359</v>
      </c>
      <c r="B192" s="16">
        <v>410040</v>
      </c>
      <c r="C192" s="12" t="str">
        <f>VLOOKUP(B192,Employee_Master!A:B,2,0)</f>
        <v>Deepak Singh</v>
      </c>
      <c r="D192" s="1" t="s">
        <v>198</v>
      </c>
      <c r="E192" s="1" t="s">
        <v>234</v>
      </c>
      <c r="F192" s="1" t="s">
        <v>234</v>
      </c>
      <c r="H192" s="1">
        <f t="shared" si="24"/>
        <v>10</v>
      </c>
      <c r="I192" s="1">
        <f t="shared" si="21"/>
        <v>0</v>
      </c>
      <c r="J192" s="1">
        <f>IFERROR(VLOOKUP(D192,Event_Master!B:E,4,FALSE),1)</f>
        <v>1.3</v>
      </c>
      <c r="K192" s="1">
        <f t="shared" si="22"/>
        <v>0</v>
      </c>
      <c r="L192" s="1">
        <f t="shared" si="25"/>
        <v>10</v>
      </c>
    </row>
    <row r="193" ht="16" spans="1:12">
      <c r="A193" s="9">
        <v>46359</v>
      </c>
      <c r="B193" s="16">
        <v>423859</v>
      </c>
      <c r="C193" s="12" t="str">
        <f>VLOOKUP(B193,Employee_Master!A:B,2,0)</f>
        <v>Tilak Raj</v>
      </c>
      <c r="D193" s="1" t="s">
        <v>198</v>
      </c>
      <c r="E193" s="1" t="s">
        <v>234</v>
      </c>
      <c r="F193" s="1" t="s">
        <v>234</v>
      </c>
      <c r="H193" s="1">
        <f t="shared" si="24"/>
        <v>10</v>
      </c>
      <c r="I193" s="1">
        <f t="shared" si="21"/>
        <v>0</v>
      </c>
      <c r="J193" s="1">
        <f>IFERROR(VLOOKUP(D193,Event_Master!B:E,4,FALSE),1)</f>
        <v>1.3</v>
      </c>
      <c r="K193" s="1">
        <f t="shared" si="22"/>
        <v>0</v>
      </c>
      <c r="L193" s="1">
        <f t="shared" si="25"/>
        <v>10</v>
      </c>
    </row>
    <row r="194" ht="16" spans="1:12">
      <c r="A194" s="9">
        <v>46359</v>
      </c>
      <c r="B194" s="16">
        <v>712428</v>
      </c>
      <c r="C194" s="12" t="str">
        <f>VLOOKUP(B194,Employee_Master!A:B,2,0)</f>
        <v>Akanksha Gangwar</v>
      </c>
      <c r="D194" s="1" t="s">
        <v>198</v>
      </c>
      <c r="E194" s="1" t="s">
        <v>234</v>
      </c>
      <c r="F194" s="1" t="s">
        <v>234</v>
      </c>
      <c r="H194" s="1">
        <f t="shared" si="24"/>
        <v>10</v>
      </c>
      <c r="I194" s="1">
        <f t="shared" si="21"/>
        <v>0</v>
      </c>
      <c r="J194" s="1">
        <f>IFERROR(VLOOKUP(D194,Event_Master!B:E,4,FALSE),1)</f>
        <v>1.3</v>
      </c>
      <c r="K194" s="1">
        <f t="shared" si="22"/>
        <v>0</v>
      </c>
      <c r="L194" s="1">
        <f t="shared" si="25"/>
        <v>10</v>
      </c>
    </row>
    <row r="195" ht="16" spans="1:12">
      <c r="A195" s="9">
        <v>46359</v>
      </c>
      <c r="B195" s="16">
        <v>465254</v>
      </c>
      <c r="C195" s="12" t="str">
        <f>VLOOKUP(B195,Employee_Master!A:B,2,0)</f>
        <v>Narender Kumar</v>
      </c>
      <c r="D195" s="1" t="s">
        <v>198</v>
      </c>
      <c r="E195" s="1" t="s">
        <v>234</v>
      </c>
      <c r="F195" s="1" t="s">
        <v>234</v>
      </c>
      <c r="H195" s="1">
        <f t="shared" si="24"/>
        <v>10</v>
      </c>
      <c r="I195" s="1">
        <f t="shared" si="21"/>
        <v>0</v>
      </c>
      <c r="J195" s="1">
        <f>IFERROR(VLOOKUP(D195,Event_Master!B:E,4,FALSE),1)</f>
        <v>1.3</v>
      </c>
      <c r="K195" s="1">
        <f t="shared" si="22"/>
        <v>0</v>
      </c>
      <c r="L195" s="1">
        <f t="shared" si="25"/>
        <v>10</v>
      </c>
    </row>
    <row r="196" ht="16" spans="1:12">
      <c r="A196" s="9">
        <v>46359</v>
      </c>
      <c r="B196" s="16">
        <v>464500</v>
      </c>
      <c r="C196" s="12" t="str">
        <f>VLOOKUP(B196,Employee_Master!A:B,2,0)</f>
        <v>Dalip Sharma</v>
      </c>
      <c r="D196" s="1" t="s">
        <v>208</v>
      </c>
      <c r="E196" s="1" t="s">
        <v>234</v>
      </c>
      <c r="F196" s="1" t="s">
        <v>234</v>
      </c>
      <c r="H196" s="1">
        <f t="shared" si="24"/>
        <v>10</v>
      </c>
      <c r="I196" s="1">
        <f t="shared" si="21"/>
        <v>0</v>
      </c>
      <c r="J196" s="1">
        <f>IFERROR(VLOOKUP(D196,Event_Master!B:E,4,FALSE),1)</f>
        <v>1.5</v>
      </c>
      <c r="K196" s="1">
        <f t="shared" si="22"/>
        <v>0</v>
      </c>
      <c r="L196" s="1">
        <f t="shared" si="25"/>
        <v>10</v>
      </c>
    </row>
    <row r="197" ht="16" spans="1:12">
      <c r="A197" s="9">
        <v>46359</v>
      </c>
      <c r="B197" s="16">
        <v>448882</v>
      </c>
      <c r="C197" s="12" t="str">
        <f>VLOOKUP(B197,Employee_Master!A:B,2,0)</f>
        <v>Gurwinder Singh</v>
      </c>
      <c r="D197" s="1" t="s">
        <v>208</v>
      </c>
      <c r="E197" s="1" t="s">
        <v>234</v>
      </c>
      <c r="F197" s="1" t="s">
        <v>234</v>
      </c>
      <c r="G197" s="1" t="s">
        <v>220</v>
      </c>
      <c r="H197" s="1">
        <f t="shared" si="24"/>
        <v>10</v>
      </c>
      <c r="I197" s="1">
        <f t="shared" si="21"/>
        <v>70</v>
      </c>
      <c r="J197" s="1">
        <f>IFERROR(VLOOKUP(D197,Event_Master!B:E,4,FALSE),1)</f>
        <v>1.5</v>
      </c>
      <c r="K197" s="1">
        <f t="shared" si="22"/>
        <v>105</v>
      </c>
      <c r="L197" s="1">
        <f t="shared" si="25"/>
        <v>115</v>
      </c>
    </row>
    <row r="198" ht="16" spans="1:12">
      <c r="A198" s="9">
        <v>46359</v>
      </c>
      <c r="B198" s="16">
        <v>464188</v>
      </c>
      <c r="C198" s="12" t="str">
        <f>VLOOKUP(B198,Employee_Master!A:B,2,0)</f>
        <v>Himanshu Saini</v>
      </c>
      <c r="D198" s="1" t="s">
        <v>208</v>
      </c>
      <c r="E198" s="1" t="s">
        <v>234</v>
      </c>
      <c r="F198" s="1" t="s">
        <v>234</v>
      </c>
      <c r="G198" s="1" t="s">
        <v>219</v>
      </c>
      <c r="H198" s="1">
        <f t="shared" si="24"/>
        <v>10</v>
      </c>
      <c r="I198" s="1">
        <f t="shared" si="21"/>
        <v>100</v>
      </c>
      <c r="J198" s="1">
        <f>IFERROR(VLOOKUP(D198,Event_Master!B:E,4,FALSE),1)</f>
        <v>1.5</v>
      </c>
      <c r="K198" s="1">
        <f t="shared" si="22"/>
        <v>150</v>
      </c>
      <c r="L198" s="1">
        <f t="shared" si="25"/>
        <v>160</v>
      </c>
    </row>
    <row r="199" ht="16" spans="1:12">
      <c r="A199" s="9">
        <v>46359</v>
      </c>
      <c r="B199" s="16">
        <v>424332</v>
      </c>
      <c r="C199" s="12" t="str">
        <f>VLOOKUP(B199,Employee_Master!A:B,2,0)</f>
        <v>Naresh Kumar</v>
      </c>
      <c r="D199" s="1" t="s">
        <v>208</v>
      </c>
      <c r="E199" s="1" t="s">
        <v>234</v>
      </c>
      <c r="F199" s="1" t="s">
        <v>234</v>
      </c>
      <c r="H199" s="1">
        <f t="shared" si="24"/>
        <v>10</v>
      </c>
      <c r="I199" s="1">
        <f t="shared" si="21"/>
        <v>0</v>
      </c>
      <c r="J199" s="1">
        <f>IFERROR(VLOOKUP(D199,Event_Master!B:E,4,FALSE),1)</f>
        <v>1.5</v>
      </c>
      <c r="K199" s="1">
        <f t="shared" si="22"/>
        <v>0</v>
      </c>
      <c r="L199" s="1">
        <f t="shared" si="25"/>
        <v>10</v>
      </c>
    </row>
    <row r="200" ht="16" spans="1:12">
      <c r="A200" s="9">
        <v>46359</v>
      </c>
      <c r="B200" s="16">
        <v>410040</v>
      </c>
      <c r="C200" s="12" t="str">
        <f>VLOOKUP(B200,Employee_Master!A:B,2,0)</f>
        <v>Deepak Singh</v>
      </c>
      <c r="D200" s="1" t="s">
        <v>208</v>
      </c>
      <c r="E200" s="1" t="s">
        <v>234</v>
      </c>
      <c r="F200" s="1" t="s">
        <v>234</v>
      </c>
      <c r="H200" s="1">
        <f t="shared" si="24"/>
        <v>10</v>
      </c>
      <c r="I200" s="1">
        <f t="shared" si="21"/>
        <v>0</v>
      </c>
      <c r="J200" s="1">
        <f>IFERROR(VLOOKUP(D200,Event_Master!B:E,4,FALSE),1)</f>
        <v>1.5</v>
      </c>
      <c r="K200" s="1">
        <f t="shared" si="22"/>
        <v>0</v>
      </c>
      <c r="L200" s="1">
        <f t="shared" si="25"/>
        <v>10</v>
      </c>
    </row>
    <row r="201" ht="16" spans="1:12">
      <c r="A201" s="9">
        <v>46359</v>
      </c>
      <c r="B201" s="16">
        <v>432865</v>
      </c>
      <c r="C201" s="12" t="str">
        <f>VLOOKUP(B201,Employee_Master!A:B,2,0)</f>
        <v>Rupesh Gandhi</v>
      </c>
      <c r="D201" s="1" t="s">
        <v>208</v>
      </c>
      <c r="E201" s="1" t="s">
        <v>234</v>
      </c>
      <c r="F201" s="1" t="s">
        <v>234</v>
      </c>
      <c r="H201" s="1">
        <f t="shared" si="24"/>
        <v>10</v>
      </c>
      <c r="I201" s="1">
        <f t="shared" si="21"/>
        <v>0</v>
      </c>
      <c r="J201" s="1">
        <f>IFERROR(VLOOKUP(D201,Event_Master!B:E,4,FALSE),1)</f>
        <v>1.5</v>
      </c>
      <c r="K201" s="1">
        <f t="shared" si="22"/>
        <v>0</v>
      </c>
      <c r="L201" s="1">
        <f t="shared" si="25"/>
        <v>10</v>
      </c>
    </row>
    <row r="202" ht="16" spans="1:12">
      <c r="A202" s="9">
        <v>46359</v>
      </c>
      <c r="B202" s="16">
        <v>430977</v>
      </c>
      <c r="C202" s="12" t="str">
        <f>VLOOKUP(B202,Employee_Master!A:B,2,0)</f>
        <v>Akshit Sood</v>
      </c>
      <c r="D202" s="1" t="s">
        <v>208</v>
      </c>
      <c r="E202" s="1" t="s">
        <v>234</v>
      </c>
      <c r="F202" s="1" t="s">
        <v>234</v>
      </c>
      <c r="H202" s="1">
        <f t="shared" si="24"/>
        <v>10</v>
      </c>
      <c r="I202" s="1">
        <f t="shared" si="21"/>
        <v>0</v>
      </c>
      <c r="J202" s="1">
        <f>IFERROR(VLOOKUP(D202,Event_Master!B:E,4,FALSE),1)</f>
        <v>1.5</v>
      </c>
      <c r="K202" s="1">
        <f t="shared" si="22"/>
        <v>0</v>
      </c>
      <c r="L202" s="1">
        <f t="shared" si="25"/>
        <v>10</v>
      </c>
    </row>
    <row r="203" ht="16" spans="1:12">
      <c r="A203" s="9">
        <v>46359</v>
      </c>
      <c r="B203" s="16">
        <v>478270</v>
      </c>
      <c r="C203" s="12" t="str">
        <f>VLOOKUP(B203,Employee_Master!A:B,2,0)</f>
        <v>Inzmam Ali </v>
      </c>
      <c r="D203" s="1" t="s">
        <v>208</v>
      </c>
      <c r="E203" s="1" t="s">
        <v>234</v>
      </c>
      <c r="F203" s="1" t="s">
        <v>234</v>
      </c>
      <c r="G203" s="1" t="s">
        <v>220</v>
      </c>
      <c r="H203" s="1">
        <f t="shared" si="24"/>
        <v>10</v>
      </c>
      <c r="I203" s="1">
        <f t="shared" si="21"/>
        <v>70</v>
      </c>
      <c r="J203" s="1">
        <f>IFERROR(VLOOKUP(D203,Event_Master!B:E,4,FALSE),1)</f>
        <v>1.5</v>
      </c>
      <c r="K203" s="1">
        <f t="shared" si="22"/>
        <v>105</v>
      </c>
      <c r="L203" s="1">
        <f t="shared" si="25"/>
        <v>115</v>
      </c>
    </row>
    <row r="204" ht="16" spans="1:12">
      <c r="A204" s="9">
        <v>46359</v>
      </c>
      <c r="B204" s="16">
        <v>440620</v>
      </c>
      <c r="C204" s="12" t="str">
        <f>VLOOKUP(B204,Employee_Master!A:B,2,0)</f>
        <v>Kuldeep Singh</v>
      </c>
      <c r="D204" s="1" t="s">
        <v>208</v>
      </c>
      <c r="E204" s="1" t="s">
        <v>234</v>
      </c>
      <c r="F204" s="1" t="s">
        <v>234</v>
      </c>
      <c r="G204" s="1" t="s">
        <v>219</v>
      </c>
      <c r="H204" s="1">
        <f t="shared" si="24"/>
        <v>10</v>
      </c>
      <c r="I204" s="1">
        <f t="shared" si="21"/>
        <v>100</v>
      </c>
      <c r="J204" s="1">
        <f>IFERROR(VLOOKUP(D204,Event_Master!B:E,4,FALSE),1)</f>
        <v>1.5</v>
      </c>
      <c r="K204" s="1">
        <f t="shared" si="22"/>
        <v>150</v>
      </c>
      <c r="L204" s="1">
        <f t="shared" si="25"/>
        <v>160</v>
      </c>
    </row>
    <row r="205" ht="16" spans="1:12">
      <c r="A205" s="9">
        <v>46359</v>
      </c>
      <c r="B205" s="16">
        <v>463660</v>
      </c>
      <c r="C205" s="12" t="str">
        <f>VLOOKUP(B205,Employee_Master!A:B,2,0)</f>
        <v>Rohit Sharma</v>
      </c>
      <c r="D205" s="1" t="s">
        <v>208</v>
      </c>
      <c r="E205" s="1" t="s">
        <v>234</v>
      </c>
      <c r="F205" s="1" t="s">
        <v>234</v>
      </c>
      <c r="H205" s="1">
        <f t="shared" si="24"/>
        <v>10</v>
      </c>
      <c r="I205" s="1">
        <f t="shared" si="21"/>
        <v>0</v>
      </c>
      <c r="J205" s="1">
        <f>IFERROR(VLOOKUP(D205,Event_Master!B:E,4,FALSE),1)</f>
        <v>1.5</v>
      </c>
      <c r="K205" s="1">
        <f t="shared" si="22"/>
        <v>0</v>
      </c>
      <c r="L205" s="1">
        <f t="shared" si="25"/>
        <v>10</v>
      </c>
    </row>
    <row r="206" ht="16" spans="1:12">
      <c r="A206" s="9">
        <v>46359</v>
      </c>
      <c r="B206" s="16">
        <v>416828</v>
      </c>
      <c r="C206" s="12" t="str">
        <f>VLOOKUP(B206,Employee_Master!A:B,2,0)</f>
        <v>Keshav Dev</v>
      </c>
      <c r="D206" s="1" t="s">
        <v>208</v>
      </c>
      <c r="E206" s="1" t="s">
        <v>234</v>
      </c>
      <c r="F206" s="1" t="s">
        <v>234</v>
      </c>
      <c r="H206" s="1">
        <f t="shared" si="24"/>
        <v>10</v>
      </c>
      <c r="I206" s="1">
        <f t="shared" si="21"/>
        <v>0</v>
      </c>
      <c r="J206" s="1">
        <f>IFERROR(VLOOKUP(D206,Event_Master!B:E,4,FALSE),1)</f>
        <v>1.5</v>
      </c>
      <c r="K206" s="1">
        <f t="shared" si="22"/>
        <v>0</v>
      </c>
      <c r="L206" s="1">
        <f t="shared" si="25"/>
        <v>10</v>
      </c>
    </row>
    <row r="207" ht="16" spans="1:12">
      <c r="A207" s="9">
        <v>46359</v>
      </c>
      <c r="B207" s="16">
        <v>427154</v>
      </c>
      <c r="C207" s="12" t="str">
        <f>VLOOKUP(B207,Employee_Master!A:B,2,0)</f>
        <v>Rohan Mehra</v>
      </c>
      <c r="D207" s="1" t="s">
        <v>208</v>
      </c>
      <c r="E207" s="1" t="s">
        <v>234</v>
      </c>
      <c r="F207" s="1" t="s">
        <v>234</v>
      </c>
      <c r="H207" s="1">
        <f t="shared" si="24"/>
        <v>10</v>
      </c>
      <c r="I207" s="1">
        <f t="shared" si="21"/>
        <v>0</v>
      </c>
      <c r="J207" s="1">
        <f>IFERROR(VLOOKUP(D207,Event_Master!B:E,4,FALSE),1)</f>
        <v>1.5</v>
      </c>
      <c r="K207" s="1">
        <f t="shared" si="22"/>
        <v>0</v>
      </c>
      <c r="L207" s="1">
        <f t="shared" si="25"/>
        <v>10</v>
      </c>
    </row>
    <row r="208" ht="16" spans="1:12">
      <c r="A208" s="9">
        <v>46359</v>
      </c>
      <c r="B208" s="16">
        <v>447836</v>
      </c>
      <c r="C208" s="12" t="str">
        <f>VLOOKUP(B208,Employee_Master!A:B,2,0)</f>
        <v>Rakesh S</v>
      </c>
      <c r="D208" s="1" t="s">
        <v>208</v>
      </c>
      <c r="E208" s="1" t="s">
        <v>234</v>
      </c>
      <c r="F208" s="1" t="s">
        <v>234</v>
      </c>
      <c r="G208" s="1" t="s">
        <v>220</v>
      </c>
      <c r="H208" s="1">
        <f t="shared" si="24"/>
        <v>10</v>
      </c>
      <c r="I208" s="1">
        <f t="shared" si="21"/>
        <v>70</v>
      </c>
      <c r="J208" s="1">
        <f>IFERROR(VLOOKUP(D208,Event_Master!B:E,4,FALSE),1)</f>
        <v>1.5</v>
      </c>
      <c r="K208" s="1">
        <f t="shared" si="22"/>
        <v>105</v>
      </c>
      <c r="L208" s="1">
        <f t="shared" si="25"/>
        <v>115</v>
      </c>
    </row>
    <row r="209" ht="16" spans="1:12">
      <c r="A209" s="9">
        <v>46359</v>
      </c>
      <c r="B209" s="16">
        <v>451509</v>
      </c>
      <c r="C209" s="12" t="str">
        <f>VLOOKUP(B209,Employee_Master!A:B,2,0)</f>
        <v>Vivek Aswal</v>
      </c>
      <c r="D209" s="1" t="s">
        <v>208</v>
      </c>
      <c r="E209" s="1" t="s">
        <v>234</v>
      </c>
      <c r="F209" s="1" t="s">
        <v>234</v>
      </c>
      <c r="H209" s="1">
        <f t="shared" si="24"/>
        <v>10</v>
      </c>
      <c r="I209" s="1">
        <f t="shared" si="21"/>
        <v>0</v>
      </c>
      <c r="J209" s="1">
        <f>IFERROR(VLOOKUP(D209,Event_Master!B:E,4,FALSE),1)</f>
        <v>1.5</v>
      </c>
      <c r="K209" s="1">
        <f t="shared" si="22"/>
        <v>0</v>
      </c>
      <c r="L209" s="1">
        <f t="shared" si="25"/>
        <v>10</v>
      </c>
    </row>
    <row r="210" ht="16" spans="1:12">
      <c r="A210" s="9">
        <v>46359</v>
      </c>
      <c r="B210" s="16">
        <v>451513</v>
      </c>
      <c r="C210" s="12" t="str">
        <f>VLOOKUP(B210,Employee_Master!A:B,2,0)</f>
        <v>Nishith Soni</v>
      </c>
      <c r="D210" s="1" t="s">
        <v>208</v>
      </c>
      <c r="E210" s="1" t="s">
        <v>234</v>
      </c>
      <c r="F210" s="1" t="s">
        <v>234</v>
      </c>
      <c r="H210" s="1">
        <f t="shared" si="24"/>
        <v>10</v>
      </c>
      <c r="I210" s="1">
        <f t="shared" si="21"/>
        <v>0</v>
      </c>
      <c r="J210" s="1">
        <f>IFERROR(VLOOKUP(D210,Event_Master!B:E,4,FALSE),1)</f>
        <v>1.5</v>
      </c>
      <c r="K210" s="1">
        <f t="shared" si="22"/>
        <v>0</v>
      </c>
      <c r="L210" s="1">
        <f t="shared" si="25"/>
        <v>10</v>
      </c>
    </row>
    <row r="211" ht="16" spans="1:12">
      <c r="A211" s="9">
        <v>46359</v>
      </c>
      <c r="B211" s="16">
        <v>470292</v>
      </c>
      <c r="C211" s="12" t="str">
        <f>VLOOKUP(B211,Employee_Master!A:B,2,0)</f>
        <v>Vishal Kumar</v>
      </c>
      <c r="D211" s="1" t="s">
        <v>208</v>
      </c>
      <c r="E211" s="1" t="s">
        <v>234</v>
      </c>
      <c r="F211" s="1" t="s">
        <v>234</v>
      </c>
      <c r="H211" s="1">
        <f t="shared" si="24"/>
        <v>10</v>
      </c>
      <c r="I211" s="1">
        <f t="shared" si="21"/>
        <v>0</v>
      </c>
      <c r="J211" s="1">
        <f>IFERROR(VLOOKUP(D211,Event_Master!B:E,4,FALSE),1)</f>
        <v>1.5</v>
      </c>
      <c r="K211" s="1">
        <f t="shared" si="22"/>
        <v>0</v>
      </c>
      <c r="L211" s="1">
        <f t="shared" si="25"/>
        <v>10</v>
      </c>
    </row>
    <row r="212" ht="16" spans="1:12">
      <c r="A212" s="9">
        <v>46359</v>
      </c>
      <c r="B212" s="16">
        <v>437534</v>
      </c>
      <c r="C212" s="12" t="str">
        <f>VLOOKUP(B212,Employee_Master!A:B,2,0)</f>
        <v>Himanshu Sangar</v>
      </c>
      <c r="D212" s="1" t="s">
        <v>208</v>
      </c>
      <c r="E212" s="1" t="s">
        <v>234</v>
      </c>
      <c r="F212" s="1" t="s">
        <v>234</v>
      </c>
      <c r="H212" s="1">
        <f t="shared" si="24"/>
        <v>10</v>
      </c>
      <c r="I212" s="1">
        <f t="shared" si="21"/>
        <v>0</v>
      </c>
      <c r="J212" s="1">
        <f>IFERROR(VLOOKUP(D212,Event_Master!B:E,4,FALSE),1)</f>
        <v>1.5</v>
      </c>
      <c r="K212" s="1">
        <f t="shared" si="22"/>
        <v>0</v>
      </c>
      <c r="L212" s="1">
        <f t="shared" si="25"/>
        <v>10</v>
      </c>
    </row>
    <row r="213" ht="16" spans="1:12">
      <c r="A213" s="9">
        <v>46359</v>
      </c>
      <c r="B213" s="16">
        <v>438679</v>
      </c>
      <c r="C213" s="12" t="str">
        <f>VLOOKUP(B213,Employee_Master!A:B,2,0)</f>
        <v>Saurabh Kumar</v>
      </c>
      <c r="D213" s="1" t="s">
        <v>208</v>
      </c>
      <c r="E213" s="1" t="s">
        <v>234</v>
      </c>
      <c r="F213" s="1" t="s">
        <v>234</v>
      </c>
      <c r="H213" s="1">
        <f t="shared" si="24"/>
        <v>10</v>
      </c>
      <c r="I213" s="1">
        <f t="shared" ref="I213:I218" si="26">IF(G213="Winner",100,IF(G213="Runner-up",70,IF(G213="2nd Runner-up",50,IF(G213="Semi",30,IF(G213="Quarter",20,0)))))</f>
        <v>0</v>
      </c>
      <c r="J213" s="1">
        <f>IFERROR(VLOOKUP(D213,Event_Master!B:E,4,FALSE),1)</f>
        <v>1.5</v>
      </c>
      <c r="K213" s="1">
        <f t="shared" ref="K213:K218" si="27">(I213*J213)</f>
        <v>0</v>
      </c>
      <c r="L213" s="1">
        <f t="shared" si="25"/>
        <v>10</v>
      </c>
    </row>
    <row r="214" ht="16" spans="1:12">
      <c r="A214" s="9">
        <v>46359</v>
      </c>
      <c r="B214" s="16">
        <v>700216</v>
      </c>
      <c r="C214" s="12" t="str">
        <f>VLOOKUP(B214,Employee_Master!A:B,2,0)</f>
        <v>Shivam Rani</v>
      </c>
      <c r="D214" s="1" t="s">
        <v>208</v>
      </c>
      <c r="E214" s="1" t="s">
        <v>234</v>
      </c>
      <c r="F214" s="1" t="s">
        <v>234</v>
      </c>
      <c r="H214" s="1">
        <f t="shared" si="24"/>
        <v>10</v>
      </c>
      <c r="I214" s="1">
        <f t="shared" si="26"/>
        <v>0</v>
      </c>
      <c r="J214" s="1">
        <f>IFERROR(VLOOKUP(D214,Event_Master!B:E,4,FALSE),1)</f>
        <v>1.5</v>
      </c>
      <c r="K214" s="1">
        <f t="shared" si="27"/>
        <v>0</v>
      </c>
      <c r="L214" s="1">
        <f t="shared" si="25"/>
        <v>10</v>
      </c>
    </row>
    <row r="215" ht="16" spans="1:12">
      <c r="A215" s="9">
        <v>46359</v>
      </c>
      <c r="B215" s="16">
        <v>452059</v>
      </c>
      <c r="C215" s="12" t="str">
        <f>VLOOKUP(B215,Employee_Master!A:B,2,0)</f>
        <v>Mahi Singh</v>
      </c>
      <c r="D215" s="1" t="s">
        <v>208</v>
      </c>
      <c r="E215" s="1" t="s">
        <v>234</v>
      </c>
      <c r="F215" s="1" t="s">
        <v>234</v>
      </c>
      <c r="H215" s="1">
        <f t="shared" si="24"/>
        <v>10</v>
      </c>
      <c r="I215" s="1">
        <f t="shared" si="26"/>
        <v>0</v>
      </c>
      <c r="J215" s="1">
        <f>IFERROR(VLOOKUP(D215,Event_Master!B:E,4,FALSE),1)</f>
        <v>1.5</v>
      </c>
      <c r="K215" s="1">
        <f t="shared" si="27"/>
        <v>0</v>
      </c>
      <c r="L215" s="1">
        <f t="shared" si="25"/>
        <v>10</v>
      </c>
    </row>
    <row r="216" ht="16" spans="1:12">
      <c r="A216" s="9">
        <v>46359</v>
      </c>
      <c r="B216" s="16">
        <v>468157</v>
      </c>
      <c r="C216" s="12" t="str">
        <f>VLOOKUP(B216,Employee_Master!A:B,2,0)</f>
        <v>Ankit Tiwari</v>
      </c>
      <c r="D216" s="1" t="s">
        <v>208</v>
      </c>
      <c r="E216" s="1" t="s">
        <v>234</v>
      </c>
      <c r="F216" s="1" t="s">
        <v>234</v>
      </c>
      <c r="G216" s="1" t="s">
        <v>220</v>
      </c>
      <c r="H216" s="1">
        <f t="shared" si="24"/>
        <v>10</v>
      </c>
      <c r="I216" s="1">
        <f t="shared" si="26"/>
        <v>70</v>
      </c>
      <c r="J216" s="1">
        <f>IFERROR(VLOOKUP(D216,Event_Master!B:E,4,FALSE),1)</f>
        <v>1.5</v>
      </c>
      <c r="K216" s="1">
        <f t="shared" si="27"/>
        <v>105</v>
      </c>
      <c r="L216" s="1">
        <f t="shared" si="25"/>
        <v>115</v>
      </c>
    </row>
    <row r="217" ht="16" spans="1:12">
      <c r="A217" s="9">
        <v>46359</v>
      </c>
      <c r="B217" s="16">
        <v>450437</v>
      </c>
      <c r="C217" s="12" t="str">
        <f>VLOOKUP(B217,Employee_Master!A:B,2,0)</f>
        <v>Tinku Shekhawat </v>
      </c>
      <c r="D217" s="1" t="s">
        <v>208</v>
      </c>
      <c r="E217" s="1" t="s">
        <v>234</v>
      </c>
      <c r="F217" s="1" t="s">
        <v>234</v>
      </c>
      <c r="G217" s="1" t="s">
        <v>219</v>
      </c>
      <c r="H217" s="1">
        <f t="shared" si="24"/>
        <v>10</v>
      </c>
      <c r="I217" s="1">
        <f t="shared" si="26"/>
        <v>100</v>
      </c>
      <c r="J217" s="1">
        <f>IFERROR(VLOOKUP(D217,Event_Master!B:E,4,FALSE),1)</f>
        <v>1.5</v>
      </c>
      <c r="K217" s="1">
        <f t="shared" si="27"/>
        <v>150</v>
      </c>
      <c r="L217" s="1">
        <f t="shared" si="25"/>
        <v>160</v>
      </c>
    </row>
    <row r="218" ht="16" spans="1:12">
      <c r="A218" s="9">
        <v>46359</v>
      </c>
      <c r="B218" s="16">
        <v>710013</v>
      </c>
      <c r="C218" s="12" t="str">
        <f>VLOOKUP(B218,Employee_Master!A:B,2,0)</f>
        <v>Jyoti Saini</v>
      </c>
      <c r="D218" s="1" t="s">
        <v>208</v>
      </c>
      <c r="E218" s="1" t="s">
        <v>234</v>
      </c>
      <c r="F218" s="1" t="s">
        <v>234</v>
      </c>
      <c r="H218" s="1">
        <f t="shared" si="24"/>
        <v>10</v>
      </c>
      <c r="I218" s="1">
        <f t="shared" si="26"/>
        <v>0</v>
      </c>
      <c r="J218" s="1">
        <f>IFERROR(VLOOKUP(D218,Event_Master!B:E,4,FALSE),1)</f>
        <v>1.5</v>
      </c>
      <c r="K218" s="1">
        <f t="shared" si="27"/>
        <v>0</v>
      </c>
      <c r="L218" s="1">
        <f t="shared" si="25"/>
        <v>10</v>
      </c>
    </row>
    <row r="219" ht="16" spans="1:12">
      <c r="A219" s="9">
        <v>46359</v>
      </c>
      <c r="B219" s="16">
        <v>473266</v>
      </c>
      <c r="C219" s="12" t="str">
        <f>VLOOKUP(B219,Employee_Master!A:B,2,0)</f>
        <v>Jitender Yadav</v>
      </c>
      <c r="D219" s="1" t="s">
        <v>208</v>
      </c>
      <c r="E219" s="1" t="s">
        <v>234</v>
      </c>
      <c r="F219" s="1" t="s">
        <v>234</v>
      </c>
      <c r="H219" s="1">
        <f t="shared" si="24"/>
        <v>10</v>
      </c>
      <c r="I219" s="1">
        <f t="shared" ref="I219:I250" si="28">IF(G219="Winner",100,IF(G219="Runner-up",70,IF(G219="2nd Runner-up",50,IF(G219="Semi",30,IF(G219="Quarter",20,0)))))</f>
        <v>0</v>
      </c>
      <c r="J219" s="1">
        <f>IFERROR(VLOOKUP(D219,Event_Master!B:E,4,FALSE),1)</f>
        <v>1.5</v>
      </c>
      <c r="K219" s="1">
        <f t="shared" ref="K219:K250" si="29">(I219*J219)</f>
        <v>0</v>
      </c>
      <c r="L219" s="1">
        <f t="shared" ref="L219:L250" si="30">K219+H219</f>
        <v>10</v>
      </c>
    </row>
    <row r="220" ht="16" spans="1:12">
      <c r="A220" s="9">
        <v>46359</v>
      </c>
      <c r="B220" s="16">
        <v>706181</v>
      </c>
      <c r="C220" s="12" t="str">
        <f>VLOOKUP(B220,Employee_Master!A:B,2,0)</f>
        <v>Sonam Kachhap</v>
      </c>
      <c r="D220" s="1" t="s">
        <v>208</v>
      </c>
      <c r="E220" s="1" t="s">
        <v>234</v>
      </c>
      <c r="F220" s="1" t="s">
        <v>234</v>
      </c>
      <c r="H220" s="1">
        <f t="shared" si="24"/>
        <v>10</v>
      </c>
      <c r="I220" s="1">
        <f t="shared" si="28"/>
        <v>0</v>
      </c>
      <c r="J220" s="1">
        <f>IFERROR(VLOOKUP(D220,Event_Master!B:E,4,FALSE),1)</f>
        <v>1.5</v>
      </c>
      <c r="K220" s="1">
        <f t="shared" si="29"/>
        <v>0</v>
      </c>
      <c r="L220" s="1">
        <f t="shared" si="30"/>
        <v>10</v>
      </c>
    </row>
    <row r="221" ht="16" spans="1:12">
      <c r="A221" s="9">
        <v>46359</v>
      </c>
      <c r="B221" s="16">
        <v>465181</v>
      </c>
      <c r="C221" s="12" t="str">
        <f>VLOOKUP(B221,Employee_Master!A:B,2,0)</f>
        <v>Gaurav Singh Gurjar</v>
      </c>
      <c r="D221" s="1" t="s">
        <v>208</v>
      </c>
      <c r="E221" s="1" t="s">
        <v>234</v>
      </c>
      <c r="F221" s="1" t="s">
        <v>234</v>
      </c>
      <c r="G221" s="1" t="s">
        <v>220</v>
      </c>
      <c r="H221" s="1">
        <f t="shared" si="24"/>
        <v>10</v>
      </c>
      <c r="I221" s="1">
        <f t="shared" si="28"/>
        <v>70</v>
      </c>
      <c r="J221" s="1">
        <f>IFERROR(VLOOKUP(D221,Event_Master!B:E,4,FALSE),1)</f>
        <v>1.5</v>
      </c>
      <c r="K221" s="1">
        <f t="shared" si="29"/>
        <v>105</v>
      </c>
      <c r="L221" s="1">
        <f t="shared" si="30"/>
        <v>115</v>
      </c>
    </row>
    <row r="222" ht="16" spans="1:12">
      <c r="A222" s="9">
        <v>46359</v>
      </c>
      <c r="B222" s="16">
        <v>459234</v>
      </c>
      <c r="C222" s="12" t="str">
        <f>VLOOKUP(B222,Employee_Master!A:B,2,0)</f>
        <v>Ritik Kumar</v>
      </c>
      <c r="D222" s="1" t="s">
        <v>208</v>
      </c>
      <c r="E222" s="1" t="s">
        <v>234</v>
      </c>
      <c r="F222" s="1" t="s">
        <v>234</v>
      </c>
      <c r="G222" s="1" t="s">
        <v>219</v>
      </c>
      <c r="H222" s="1">
        <f t="shared" si="24"/>
        <v>10</v>
      </c>
      <c r="I222" s="1">
        <f t="shared" si="28"/>
        <v>100</v>
      </c>
      <c r="J222" s="1">
        <f>IFERROR(VLOOKUP(D222,Event_Master!B:E,4,FALSE),1)</f>
        <v>1.5</v>
      </c>
      <c r="K222" s="1">
        <f t="shared" si="29"/>
        <v>150</v>
      </c>
      <c r="L222" s="1">
        <f t="shared" si="30"/>
        <v>160</v>
      </c>
    </row>
    <row r="223" ht="16" spans="1:12">
      <c r="A223" s="9">
        <v>46359</v>
      </c>
      <c r="B223" s="16">
        <v>452075</v>
      </c>
      <c r="C223" s="12" t="str">
        <f>VLOOKUP(B223,Employee_Master!A:B,2,0)</f>
        <v>Mansi Yadav</v>
      </c>
      <c r="D223" s="1" t="s">
        <v>208</v>
      </c>
      <c r="E223" s="1" t="s">
        <v>234</v>
      </c>
      <c r="F223" s="1" t="s">
        <v>234</v>
      </c>
      <c r="H223" s="1">
        <f t="shared" si="24"/>
        <v>10</v>
      </c>
      <c r="I223" s="1">
        <f t="shared" si="28"/>
        <v>0</v>
      </c>
      <c r="J223" s="1">
        <f>IFERROR(VLOOKUP(D223,Event_Master!B:E,4,FALSE),1)</f>
        <v>1.5</v>
      </c>
      <c r="K223" s="1">
        <f t="shared" si="29"/>
        <v>0</v>
      </c>
      <c r="L223" s="1">
        <f t="shared" si="30"/>
        <v>10</v>
      </c>
    </row>
    <row r="224" ht="16" spans="1:12">
      <c r="A224" s="9">
        <v>46359</v>
      </c>
      <c r="B224" s="16">
        <v>712428</v>
      </c>
      <c r="C224" s="12" t="str">
        <f>VLOOKUP(B224,Employee_Master!A:B,2,0)</f>
        <v>Akanksha Gangwar</v>
      </c>
      <c r="D224" s="1" t="s">
        <v>208</v>
      </c>
      <c r="E224" s="1" t="s">
        <v>234</v>
      </c>
      <c r="F224" s="1" t="s">
        <v>234</v>
      </c>
      <c r="H224" s="1">
        <f t="shared" si="24"/>
        <v>10</v>
      </c>
      <c r="I224" s="1">
        <f t="shared" si="28"/>
        <v>0</v>
      </c>
      <c r="J224" s="1">
        <f>IFERROR(VLOOKUP(D224,Event_Master!B:E,4,FALSE),1)</f>
        <v>1.5</v>
      </c>
      <c r="K224" s="1">
        <f t="shared" si="29"/>
        <v>0</v>
      </c>
      <c r="L224" s="1">
        <f t="shared" si="30"/>
        <v>10</v>
      </c>
    </row>
    <row r="225" ht="16" spans="1:12">
      <c r="A225" s="9">
        <v>46359</v>
      </c>
      <c r="B225" s="16">
        <v>467068</v>
      </c>
      <c r="C225" s="12" t="str">
        <f>VLOOKUP(B225,Employee_Master!A:B,2,0)</f>
        <v>Anuj Kumar</v>
      </c>
      <c r="D225" s="1" t="s">
        <v>208</v>
      </c>
      <c r="E225" s="1" t="s">
        <v>234</v>
      </c>
      <c r="F225" s="1" t="s">
        <v>234</v>
      </c>
      <c r="H225" s="1">
        <f t="shared" si="24"/>
        <v>10</v>
      </c>
      <c r="I225" s="1">
        <f t="shared" si="28"/>
        <v>0</v>
      </c>
      <c r="J225" s="1">
        <f>IFERROR(VLOOKUP(D225,Event_Master!B:E,4,FALSE),1)</f>
        <v>1.5</v>
      </c>
      <c r="K225" s="1">
        <f t="shared" si="29"/>
        <v>0</v>
      </c>
      <c r="L225" s="1">
        <f t="shared" si="30"/>
        <v>10</v>
      </c>
    </row>
    <row r="226" ht="16" spans="1:12">
      <c r="A226" s="9">
        <v>46359</v>
      </c>
      <c r="B226" s="16">
        <v>449890</v>
      </c>
      <c r="C226" s="12" t="str">
        <f>VLOOKUP(B226,Employee_Master!A:B,2,0)</f>
        <v>Ashish Baghel </v>
      </c>
      <c r="D226" s="1" t="s">
        <v>208</v>
      </c>
      <c r="E226" s="1" t="s">
        <v>234</v>
      </c>
      <c r="F226" s="1" t="s">
        <v>234</v>
      </c>
      <c r="G226" s="1" t="s">
        <v>220</v>
      </c>
      <c r="H226" s="1">
        <f t="shared" si="24"/>
        <v>10</v>
      </c>
      <c r="I226" s="1">
        <f t="shared" si="28"/>
        <v>70</v>
      </c>
      <c r="J226" s="1">
        <f>IFERROR(VLOOKUP(D226,Event_Master!B:E,4,FALSE),1)</f>
        <v>1.5</v>
      </c>
      <c r="K226" s="1">
        <f t="shared" si="29"/>
        <v>105</v>
      </c>
      <c r="L226" s="1">
        <f t="shared" si="30"/>
        <v>115</v>
      </c>
    </row>
    <row r="227" ht="16" spans="1:12">
      <c r="A227" s="9">
        <v>46359</v>
      </c>
      <c r="B227" s="16">
        <v>457795</v>
      </c>
      <c r="C227" s="12" t="str">
        <f>VLOOKUP(B227,Employee_Master!A:B,2,0)</f>
        <v>Manbir Sain</v>
      </c>
      <c r="D227" s="1" t="s">
        <v>208</v>
      </c>
      <c r="E227" s="1" t="s">
        <v>234</v>
      </c>
      <c r="F227" s="1" t="s">
        <v>234</v>
      </c>
      <c r="H227" s="1">
        <f t="shared" si="24"/>
        <v>10</v>
      </c>
      <c r="I227" s="1">
        <f t="shared" si="28"/>
        <v>0</v>
      </c>
      <c r="J227" s="1">
        <f>IFERROR(VLOOKUP(D227,Event_Master!B:E,4,FALSE),1)</f>
        <v>1.5</v>
      </c>
      <c r="K227" s="1">
        <f t="shared" si="29"/>
        <v>0</v>
      </c>
      <c r="L227" s="1">
        <f t="shared" si="30"/>
        <v>10</v>
      </c>
    </row>
    <row r="228" ht="16" spans="1:12">
      <c r="A228" s="9">
        <v>46359</v>
      </c>
      <c r="B228" s="16">
        <v>434518</v>
      </c>
      <c r="C228" s="12" t="str">
        <f>VLOOKUP(B228,Employee_Master!A:B,2,0)</f>
        <v>Maneesh Mohan</v>
      </c>
      <c r="D228" s="1" t="s">
        <v>208</v>
      </c>
      <c r="E228" s="1" t="s">
        <v>234</v>
      </c>
      <c r="F228" s="1" t="s">
        <v>234</v>
      </c>
      <c r="H228" s="1">
        <f t="shared" si="24"/>
        <v>10</v>
      </c>
      <c r="I228" s="1">
        <f t="shared" si="28"/>
        <v>0</v>
      </c>
      <c r="J228" s="1">
        <f>IFERROR(VLOOKUP(D228,Event_Master!B:E,4,FALSE),1)</f>
        <v>1.5</v>
      </c>
      <c r="K228" s="1">
        <f t="shared" si="29"/>
        <v>0</v>
      </c>
      <c r="L228" s="1">
        <f t="shared" si="30"/>
        <v>10</v>
      </c>
    </row>
    <row r="229" ht="16" spans="1:12">
      <c r="A229" s="9">
        <v>46359</v>
      </c>
      <c r="B229" s="16">
        <v>452057</v>
      </c>
      <c r="C229" s="12" t="str">
        <f>VLOOKUP(B229,Employee_Master!A:B,2,0)</f>
        <v>Sahil Thakur </v>
      </c>
      <c r="D229" s="1" t="s">
        <v>208</v>
      </c>
      <c r="E229" s="1" t="s">
        <v>234</v>
      </c>
      <c r="F229" s="1" t="s">
        <v>234</v>
      </c>
      <c r="H229" s="1">
        <f t="shared" si="24"/>
        <v>10</v>
      </c>
      <c r="I229" s="1">
        <f t="shared" si="28"/>
        <v>0</v>
      </c>
      <c r="J229" s="1">
        <f>IFERROR(VLOOKUP(D229,Event_Master!B:E,4,FALSE),1)</f>
        <v>1.5</v>
      </c>
      <c r="K229" s="1">
        <f t="shared" si="29"/>
        <v>0</v>
      </c>
      <c r="L229" s="1">
        <f t="shared" si="30"/>
        <v>10</v>
      </c>
    </row>
    <row r="230" ht="16" spans="1:12">
      <c r="A230" s="9">
        <v>46359</v>
      </c>
      <c r="B230" s="16">
        <v>452799</v>
      </c>
      <c r="C230" s="12" t="str">
        <f>VLOOKUP(B230,Employee_Master!A:B,2,0)</f>
        <v>Manish Kukreti</v>
      </c>
      <c r="D230" s="1" t="s">
        <v>208</v>
      </c>
      <c r="E230" s="1" t="s">
        <v>234</v>
      </c>
      <c r="F230" s="1" t="s">
        <v>234</v>
      </c>
      <c r="G230" s="1" t="s">
        <v>219</v>
      </c>
      <c r="H230" s="1">
        <f t="shared" si="24"/>
        <v>10</v>
      </c>
      <c r="I230" s="1">
        <f t="shared" si="28"/>
        <v>100</v>
      </c>
      <c r="J230" s="1">
        <f>IFERROR(VLOOKUP(D230,Event_Master!B:E,4,FALSE),1)</f>
        <v>1.5</v>
      </c>
      <c r="K230" s="1">
        <f t="shared" si="29"/>
        <v>150</v>
      </c>
      <c r="L230" s="1">
        <f t="shared" si="30"/>
        <v>160</v>
      </c>
    </row>
    <row r="231" ht="16" spans="1:12">
      <c r="A231" s="9">
        <v>46359</v>
      </c>
      <c r="B231" s="16">
        <v>454456</v>
      </c>
      <c r="C231" s="12" t="str">
        <f>VLOOKUP(B231,Employee_Master!A:B,2,0)</f>
        <v>Akash Deshmukh</v>
      </c>
      <c r="D231" s="1" t="s">
        <v>208</v>
      </c>
      <c r="E231" s="1" t="s">
        <v>234</v>
      </c>
      <c r="F231" s="1" t="s">
        <v>234</v>
      </c>
      <c r="H231" s="1">
        <f t="shared" si="24"/>
        <v>10</v>
      </c>
      <c r="I231" s="1">
        <f t="shared" si="28"/>
        <v>0</v>
      </c>
      <c r="J231" s="1">
        <f>IFERROR(VLOOKUP(D231,Event_Master!B:E,4,FALSE),1)</f>
        <v>1.5</v>
      </c>
      <c r="K231" s="1">
        <f t="shared" si="29"/>
        <v>0</v>
      </c>
      <c r="L231" s="1">
        <f t="shared" si="30"/>
        <v>10</v>
      </c>
    </row>
    <row r="232" ht="16" spans="1:12">
      <c r="A232" s="9">
        <v>46359</v>
      </c>
      <c r="B232" s="16">
        <v>460627</v>
      </c>
      <c r="C232" s="12" t="str">
        <f>VLOOKUP(B232,Employee_Master!A:B,2,0)</f>
        <v>Sushil</v>
      </c>
      <c r="D232" s="1" t="s">
        <v>208</v>
      </c>
      <c r="E232" s="1" t="s">
        <v>234</v>
      </c>
      <c r="F232" s="1" t="s">
        <v>234</v>
      </c>
      <c r="H232" s="1">
        <f t="shared" si="24"/>
        <v>10</v>
      </c>
      <c r="I232" s="1">
        <f t="shared" si="28"/>
        <v>0</v>
      </c>
      <c r="J232" s="1">
        <f>IFERROR(VLOOKUP(D232,Event_Master!B:E,4,FALSE),1)</f>
        <v>1.5</v>
      </c>
      <c r="K232" s="1">
        <f t="shared" si="29"/>
        <v>0</v>
      </c>
      <c r="L232" s="1">
        <f t="shared" si="30"/>
        <v>10</v>
      </c>
    </row>
    <row r="233" ht="16" spans="1:12">
      <c r="A233" s="9">
        <v>46359</v>
      </c>
      <c r="B233" s="16">
        <v>452056</v>
      </c>
      <c r="C233" s="12" t="str">
        <f>VLOOKUP(B233,Employee_Master!A:B,2,0)</f>
        <v>Rupesh Thakur</v>
      </c>
      <c r="D233" s="1" t="s">
        <v>208</v>
      </c>
      <c r="E233" s="1" t="s">
        <v>234</v>
      </c>
      <c r="F233" s="1" t="s">
        <v>234</v>
      </c>
      <c r="G233" s="1" t="s">
        <v>219</v>
      </c>
      <c r="H233" s="1">
        <f t="shared" si="24"/>
        <v>10</v>
      </c>
      <c r="I233" s="1">
        <f t="shared" si="28"/>
        <v>100</v>
      </c>
      <c r="J233" s="1">
        <f>IFERROR(VLOOKUP(D233,Event_Master!B:E,4,FALSE),1)</f>
        <v>1.5</v>
      </c>
      <c r="K233" s="1">
        <f t="shared" si="29"/>
        <v>150</v>
      </c>
      <c r="L233" s="1">
        <f t="shared" si="30"/>
        <v>160</v>
      </c>
    </row>
    <row r="234" ht="16" spans="1:12">
      <c r="A234" s="9">
        <v>46359</v>
      </c>
      <c r="B234" s="16">
        <v>460888</v>
      </c>
      <c r="C234" s="12" t="str">
        <f>VLOOKUP(B234,Employee_Master!A:B,2,0)</f>
        <v>Yatin</v>
      </c>
      <c r="D234" s="1" t="s">
        <v>208</v>
      </c>
      <c r="E234" s="1" t="s">
        <v>234</v>
      </c>
      <c r="F234" s="1" t="s">
        <v>234</v>
      </c>
      <c r="H234" s="1">
        <f t="shared" si="24"/>
        <v>10</v>
      </c>
      <c r="I234" s="1">
        <f t="shared" si="28"/>
        <v>0</v>
      </c>
      <c r="J234" s="1">
        <f>IFERROR(VLOOKUP(D234,Event_Master!B:E,4,FALSE),1)</f>
        <v>1.5</v>
      </c>
      <c r="K234" s="1">
        <f t="shared" si="29"/>
        <v>0</v>
      </c>
      <c r="L234" s="1">
        <f t="shared" si="30"/>
        <v>10</v>
      </c>
    </row>
    <row r="235" ht="16" spans="1:12">
      <c r="A235" s="9">
        <v>46359</v>
      </c>
      <c r="B235" s="16">
        <v>450030</v>
      </c>
      <c r="C235" s="12" t="str">
        <f>VLOOKUP(B235,Employee_Master!A:B,2,0)</f>
        <v>Manish bisht </v>
      </c>
      <c r="D235" s="1" t="s">
        <v>208</v>
      </c>
      <c r="E235" s="1" t="s">
        <v>234</v>
      </c>
      <c r="F235" s="1" t="s">
        <v>234</v>
      </c>
      <c r="H235" s="1">
        <f t="shared" si="24"/>
        <v>10</v>
      </c>
      <c r="I235" s="1">
        <f t="shared" si="28"/>
        <v>0</v>
      </c>
      <c r="J235" s="1">
        <f>IFERROR(VLOOKUP(D235,Event_Master!B:E,4,FALSE),1)</f>
        <v>1.5</v>
      </c>
      <c r="K235" s="1">
        <f t="shared" si="29"/>
        <v>0</v>
      </c>
      <c r="L235" s="1">
        <f t="shared" si="30"/>
        <v>10</v>
      </c>
    </row>
    <row r="236" ht="16" spans="1:12">
      <c r="A236" s="9">
        <v>46359</v>
      </c>
      <c r="B236" s="16">
        <v>450228</v>
      </c>
      <c r="C236" s="12" t="str">
        <f>VLOOKUP(B236,Employee_Master!A:B,2,0)</f>
        <v>Shubham Sharma</v>
      </c>
      <c r="D236" s="1" t="s">
        <v>208</v>
      </c>
      <c r="E236" s="1" t="s">
        <v>234</v>
      </c>
      <c r="F236" s="1" t="s">
        <v>234</v>
      </c>
      <c r="H236" s="1">
        <f t="shared" si="24"/>
        <v>10</v>
      </c>
      <c r="I236" s="1">
        <f t="shared" si="28"/>
        <v>0</v>
      </c>
      <c r="J236" s="1">
        <f>IFERROR(VLOOKUP(D236,Event_Master!B:E,4,FALSE),1)</f>
        <v>1.5</v>
      </c>
      <c r="K236" s="1">
        <f t="shared" si="29"/>
        <v>0</v>
      </c>
      <c r="L236" s="1">
        <f t="shared" si="30"/>
        <v>10</v>
      </c>
    </row>
    <row r="237" ht="16" spans="1:12">
      <c r="A237" s="9">
        <v>46359</v>
      </c>
      <c r="B237" s="16">
        <v>458702</v>
      </c>
      <c r="C237" s="12" t="str">
        <f>VLOOKUP(B237,Employee_Master!A:B,2,0)</f>
        <v>Jasbeer Singh</v>
      </c>
      <c r="D237" s="1" t="s">
        <v>208</v>
      </c>
      <c r="E237" s="1" t="s">
        <v>234</v>
      </c>
      <c r="F237" s="1" t="s">
        <v>234</v>
      </c>
      <c r="G237" s="1" t="s">
        <v>220</v>
      </c>
      <c r="H237" s="1">
        <f t="shared" si="24"/>
        <v>10</v>
      </c>
      <c r="I237" s="1">
        <f t="shared" si="28"/>
        <v>70</v>
      </c>
      <c r="J237" s="1">
        <f>IFERROR(VLOOKUP(D237,Event_Master!B:E,4,FALSE),1)</f>
        <v>1.5</v>
      </c>
      <c r="K237" s="1">
        <f t="shared" si="29"/>
        <v>105</v>
      </c>
      <c r="L237" s="1">
        <f t="shared" si="30"/>
        <v>115</v>
      </c>
    </row>
    <row r="238" ht="16" spans="1:12">
      <c r="A238" s="9">
        <v>46359</v>
      </c>
      <c r="B238" s="16">
        <v>467075</v>
      </c>
      <c r="C238" s="12" t="str">
        <f>VLOOKUP(B238,Employee_Master!A:B,2,0)</f>
        <v>Ritish</v>
      </c>
      <c r="D238" s="1" t="s">
        <v>208</v>
      </c>
      <c r="E238" s="1" t="s">
        <v>234</v>
      </c>
      <c r="F238" s="1" t="s">
        <v>234</v>
      </c>
      <c r="G238" s="1" t="s">
        <v>219</v>
      </c>
      <c r="H238" s="1">
        <f t="shared" si="24"/>
        <v>10</v>
      </c>
      <c r="I238" s="1">
        <f t="shared" si="28"/>
        <v>100</v>
      </c>
      <c r="J238" s="1">
        <f>IFERROR(VLOOKUP(D238,Event_Master!B:E,4,FALSE),1)</f>
        <v>1.5</v>
      </c>
      <c r="K238" s="1">
        <f t="shared" si="29"/>
        <v>150</v>
      </c>
      <c r="L238" s="1">
        <f t="shared" si="30"/>
        <v>160</v>
      </c>
    </row>
    <row r="239" ht="16" spans="1:12">
      <c r="A239" s="9">
        <v>46359</v>
      </c>
      <c r="B239" s="16">
        <v>466562</v>
      </c>
      <c r="C239" s="12" t="str">
        <f>VLOOKUP(B239,Employee_Master!A:B,2,0)</f>
        <v>Vikas Bhardwaj</v>
      </c>
      <c r="D239" s="1" t="s">
        <v>208</v>
      </c>
      <c r="E239" s="1" t="s">
        <v>234</v>
      </c>
      <c r="F239" s="1" t="s">
        <v>234</v>
      </c>
      <c r="H239" s="1">
        <f t="shared" si="24"/>
        <v>10</v>
      </c>
      <c r="I239" s="1">
        <f t="shared" si="28"/>
        <v>0</v>
      </c>
      <c r="J239" s="1">
        <f>IFERROR(VLOOKUP(D239,Event_Master!B:E,4,FALSE),1)</f>
        <v>1.5</v>
      </c>
      <c r="K239" s="1">
        <f t="shared" si="29"/>
        <v>0</v>
      </c>
      <c r="L239" s="1">
        <f t="shared" si="30"/>
        <v>10</v>
      </c>
    </row>
    <row r="240" ht="16" spans="1:12">
      <c r="A240" s="9">
        <v>46359</v>
      </c>
      <c r="B240" s="16">
        <v>452991</v>
      </c>
      <c r="C240" s="12" t="str">
        <f>VLOOKUP(B240,Employee_Master!A:B,2,0)</f>
        <v>Gourav Rohilla</v>
      </c>
      <c r="D240" s="1" t="s">
        <v>208</v>
      </c>
      <c r="E240" s="1" t="s">
        <v>234</v>
      </c>
      <c r="F240" s="1" t="s">
        <v>234</v>
      </c>
      <c r="H240" s="1">
        <f t="shared" si="24"/>
        <v>10</v>
      </c>
      <c r="I240" s="1">
        <f t="shared" si="28"/>
        <v>0</v>
      </c>
      <c r="J240" s="1">
        <f>IFERROR(VLOOKUP(D240,Event_Master!B:E,4,FALSE),1)</f>
        <v>1.5</v>
      </c>
      <c r="K240" s="1">
        <f t="shared" si="29"/>
        <v>0</v>
      </c>
      <c r="L240" s="1">
        <f t="shared" si="30"/>
        <v>10</v>
      </c>
    </row>
    <row r="241" ht="16" spans="1:12">
      <c r="A241" s="9">
        <v>46359</v>
      </c>
      <c r="B241" s="16">
        <v>468887</v>
      </c>
      <c r="C241" s="12" t="str">
        <f>VLOOKUP(B241,Employee_Master!A:B,2,0)</f>
        <v>Prachi Shukla</v>
      </c>
      <c r="D241" s="1" t="s">
        <v>208</v>
      </c>
      <c r="E241" s="1" t="s">
        <v>234</v>
      </c>
      <c r="F241" s="1" t="s">
        <v>234</v>
      </c>
      <c r="H241" s="1">
        <f t="shared" si="24"/>
        <v>10</v>
      </c>
      <c r="I241" s="1">
        <f t="shared" si="28"/>
        <v>0</v>
      </c>
      <c r="J241" s="1">
        <f>IFERROR(VLOOKUP(D241,Event_Master!B:E,4,FALSE),1)</f>
        <v>1.5</v>
      </c>
      <c r="K241" s="1">
        <f t="shared" si="29"/>
        <v>0</v>
      </c>
      <c r="L241" s="1">
        <f t="shared" si="30"/>
        <v>10</v>
      </c>
    </row>
    <row r="242" ht="16" spans="1:12">
      <c r="A242" s="9">
        <v>46359</v>
      </c>
      <c r="B242" s="16">
        <v>486309</v>
      </c>
      <c r="C242" s="12" t="str">
        <f>VLOOKUP(B242,Employee_Master!A:B,2,0)</f>
        <v>Ankit Bhatt</v>
      </c>
      <c r="D242" s="1" t="s">
        <v>208</v>
      </c>
      <c r="E242" s="1" t="s">
        <v>234</v>
      </c>
      <c r="F242" s="1" t="s">
        <v>234</v>
      </c>
      <c r="H242" s="1">
        <f t="shared" si="24"/>
        <v>10</v>
      </c>
      <c r="I242" s="1">
        <f t="shared" si="28"/>
        <v>0</v>
      </c>
      <c r="J242" s="1">
        <f>IFERROR(VLOOKUP(D242,Event_Master!B:E,4,FALSE),1)</f>
        <v>1.5</v>
      </c>
      <c r="K242" s="1">
        <f t="shared" si="29"/>
        <v>0</v>
      </c>
      <c r="L242" s="1">
        <f t="shared" si="30"/>
        <v>10</v>
      </c>
    </row>
    <row r="243" ht="16" spans="1:12">
      <c r="A243" s="9">
        <v>46359</v>
      </c>
      <c r="B243" s="16">
        <v>450171</v>
      </c>
      <c r="C243" s="12" t="str">
        <f>VLOOKUP(B243,Employee_Master!A:B,2,0)</f>
        <v>Manpreet Kaur</v>
      </c>
      <c r="D243" s="1" t="s">
        <v>208</v>
      </c>
      <c r="E243" s="1" t="s">
        <v>234</v>
      </c>
      <c r="F243" s="1" t="s">
        <v>234</v>
      </c>
      <c r="G243" s="1" t="s">
        <v>219</v>
      </c>
      <c r="H243" s="1">
        <f t="shared" si="24"/>
        <v>10</v>
      </c>
      <c r="I243" s="1">
        <f t="shared" si="28"/>
        <v>100</v>
      </c>
      <c r="J243" s="1">
        <f>IFERROR(VLOOKUP(D243,Event_Master!B:E,4,FALSE),1)</f>
        <v>1.5</v>
      </c>
      <c r="K243" s="1">
        <f t="shared" si="29"/>
        <v>150</v>
      </c>
      <c r="L243" s="1">
        <f t="shared" si="30"/>
        <v>160</v>
      </c>
    </row>
    <row r="244" ht="16" spans="1:12">
      <c r="A244" s="9">
        <v>46359</v>
      </c>
      <c r="B244" s="16">
        <v>467519</v>
      </c>
      <c r="C244" s="12" t="str">
        <f>VLOOKUP(B244,Employee_Master!A:B,2,0)</f>
        <v>Vivek Tiwari</v>
      </c>
      <c r="D244" s="1" t="s">
        <v>208</v>
      </c>
      <c r="E244" s="1" t="s">
        <v>234</v>
      </c>
      <c r="F244" s="1" t="s">
        <v>234</v>
      </c>
      <c r="H244" s="1">
        <f t="shared" ref="H244:H307" si="31">IF(F244="Yes",10,0)</f>
        <v>10</v>
      </c>
      <c r="I244" s="1">
        <f t="shared" si="28"/>
        <v>0</v>
      </c>
      <c r="J244" s="1">
        <f>IFERROR(VLOOKUP(D244,Event_Master!B:E,4,FALSE),1)</f>
        <v>1.5</v>
      </c>
      <c r="K244" s="1">
        <f t="shared" si="29"/>
        <v>0</v>
      </c>
      <c r="L244" s="1">
        <f t="shared" si="30"/>
        <v>10</v>
      </c>
    </row>
    <row r="245" ht="16" spans="1:12">
      <c r="A245" s="9">
        <v>46359</v>
      </c>
      <c r="B245" s="16">
        <v>450224</v>
      </c>
      <c r="C245" s="12" t="str">
        <f>VLOOKUP(B245,Employee_Master!A:B,2,0)</f>
        <v>Lalit Nagar</v>
      </c>
      <c r="D245" s="1" t="s">
        <v>208</v>
      </c>
      <c r="E245" s="1" t="s">
        <v>234</v>
      </c>
      <c r="F245" s="1" t="s">
        <v>234</v>
      </c>
      <c r="H245" s="1">
        <f t="shared" si="31"/>
        <v>10</v>
      </c>
      <c r="I245" s="1">
        <f t="shared" si="28"/>
        <v>0</v>
      </c>
      <c r="J245" s="1">
        <f>IFERROR(VLOOKUP(D245,Event_Master!B:E,4,FALSE),1)</f>
        <v>1.5</v>
      </c>
      <c r="K245" s="1">
        <f t="shared" si="29"/>
        <v>0</v>
      </c>
      <c r="L245" s="1">
        <f t="shared" si="30"/>
        <v>10</v>
      </c>
    </row>
    <row r="246" ht="16" spans="1:12">
      <c r="A246" s="9">
        <v>46359</v>
      </c>
      <c r="B246" s="16">
        <v>458749</v>
      </c>
      <c r="C246" s="12" t="str">
        <f>VLOOKUP(B246,Employee_Master!A:B,2,0)</f>
        <v>Manoj Kumar Jangra</v>
      </c>
      <c r="D246" s="1" t="s">
        <v>208</v>
      </c>
      <c r="E246" s="1" t="s">
        <v>234</v>
      </c>
      <c r="F246" s="1" t="s">
        <v>234</v>
      </c>
      <c r="G246" s="1" t="s">
        <v>220</v>
      </c>
      <c r="H246" s="1">
        <f t="shared" si="31"/>
        <v>10</v>
      </c>
      <c r="I246" s="1">
        <f t="shared" si="28"/>
        <v>70</v>
      </c>
      <c r="J246" s="1">
        <f>IFERROR(VLOOKUP(D246,Event_Master!B:E,4,FALSE),1)</f>
        <v>1.5</v>
      </c>
      <c r="K246" s="1">
        <f t="shared" si="29"/>
        <v>105</v>
      </c>
      <c r="L246" s="1">
        <f t="shared" si="30"/>
        <v>115</v>
      </c>
    </row>
    <row r="247" ht="16" spans="1:12">
      <c r="A247" s="9">
        <v>46359</v>
      </c>
      <c r="B247" s="16">
        <v>450230</v>
      </c>
      <c r="C247" s="12" t="str">
        <f>VLOOKUP(B247,Employee_Master!A:B,2,0)</f>
        <v>Aarti Gupta</v>
      </c>
      <c r="D247" s="1" t="s">
        <v>208</v>
      </c>
      <c r="E247" s="1" t="s">
        <v>234</v>
      </c>
      <c r="F247" s="1" t="s">
        <v>234</v>
      </c>
      <c r="G247" s="1" t="s">
        <v>219</v>
      </c>
      <c r="H247" s="1">
        <f t="shared" si="31"/>
        <v>10</v>
      </c>
      <c r="I247" s="1">
        <f t="shared" si="28"/>
        <v>100</v>
      </c>
      <c r="J247" s="1">
        <f>IFERROR(VLOOKUP(D247,Event_Master!B:E,4,FALSE),1)</f>
        <v>1.5</v>
      </c>
      <c r="K247" s="1">
        <f t="shared" si="29"/>
        <v>150</v>
      </c>
      <c r="L247" s="1">
        <f t="shared" si="30"/>
        <v>160</v>
      </c>
    </row>
    <row r="248" ht="16" spans="1:12">
      <c r="A248" s="9">
        <v>46359</v>
      </c>
      <c r="B248" s="16">
        <v>468224</v>
      </c>
      <c r="C248" s="12" t="str">
        <f>VLOOKUP(B248,Employee_Master!A:B,2,0)</f>
        <v>Mohit Kumar</v>
      </c>
      <c r="D248" s="1" t="s">
        <v>208</v>
      </c>
      <c r="E248" s="1" t="s">
        <v>234</v>
      </c>
      <c r="F248" s="1" t="s">
        <v>234</v>
      </c>
      <c r="H248" s="1">
        <f t="shared" si="31"/>
        <v>10</v>
      </c>
      <c r="I248" s="1">
        <f t="shared" si="28"/>
        <v>0</v>
      </c>
      <c r="J248" s="1">
        <f>IFERROR(VLOOKUP(D248,Event_Master!B:E,4,FALSE),1)</f>
        <v>1.5</v>
      </c>
      <c r="K248" s="1">
        <f t="shared" si="29"/>
        <v>0</v>
      </c>
      <c r="L248" s="1">
        <f t="shared" si="30"/>
        <v>10</v>
      </c>
    </row>
    <row r="249" ht="16" spans="1:12">
      <c r="A249" s="9">
        <v>46359</v>
      </c>
      <c r="B249" s="16">
        <v>468660</v>
      </c>
      <c r="C249" s="12" t="str">
        <f>VLOOKUP(B249,Employee_Master!A:B,2,0)</f>
        <v>Samay Raj</v>
      </c>
      <c r="D249" s="1" t="s">
        <v>208</v>
      </c>
      <c r="E249" s="1" t="s">
        <v>234</v>
      </c>
      <c r="F249" s="1" t="s">
        <v>234</v>
      </c>
      <c r="H249" s="1">
        <f t="shared" si="31"/>
        <v>10</v>
      </c>
      <c r="I249" s="1">
        <f t="shared" si="28"/>
        <v>0</v>
      </c>
      <c r="J249" s="1">
        <f>IFERROR(VLOOKUP(D249,Event_Master!B:E,4,FALSE),1)</f>
        <v>1.5</v>
      </c>
      <c r="K249" s="1">
        <f t="shared" si="29"/>
        <v>0</v>
      </c>
      <c r="L249" s="1">
        <f t="shared" si="30"/>
        <v>10</v>
      </c>
    </row>
    <row r="250" ht="16" spans="1:12">
      <c r="A250" s="9">
        <v>46359</v>
      </c>
      <c r="B250" s="16">
        <v>436468</v>
      </c>
      <c r="C250" s="12" t="str">
        <f>VLOOKUP(B250,Employee_Master!A:B,2,0)</f>
        <v>Karan Singh</v>
      </c>
      <c r="D250" s="1" t="s">
        <v>208</v>
      </c>
      <c r="E250" s="1" t="s">
        <v>234</v>
      </c>
      <c r="F250" s="1" t="s">
        <v>234</v>
      </c>
      <c r="H250" s="1">
        <f t="shared" si="31"/>
        <v>10</v>
      </c>
      <c r="I250" s="1">
        <f t="shared" si="28"/>
        <v>0</v>
      </c>
      <c r="J250" s="1">
        <f>IFERROR(VLOOKUP(D250,Event_Master!B:E,4,FALSE),1)</f>
        <v>1.5</v>
      </c>
      <c r="K250" s="1">
        <f t="shared" si="29"/>
        <v>0</v>
      </c>
      <c r="L250" s="1">
        <f t="shared" si="30"/>
        <v>10</v>
      </c>
    </row>
    <row r="251" ht="16" spans="1:12">
      <c r="A251" s="9">
        <v>46359</v>
      </c>
      <c r="B251" s="16">
        <v>449891</v>
      </c>
      <c r="C251" s="12" t="str">
        <f>VLOOKUP(B251,Employee_Master!A:B,2,0)</f>
        <v>Komalpreet</v>
      </c>
      <c r="D251" s="1" t="s">
        <v>208</v>
      </c>
      <c r="E251" s="1" t="s">
        <v>234</v>
      </c>
      <c r="F251" s="1" t="s">
        <v>234</v>
      </c>
      <c r="H251" s="1">
        <f t="shared" si="31"/>
        <v>10</v>
      </c>
      <c r="I251" s="1">
        <f t="shared" ref="I251:I298" si="32">IF(G251="Winner",100,IF(G251="Runner-up",70,IF(G251="2nd Runner-up",50,IF(G251="Semi",30,IF(G251="Quarter",20,0)))))</f>
        <v>0</v>
      </c>
      <c r="J251" s="1">
        <f>IFERROR(VLOOKUP(D251,Event_Master!B:E,4,FALSE),1)</f>
        <v>1.5</v>
      </c>
      <c r="K251" s="1">
        <f t="shared" ref="K251:K302" si="33">(I251*J251)</f>
        <v>0</v>
      </c>
      <c r="L251" s="1">
        <f t="shared" ref="L251:L282" si="34">K251+H251</f>
        <v>10</v>
      </c>
    </row>
    <row r="252" ht="16" spans="1:12">
      <c r="A252" s="9">
        <v>46359</v>
      </c>
      <c r="B252" s="16">
        <v>435548</v>
      </c>
      <c r="C252" s="12" t="str">
        <f>VLOOKUP(B252,Employee_Master!A:B,2,0)</f>
        <v>Gurwant Sran</v>
      </c>
      <c r="D252" s="1" t="s">
        <v>208</v>
      </c>
      <c r="E252" s="1" t="s">
        <v>234</v>
      </c>
      <c r="F252" s="1" t="s">
        <v>234</v>
      </c>
      <c r="H252" s="1">
        <f t="shared" si="31"/>
        <v>10</v>
      </c>
      <c r="I252" s="1">
        <f t="shared" si="32"/>
        <v>0</v>
      </c>
      <c r="J252" s="1">
        <f>IFERROR(VLOOKUP(D252,Event_Master!B:E,4,FALSE),1)</f>
        <v>1.5</v>
      </c>
      <c r="K252" s="1">
        <f t="shared" si="33"/>
        <v>0</v>
      </c>
      <c r="L252" s="1">
        <f t="shared" si="34"/>
        <v>10</v>
      </c>
    </row>
    <row r="253" ht="16" spans="1:12">
      <c r="A253" s="9">
        <v>46359</v>
      </c>
      <c r="B253" s="16">
        <v>451567</v>
      </c>
      <c r="C253" s="12" t="str">
        <f>VLOOKUP(B253,Employee_Master!A:B,2,0)</f>
        <v>Gaurav Kumar  </v>
      </c>
      <c r="D253" s="1" t="s">
        <v>208</v>
      </c>
      <c r="E253" s="1" t="s">
        <v>234</v>
      </c>
      <c r="F253" s="1" t="s">
        <v>234</v>
      </c>
      <c r="H253" s="1">
        <f t="shared" si="31"/>
        <v>10</v>
      </c>
      <c r="I253" s="1">
        <f t="shared" si="32"/>
        <v>0</v>
      </c>
      <c r="J253" s="1">
        <f>IFERROR(VLOOKUP(D253,Event_Master!B:E,4,FALSE),1)</f>
        <v>1.5</v>
      </c>
      <c r="K253" s="1">
        <f t="shared" si="33"/>
        <v>0</v>
      </c>
      <c r="L253" s="1">
        <f t="shared" si="34"/>
        <v>10</v>
      </c>
    </row>
    <row r="254" ht="16" spans="1:12">
      <c r="A254" s="9">
        <v>46359</v>
      </c>
      <c r="B254" s="16">
        <v>472322</v>
      </c>
      <c r="C254" s="12" t="str">
        <f>VLOOKUP(B254,Employee_Master!A:B,2,0)</f>
        <v>Sanjeet Kumar</v>
      </c>
      <c r="D254" s="1" t="s">
        <v>208</v>
      </c>
      <c r="E254" s="1" t="s">
        <v>234</v>
      </c>
      <c r="F254" s="1" t="s">
        <v>234</v>
      </c>
      <c r="H254" s="1">
        <f t="shared" si="31"/>
        <v>10</v>
      </c>
      <c r="I254" s="1">
        <f t="shared" si="32"/>
        <v>0</v>
      </c>
      <c r="J254" s="1">
        <f>IFERROR(VLOOKUP(D254,Event_Master!B:E,4,FALSE),1)</f>
        <v>1.5</v>
      </c>
      <c r="K254" s="1">
        <f t="shared" si="33"/>
        <v>0</v>
      </c>
      <c r="L254" s="1">
        <f t="shared" si="34"/>
        <v>10</v>
      </c>
    </row>
    <row r="255" ht="16" spans="1:12">
      <c r="A255" s="9">
        <v>46359</v>
      </c>
      <c r="B255" s="16">
        <v>450694</v>
      </c>
      <c r="C255" s="12" t="str">
        <f>VLOOKUP(B255,Employee_Master!A:B,2,0)</f>
        <v>Kawaljot Kaur</v>
      </c>
      <c r="D255" s="1" t="s">
        <v>208</v>
      </c>
      <c r="E255" s="1" t="s">
        <v>234</v>
      </c>
      <c r="F255" s="1" t="s">
        <v>234</v>
      </c>
      <c r="H255" s="1">
        <f t="shared" si="31"/>
        <v>10</v>
      </c>
      <c r="I255" s="1">
        <f t="shared" si="32"/>
        <v>0</v>
      </c>
      <c r="J255" s="1">
        <f>IFERROR(VLOOKUP(D255,Event_Master!B:E,4,FALSE),1)</f>
        <v>1.5</v>
      </c>
      <c r="K255" s="1">
        <f t="shared" si="33"/>
        <v>0</v>
      </c>
      <c r="L255" s="1">
        <f t="shared" si="34"/>
        <v>10</v>
      </c>
    </row>
    <row r="256" ht="16" spans="1:12">
      <c r="A256" s="9">
        <v>46359</v>
      </c>
      <c r="B256" s="16">
        <v>465255</v>
      </c>
      <c r="C256" s="12" t="str">
        <f>VLOOKUP(B256,Employee_Master!A:B,2,0)</f>
        <v>Mukul Suman</v>
      </c>
      <c r="D256" s="1" t="s">
        <v>208</v>
      </c>
      <c r="E256" s="1" t="s">
        <v>234</v>
      </c>
      <c r="F256" s="1" t="s">
        <v>234</v>
      </c>
      <c r="H256" s="1">
        <f t="shared" si="31"/>
        <v>10</v>
      </c>
      <c r="I256" s="1">
        <f t="shared" si="32"/>
        <v>0</v>
      </c>
      <c r="J256" s="1">
        <f>IFERROR(VLOOKUP(D256,Event_Master!B:E,4,FALSE),1)</f>
        <v>1.5</v>
      </c>
      <c r="K256" s="1">
        <f t="shared" si="33"/>
        <v>0</v>
      </c>
      <c r="L256" s="1">
        <f t="shared" si="34"/>
        <v>10</v>
      </c>
    </row>
    <row r="257" ht="16" spans="1:12">
      <c r="A257" s="9">
        <v>46359</v>
      </c>
      <c r="B257" s="16">
        <v>450225</v>
      </c>
      <c r="C257" s="12" t="str">
        <f>VLOOKUP(B257,Employee_Master!A:B,2,0)</f>
        <v>Nikita</v>
      </c>
      <c r="D257" s="1" t="s">
        <v>208</v>
      </c>
      <c r="E257" s="1" t="s">
        <v>234</v>
      </c>
      <c r="F257" s="1" t="s">
        <v>234</v>
      </c>
      <c r="H257" s="1">
        <f t="shared" si="31"/>
        <v>10</v>
      </c>
      <c r="I257" s="1">
        <f t="shared" si="32"/>
        <v>0</v>
      </c>
      <c r="J257" s="1">
        <f>IFERROR(VLOOKUP(D257,Event_Master!B:E,4,FALSE),1)</f>
        <v>1.5</v>
      </c>
      <c r="K257" s="1">
        <f t="shared" si="33"/>
        <v>0</v>
      </c>
      <c r="L257" s="1">
        <f t="shared" si="34"/>
        <v>10</v>
      </c>
    </row>
    <row r="258" ht="16" spans="1:12">
      <c r="A258" s="9">
        <v>46359</v>
      </c>
      <c r="B258" s="16">
        <v>487107</v>
      </c>
      <c r="C258" s="12" t="str">
        <f>VLOOKUP(B258,Employee_Master!A:B,2,0)</f>
        <v>Manish Kr. Singh</v>
      </c>
      <c r="D258" s="1" t="s">
        <v>208</v>
      </c>
      <c r="E258" s="1" t="s">
        <v>234</v>
      </c>
      <c r="F258" s="1" t="s">
        <v>234</v>
      </c>
      <c r="H258" s="1">
        <f t="shared" si="31"/>
        <v>10</v>
      </c>
      <c r="I258" s="1">
        <f t="shared" si="32"/>
        <v>0</v>
      </c>
      <c r="J258" s="1">
        <f>IFERROR(VLOOKUP(D258,Event_Master!B:E,4,FALSE),1)</f>
        <v>1.5</v>
      </c>
      <c r="K258" s="1">
        <f t="shared" si="33"/>
        <v>0</v>
      </c>
      <c r="L258" s="1">
        <f t="shared" si="34"/>
        <v>10</v>
      </c>
    </row>
    <row r="259" ht="16" spans="1:12">
      <c r="A259" s="9">
        <v>46359</v>
      </c>
      <c r="B259" s="16">
        <v>706306</v>
      </c>
      <c r="C259" s="12" t="str">
        <f>VLOOKUP(B259,Employee_Master!A:B,2,0)</f>
        <v>Subhashree Nayak</v>
      </c>
      <c r="D259" s="1" t="s">
        <v>208</v>
      </c>
      <c r="E259" s="1" t="s">
        <v>234</v>
      </c>
      <c r="F259" s="1" t="s">
        <v>234</v>
      </c>
      <c r="H259" s="1">
        <f t="shared" si="31"/>
        <v>10</v>
      </c>
      <c r="I259" s="1">
        <f t="shared" si="32"/>
        <v>0</v>
      </c>
      <c r="J259" s="1">
        <f>IFERROR(VLOOKUP(D259,Event_Master!B:E,4,FALSE),1)</f>
        <v>1.5</v>
      </c>
      <c r="K259" s="1">
        <f t="shared" si="33"/>
        <v>0</v>
      </c>
      <c r="L259" s="1">
        <f t="shared" si="34"/>
        <v>10</v>
      </c>
    </row>
    <row r="260" ht="16" spans="1:12">
      <c r="A260" s="9">
        <v>46359</v>
      </c>
      <c r="B260" s="16">
        <v>473015</v>
      </c>
      <c r="C260" s="12" t="str">
        <f>VLOOKUP(B260,Employee_Master!A:B,2,0)</f>
        <v>Partap</v>
      </c>
      <c r="D260" s="1" t="s">
        <v>208</v>
      </c>
      <c r="E260" s="1" t="s">
        <v>234</v>
      </c>
      <c r="F260" s="1" t="s">
        <v>234</v>
      </c>
      <c r="H260" s="1">
        <f t="shared" si="31"/>
        <v>10</v>
      </c>
      <c r="I260" s="1">
        <f t="shared" si="32"/>
        <v>0</v>
      </c>
      <c r="J260" s="1">
        <f>IFERROR(VLOOKUP(D260,Event_Master!B:E,4,FALSE),1)</f>
        <v>1.5</v>
      </c>
      <c r="K260" s="1">
        <f t="shared" si="33"/>
        <v>0</v>
      </c>
      <c r="L260" s="1">
        <f t="shared" si="34"/>
        <v>10</v>
      </c>
    </row>
    <row r="261" ht="16" spans="1:12">
      <c r="A261" s="9">
        <v>46359</v>
      </c>
      <c r="B261" s="16">
        <v>464500</v>
      </c>
      <c r="C261" s="12" t="str">
        <f>VLOOKUP(B261,Employee_Master!A:B,2,0)</f>
        <v>Dalip Sharma</v>
      </c>
      <c r="D261" s="1" t="s">
        <v>208</v>
      </c>
      <c r="E261" s="1" t="s">
        <v>234</v>
      </c>
      <c r="F261" s="1" t="s">
        <v>234</v>
      </c>
      <c r="H261" s="1">
        <f t="shared" si="31"/>
        <v>10</v>
      </c>
      <c r="I261" s="1">
        <f t="shared" si="32"/>
        <v>0</v>
      </c>
      <c r="J261" s="1">
        <f>IFERROR(VLOOKUP(D261,Event_Master!B:E,4,FALSE),1)</f>
        <v>1.5</v>
      </c>
      <c r="K261" s="1">
        <f t="shared" si="33"/>
        <v>0</v>
      </c>
      <c r="L261" s="1">
        <f t="shared" si="34"/>
        <v>10</v>
      </c>
    </row>
    <row r="262" ht="16" spans="1:12">
      <c r="A262" s="9">
        <v>46359</v>
      </c>
      <c r="B262" s="16">
        <v>463833</v>
      </c>
      <c r="C262" s="12" t="str">
        <f>VLOOKUP(B262,Employee_Master!A:B,2,0)</f>
        <v>Kartik Shakya</v>
      </c>
      <c r="D262" s="1" t="s">
        <v>208</v>
      </c>
      <c r="E262" s="1" t="s">
        <v>234</v>
      </c>
      <c r="F262" s="1" t="s">
        <v>234</v>
      </c>
      <c r="G262" s="1" t="s">
        <v>220</v>
      </c>
      <c r="H262" s="1">
        <f t="shared" si="31"/>
        <v>10</v>
      </c>
      <c r="I262" s="1">
        <f t="shared" si="32"/>
        <v>70</v>
      </c>
      <c r="J262" s="1">
        <f>IFERROR(VLOOKUP(D262,Event_Master!B:E,4,FALSE),1)</f>
        <v>1.5</v>
      </c>
      <c r="K262" s="1">
        <f t="shared" si="33"/>
        <v>105</v>
      </c>
      <c r="L262" s="1">
        <f t="shared" si="34"/>
        <v>115</v>
      </c>
    </row>
    <row r="263" ht="16" spans="1:12">
      <c r="A263" s="9">
        <v>46359</v>
      </c>
      <c r="B263" s="16">
        <v>470301</v>
      </c>
      <c r="C263" s="12" t="str">
        <f>VLOOKUP(B263,Employee_Master!A:B,2,0)</f>
        <v>Ankit Kumar</v>
      </c>
      <c r="D263" s="1" t="s">
        <v>208</v>
      </c>
      <c r="E263" s="1" t="s">
        <v>234</v>
      </c>
      <c r="F263" s="1" t="s">
        <v>234</v>
      </c>
      <c r="H263" s="1">
        <f t="shared" si="31"/>
        <v>10</v>
      </c>
      <c r="I263" s="1">
        <f t="shared" si="32"/>
        <v>0</v>
      </c>
      <c r="J263" s="1">
        <f>IFERROR(VLOOKUP(D263,Event_Master!B:E,4,FALSE),1)</f>
        <v>1.5</v>
      </c>
      <c r="K263" s="1">
        <f t="shared" si="33"/>
        <v>0</v>
      </c>
      <c r="L263" s="1">
        <f t="shared" si="34"/>
        <v>10</v>
      </c>
    </row>
    <row r="264" ht="16" spans="1:12">
      <c r="A264" s="9">
        <v>46359</v>
      </c>
      <c r="B264" s="16">
        <v>478308</v>
      </c>
      <c r="C264" s="12" t="str">
        <f>VLOOKUP(B264,Employee_Master!A:B,2,0)</f>
        <v>Abhishek savita </v>
      </c>
      <c r="D264" s="1" t="s">
        <v>208</v>
      </c>
      <c r="E264" s="1" t="s">
        <v>234</v>
      </c>
      <c r="F264" s="1" t="s">
        <v>234</v>
      </c>
      <c r="H264" s="1">
        <f t="shared" si="31"/>
        <v>10</v>
      </c>
      <c r="I264" s="1">
        <f t="shared" si="32"/>
        <v>0</v>
      </c>
      <c r="J264" s="1">
        <f>IFERROR(VLOOKUP(D264,Event_Master!B:E,4,FALSE),1)</f>
        <v>1.5</v>
      </c>
      <c r="K264" s="1">
        <f t="shared" si="33"/>
        <v>0</v>
      </c>
      <c r="L264" s="1">
        <f t="shared" si="34"/>
        <v>10</v>
      </c>
    </row>
    <row r="265" ht="16" spans="1:12">
      <c r="A265" s="9">
        <v>46359</v>
      </c>
      <c r="B265" s="16">
        <v>438864</v>
      </c>
      <c r="C265" s="12" t="str">
        <f>VLOOKUP(B265,Employee_Master!A:B,2,0)</f>
        <v>Rajan Gupta</v>
      </c>
      <c r="D265" s="1" t="s">
        <v>208</v>
      </c>
      <c r="E265" s="1" t="s">
        <v>234</v>
      </c>
      <c r="F265" s="1" t="s">
        <v>234</v>
      </c>
      <c r="H265" s="1">
        <f t="shared" si="31"/>
        <v>10</v>
      </c>
      <c r="I265" s="1">
        <f t="shared" si="32"/>
        <v>0</v>
      </c>
      <c r="J265" s="1">
        <f>IFERROR(VLOOKUP(D265,Event_Master!B:E,4,FALSE),1)</f>
        <v>1.5</v>
      </c>
      <c r="K265" s="1">
        <f t="shared" si="33"/>
        <v>0</v>
      </c>
      <c r="L265" s="1">
        <f t="shared" si="34"/>
        <v>10</v>
      </c>
    </row>
    <row r="266" ht="16" spans="1:12">
      <c r="A266" s="9">
        <v>46359</v>
      </c>
      <c r="B266" s="16">
        <v>452115</v>
      </c>
      <c r="C266" s="12" t="str">
        <f>VLOOKUP(B266,Employee_Master!A:B,2,0)</f>
        <v>Anshul Sharma </v>
      </c>
      <c r="D266" s="1" t="s">
        <v>208</v>
      </c>
      <c r="E266" s="1" t="s">
        <v>234</v>
      </c>
      <c r="F266" s="1" t="s">
        <v>234</v>
      </c>
      <c r="H266" s="1">
        <f t="shared" si="31"/>
        <v>10</v>
      </c>
      <c r="I266" s="1">
        <f t="shared" si="32"/>
        <v>0</v>
      </c>
      <c r="J266" s="1">
        <f>IFERROR(VLOOKUP(D266,Event_Master!B:E,4,FALSE),1)</f>
        <v>1.5</v>
      </c>
      <c r="K266" s="1">
        <f t="shared" si="33"/>
        <v>0</v>
      </c>
      <c r="L266" s="1">
        <f t="shared" si="34"/>
        <v>10</v>
      </c>
    </row>
    <row r="267" ht="16" spans="1:12">
      <c r="A267" s="9">
        <v>46359</v>
      </c>
      <c r="B267" s="16">
        <v>463059</v>
      </c>
      <c r="C267" s="12" t="str">
        <f>VLOOKUP(B267,Employee_Master!A:B,2,0)</f>
        <v>Parvinder</v>
      </c>
      <c r="D267" s="1" t="s">
        <v>208</v>
      </c>
      <c r="E267" s="1" t="s">
        <v>234</v>
      </c>
      <c r="F267" s="1" t="s">
        <v>234</v>
      </c>
      <c r="H267" s="1">
        <f t="shared" si="31"/>
        <v>10</v>
      </c>
      <c r="I267" s="1">
        <f t="shared" si="32"/>
        <v>0</v>
      </c>
      <c r="J267" s="1">
        <f>IFERROR(VLOOKUP(D267,Event_Master!B:E,4,FALSE),1)</f>
        <v>1.5</v>
      </c>
      <c r="K267" s="1">
        <f t="shared" si="33"/>
        <v>0</v>
      </c>
      <c r="L267" s="1">
        <f t="shared" si="34"/>
        <v>10</v>
      </c>
    </row>
    <row r="268" ht="16" spans="1:12">
      <c r="A268" s="9">
        <v>46359</v>
      </c>
      <c r="B268" s="16">
        <v>450256</v>
      </c>
      <c r="C268" s="12" t="str">
        <f>VLOOKUP(B268,Employee_Master!A:B,2,0)</f>
        <v>Jyotish  Patar</v>
      </c>
      <c r="D268" s="1" t="s">
        <v>208</v>
      </c>
      <c r="E268" s="1" t="s">
        <v>234</v>
      </c>
      <c r="F268" s="1" t="s">
        <v>234</v>
      </c>
      <c r="H268" s="1">
        <f t="shared" si="31"/>
        <v>10</v>
      </c>
      <c r="I268" s="1">
        <f t="shared" si="32"/>
        <v>0</v>
      </c>
      <c r="J268" s="1">
        <f>IFERROR(VLOOKUP(D268,Event_Master!B:E,4,FALSE),1)</f>
        <v>1.5</v>
      </c>
      <c r="K268" s="1">
        <f t="shared" si="33"/>
        <v>0</v>
      </c>
      <c r="L268" s="1">
        <f t="shared" si="34"/>
        <v>10</v>
      </c>
    </row>
    <row r="269" ht="16" spans="1:12">
      <c r="A269" s="9">
        <v>46359</v>
      </c>
      <c r="B269" s="16">
        <v>451857</v>
      </c>
      <c r="C269" s="12" t="str">
        <f>VLOOKUP(B269,Employee_Master!A:B,2,0)</f>
        <v>Amar Kumar </v>
      </c>
      <c r="D269" s="1" t="s">
        <v>208</v>
      </c>
      <c r="E269" s="1" t="s">
        <v>234</v>
      </c>
      <c r="F269" s="1" t="s">
        <v>234</v>
      </c>
      <c r="H269" s="1">
        <f t="shared" si="31"/>
        <v>10</v>
      </c>
      <c r="I269" s="1">
        <f t="shared" si="32"/>
        <v>0</v>
      </c>
      <c r="J269" s="1">
        <f>IFERROR(VLOOKUP(D269,Event_Master!B:E,4,FALSE),1)</f>
        <v>1.5</v>
      </c>
      <c r="K269" s="1">
        <f t="shared" si="33"/>
        <v>0</v>
      </c>
      <c r="L269" s="1">
        <f t="shared" si="34"/>
        <v>10</v>
      </c>
    </row>
    <row r="270" ht="16" spans="1:12">
      <c r="A270" s="9">
        <v>46359</v>
      </c>
      <c r="B270" s="20">
        <v>440317</v>
      </c>
      <c r="C270" s="12" t="str">
        <f>VLOOKUP(B270,Employee_Master!A:B,2,0)</f>
        <v>Praveen Chandel</v>
      </c>
      <c r="D270" s="1" t="s">
        <v>208</v>
      </c>
      <c r="E270" s="1" t="s">
        <v>234</v>
      </c>
      <c r="F270" s="1" t="s">
        <v>234</v>
      </c>
      <c r="H270" s="1">
        <f t="shared" si="31"/>
        <v>10</v>
      </c>
      <c r="I270" s="1">
        <f t="shared" si="32"/>
        <v>0</v>
      </c>
      <c r="J270" s="1">
        <f>IFERROR(VLOOKUP(D270,Event_Master!B:E,4,FALSE),1)</f>
        <v>1.5</v>
      </c>
      <c r="K270" s="1">
        <f t="shared" si="33"/>
        <v>0</v>
      </c>
      <c r="L270" s="1">
        <f t="shared" si="34"/>
        <v>10</v>
      </c>
    </row>
    <row r="271" ht="16" spans="1:12">
      <c r="A271" s="9">
        <v>46359</v>
      </c>
      <c r="B271" s="21">
        <v>451609</v>
      </c>
      <c r="C271" s="12" t="str">
        <f>VLOOKUP(B271,Employee_Master!A:B,2,0)</f>
        <v>Vivek Kumar Yadav</v>
      </c>
      <c r="D271" s="1" t="s">
        <v>208</v>
      </c>
      <c r="E271" s="1" t="s">
        <v>234</v>
      </c>
      <c r="F271" s="1" t="s">
        <v>234</v>
      </c>
      <c r="H271" s="1">
        <f t="shared" si="31"/>
        <v>10</v>
      </c>
      <c r="I271" s="1">
        <f t="shared" si="32"/>
        <v>0</v>
      </c>
      <c r="J271" s="1">
        <f>IFERROR(VLOOKUP(D271,Event_Master!B:E,4,FALSE),1)</f>
        <v>1.5</v>
      </c>
      <c r="K271" s="1">
        <f t="shared" si="33"/>
        <v>0</v>
      </c>
      <c r="L271" s="1">
        <f t="shared" si="34"/>
        <v>10</v>
      </c>
    </row>
    <row r="272" ht="16" spans="1:12">
      <c r="A272" s="9">
        <v>46359</v>
      </c>
      <c r="B272" s="20">
        <v>426232</v>
      </c>
      <c r="C272" s="12" t="str">
        <f>VLOOKUP(B272,Employee_Master!A:B,2,0)</f>
        <v>Varish Hussain</v>
      </c>
      <c r="D272" s="1" t="s">
        <v>208</v>
      </c>
      <c r="E272" s="1" t="s">
        <v>234</v>
      </c>
      <c r="F272" s="1" t="s">
        <v>234</v>
      </c>
      <c r="G272" s="1" t="s">
        <v>219</v>
      </c>
      <c r="H272" s="1">
        <f t="shared" si="31"/>
        <v>10</v>
      </c>
      <c r="I272" s="1">
        <f t="shared" si="32"/>
        <v>100</v>
      </c>
      <c r="J272" s="1">
        <f>IFERROR(VLOOKUP(D272,Event_Master!B:E,4,FALSE),1)</f>
        <v>1.5</v>
      </c>
      <c r="K272" s="1">
        <f t="shared" si="33"/>
        <v>150</v>
      </c>
      <c r="L272" s="1">
        <f t="shared" si="34"/>
        <v>160</v>
      </c>
    </row>
    <row r="273" ht="16" spans="1:12">
      <c r="A273" s="9">
        <v>46359</v>
      </c>
      <c r="B273" s="20">
        <v>452076</v>
      </c>
      <c r="C273" s="12" t="str">
        <f>VLOOKUP(B273,Employee_Master!A:B,2,0)</f>
        <v>Shraddha Singh</v>
      </c>
      <c r="D273" s="1" t="s">
        <v>208</v>
      </c>
      <c r="E273" s="1" t="s">
        <v>234</v>
      </c>
      <c r="F273" s="1" t="s">
        <v>234</v>
      </c>
      <c r="G273" s="1" t="s">
        <v>220</v>
      </c>
      <c r="H273" s="1">
        <f t="shared" si="31"/>
        <v>10</v>
      </c>
      <c r="I273" s="1">
        <f t="shared" si="32"/>
        <v>70</v>
      </c>
      <c r="J273" s="1">
        <f>IFERROR(VLOOKUP(D273,Event_Master!B:E,4,FALSE),1)</f>
        <v>1.5</v>
      </c>
      <c r="K273" s="1">
        <f t="shared" si="33"/>
        <v>105</v>
      </c>
      <c r="L273" s="1">
        <f t="shared" si="34"/>
        <v>115</v>
      </c>
    </row>
    <row r="274" ht="16" spans="1:12">
      <c r="A274" s="9">
        <v>46359</v>
      </c>
      <c r="B274" s="21">
        <v>452073</v>
      </c>
      <c r="C274" s="12" t="str">
        <f>VLOOKUP(B274,Employee_Master!A:B,2,0)</f>
        <v>Aashish </v>
      </c>
      <c r="D274" s="1" t="s">
        <v>208</v>
      </c>
      <c r="E274" s="1" t="s">
        <v>234</v>
      </c>
      <c r="F274" s="1" t="s">
        <v>234</v>
      </c>
      <c r="G274" s="1" t="s">
        <v>219</v>
      </c>
      <c r="H274" s="1">
        <f t="shared" si="31"/>
        <v>10</v>
      </c>
      <c r="I274" s="1">
        <f t="shared" si="32"/>
        <v>100</v>
      </c>
      <c r="J274" s="1">
        <f>IFERROR(VLOOKUP(D274,Event_Master!B:E,4,FALSE),1)</f>
        <v>1.5</v>
      </c>
      <c r="K274" s="1">
        <f t="shared" si="33"/>
        <v>150</v>
      </c>
      <c r="L274" s="1">
        <f t="shared" si="34"/>
        <v>160</v>
      </c>
    </row>
    <row r="275" ht="16" spans="1:12">
      <c r="A275" s="9">
        <v>46359</v>
      </c>
      <c r="B275" s="20">
        <v>464500</v>
      </c>
      <c r="C275" s="12" t="str">
        <f>VLOOKUP(B275,Employee_Master!A:B,2,0)</f>
        <v>Dalip Sharma</v>
      </c>
      <c r="D275" s="1" t="s">
        <v>208</v>
      </c>
      <c r="E275" s="1" t="s">
        <v>234</v>
      </c>
      <c r="F275" s="1" t="s">
        <v>234</v>
      </c>
      <c r="H275" s="1">
        <f t="shared" si="31"/>
        <v>10</v>
      </c>
      <c r="I275" s="1">
        <f t="shared" si="32"/>
        <v>0</v>
      </c>
      <c r="J275" s="1">
        <f>IFERROR(VLOOKUP(D275,Event_Master!B:E,4,FALSE),1)</f>
        <v>1.5</v>
      </c>
      <c r="K275" s="1">
        <f t="shared" si="33"/>
        <v>0</v>
      </c>
      <c r="L275" s="1">
        <f t="shared" si="34"/>
        <v>10</v>
      </c>
    </row>
    <row r="276" ht="16" spans="1:12">
      <c r="A276" s="9">
        <v>46359</v>
      </c>
      <c r="B276" s="21">
        <v>457430</v>
      </c>
      <c r="C276" s="12" t="str">
        <f>VLOOKUP(B276,Employee_Master!A:B,2,0)</f>
        <v>Manish Kumar</v>
      </c>
      <c r="D276" s="1" t="s">
        <v>208</v>
      </c>
      <c r="E276" s="1" t="s">
        <v>234</v>
      </c>
      <c r="F276" s="1" t="s">
        <v>234</v>
      </c>
      <c r="H276" s="1">
        <f t="shared" si="31"/>
        <v>10</v>
      </c>
      <c r="I276" s="1">
        <f t="shared" si="32"/>
        <v>0</v>
      </c>
      <c r="J276" s="1">
        <f>IFERROR(VLOOKUP(D276,Event_Master!B:E,4,FALSE),1)</f>
        <v>1.5</v>
      </c>
      <c r="K276" s="1">
        <f t="shared" si="33"/>
        <v>0</v>
      </c>
      <c r="L276" s="1">
        <f t="shared" si="34"/>
        <v>10</v>
      </c>
    </row>
    <row r="277" ht="16" spans="1:12">
      <c r="A277" s="9">
        <v>46359</v>
      </c>
      <c r="B277" s="20">
        <v>446300</v>
      </c>
      <c r="C277" s="12" t="str">
        <f>VLOOKUP(B277,Employee_Master!A:B,2,0)</f>
        <v>Simranjit Singh</v>
      </c>
      <c r="D277" s="1" t="s">
        <v>208</v>
      </c>
      <c r="E277" s="1" t="s">
        <v>234</v>
      </c>
      <c r="F277" s="1" t="s">
        <v>234</v>
      </c>
      <c r="G277" s="1" t="s">
        <v>220</v>
      </c>
      <c r="H277" s="1">
        <f t="shared" si="31"/>
        <v>10</v>
      </c>
      <c r="I277" s="1">
        <f t="shared" si="32"/>
        <v>70</v>
      </c>
      <c r="J277" s="1">
        <f>IFERROR(VLOOKUP(D277,Event_Master!B:E,4,FALSE),1)</f>
        <v>1.5</v>
      </c>
      <c r="K277" s="1">
        <f t="shared" si="33"/>
        <v>105</v>
      </c>
      <c r="L277" s="1">
        <f t="shared" si="34"/>
        <v>115</v>
      </c>
    </row>
    <row r="278" ht="16" spans="1:12">
      <c r="A278" s="9">
        <v>46359</v>
      </c>
      <c r="B278" s="21">
        <v>456743</v>
      </c>
      <c r="C278" s="12" t="str">
        <f>VLOOKUP(B278,Employee_Master!A:B,2,0)</f>
        <v>Chironjee Narvare</v>
      </c>
      <c r="D278" s="1" t="s">
        <v>208</v>
      </c>
      <c r="E278" s="1" t="s">
        <v>234</v>
      </c>
      <c r="F278" s="1" t="s">
        <v>234</v>
      </c>
      <c r="G278" s="1" t="s">
        <v>220</v>
      </c>
      <c r="H278" s="1">
        <f t="shared" si="31"/>
        <v>10</v>
      </c>
      <c r="I278" s="1">
        <f t="shared" si="32"/>
        <v>70</v>
      </c>
      <c r="J278" s="1">
        <f>IFERROR(VLOOKUP(D278,Event_Master!B:E,4,FALSE),1)</f>
        <v>1.5</v>
      </c>
      <c r="K278" s="1">
        <f t="shared" si="33"/>
        <v>105</v>
      </c>
      <c r="L278" s="1">
        <f t="shared" si="34"/>
        <v>115</v>
      </c>
    </row>
    <row r="279" ht="16" spans="1:12">
      <c r="A279" s="9">
        <v>46359</v>
      </c>
      <c r="B279" s="21">
        <v>705995</v>
      </c>
      <c r="C279" s="12" t="str">
        <f>VLOOKUP(B279,Employee_Master!A:B,2,0)</f>
        <v>Sahil.</v>
      </c>
      <c r="D279" s="1" t="s">
        <v>208</v>
      </c>
      <c r="E279" s="1" t="s">
        <v>234</v>
      </c>
      <c r="F279" s="1" t="s">
        <v>234</v>
      </c>
      <c r="H279" s="1">
        <f t="shared" si="31"/>
        <v>10</v>
      </c>
      <c r="I279" s="1">
        <f t="shared" si="32"/>
        <v>0</v>
      </c>
      <c r="J279" s="1">
        <f>IFERROR(VLOOKUP(D279,Event_Master!B:E,4,FALSE),1)</f>
        <v>1.5</v>
      </c>
      <c r="K279" s="1">
        <f t="shared" si="33"/>
        <v>0</v>
      </c>
      <c r="L279" s="1">
        <f t="shared" si="34"/>
        <v>10</v>
      </c>
    </row>
    <row r="280" ht="16" spans="1:12">
      <c r="A280" s="9">
        <v>46359</v>
      </c>
      <c r="B280" s="20">
        <v>466167</v>
      </c>
      <c r="C280" s="12" t="str">
        <f>VLOOKUP(B280,Employee_Master!A:B,2,0)</f>
        <v>Aishwarya Sharma</v>
      </c>
      <c r="D280" s="1" t="s">
        <v>208</v>
      </c>
      <c r="E280" s="1" t="s">
        <v>234</v>
      </c>
      <c r="F280" s="1" t="s">
        <v>234</v>
      </c>
      <c r="G280" s="1" t="s">
        <v>219</v>
      </c>
      <c r="H280" s="1">
        <f t="shared" si="31"/>
        <v>10</v>
      </c>
      <c r="I280" s="1">
        <f t="shared" si="32"/>
        <v>100</v>
      </c>
      <c r="J280" s="1">
        <f>IFERROR(VLOOKUP(D280,Event_Master!B:E,4,FALSE),1)</f>
        <v>1.5</v>
      </c>
      <c r="K280" s="1">
        <f t="shared" si="33"/>
        <v>150</v>
      </c>
      <c r="L280" s="1">
        <f t="shared" si="34"/>
        <v>160</v>
      </c>
    </row>
    <row r="281" ht="16" spans="1:12">
      <c r="A281" s="9">
        <v>46359</v>
      </c>
      <c r="B281" s="15">
        <v>466445</v>
      </c>
      <c r="C281" s="12" t="str">
        <f>VLOOKUP(B281,Employee_Master!A:B,2,0)</f>
        <v>Ayush Kumar</v>
      </c>
      <c r="D281" s="1" t="s">
        <v>208</v>
      </c>
      <c r="E281" s="1" t="s">
        <v>234</v>
      </c>
      <c r="F281" s="1" t="s">
        <v>234</v>
      </c>
      <c r="H281" s="1">
        <f t="shared" si="31"/>
        <v>10</v>
      </c>
      <c r="I281" s="1">
        <f t="shared" si="32"/>
        <v>0</v>
      </c>
      <c r="J281" s="1">
        <f>IFERROR(VLOOKUP(D281,Event_Master!B:E,4,FALSE),1)</f>
        <v>1.5</v>
      </c>
      <c r="K281" s="1">
        <f t="shared" si="33"/>
        <v>0</v>
      </c>
      <c r="L281" s="1">
        <f t="shared" si="34"/>
        <v>10</v>
      </c>
    </row>
    <row r="282" ht="16" spans="1:12">
      <c r="A282" s="9">
        <v>46359</v>
      </c>
      <c r="B282" s="15">
        <v>365114</v>
      </c>
      <c r="C282" s="12" t="str">
        <f>VLOOKUP(B282,Employee_Master!A:B,2,0)</f>
        <v>Bhanu Sirohi</v>
      </c>
      <c r="D282" s="1" t="s">
        <v>208</v>
      </c>
      <c r="E282" s="1" t="s">
        <v>234</v>
      </c>
      <c r="F282" s="1" t="s">
        <v>234</v>
      </c>
      <c r="H282" s="1">
        <f t="shared" si="31"/>
        <v>10</v>
      </c>
      <c r="I282" s="1">
        <f t="shared" si="32"/>
        <v>0</v>
      </c>
      <c r="J282" s="1">
        <f>IFERROR(VLOOKUP(D282,Event_Master!B:E,4,FALSE),1)</f>
        <v>1.5</v>
      </c>
      <c r="K282" s="1">
        <f t="shared" si="33"/>
        <v>0</v>
      </c>
      <c r="L282" s="1">
        <f t="shared" si="34"/>
        <v>10</v>
      </c>
    </row>
    <row r="283" ht="16" spans="1:12">
      <c r="A283" s="9">
        <v>46359</v>
      </c>
      <c r="B283" s="15">
        <v>420109</v>
      </c>
      <c r="C283" s="12" t="str">
        <f>VLOOKUP(B283,Employee_Master!A:B,2,0)</f>
        <v>Chandraprakash Nandwana</v>
      </c>
      <c r="D283" s="1" t="s">
        <v>208</v>
      </c>
      <c r="E283" s="1" t="s">
        <v>234</v>
      </c>
      <c r="F283" s="1" t="s">
        <v>234</v>
      </c>
      <c r="H283" s="1">
        <f t="shared" si="31"/>
        <v>10</v>
      </c>
      <c r="I283" s="1">
        <f t="shared" si="32"/>
        <v>0</v>
      </c>
      <c r="J283" s="1">
        <f>IFERROR(VLOOKUP(D283,Event_Master!B:E,4,FALSE),1)</f>
        <v>1.5</v>
      </c>
      <c r="K283" s="1">
        <f t="shared" si="33"/>
        <v>0</v>
      </c>
      <c r="L283" s="1">
        <f t="shared" ref="L283:L328" si="35">K283+H283</f>
        <v>10</v>
      </c>
    </row>
    <row r="284" ht="16" spans="1:12">
      <c r="A284" s="9">
        <v>46359</v>
      </c>
      <c r="B284" s="15">
        <v>460812</v>
      </c>
      <c r="C284" s="12" t="str">
        <f>VLOOKUP(B284,Employee_Master!A:B,2,0)</f>
        <v>Deepak Sharma</v>
      </c>
      <c r="D284" s="1" t="s">
        <v>208</v>
      </c>
      <c r="E284" s="1" t="s">
        <v>234</v>
      </c>
      <c r="F284" s="1" t="s">
        <v>234</v>
      </c>
      <c r="H284" s="1">
        <f t="shared" si="31"/>
        <v>10</v>
      </c>
      <c r="I284" s="1">
        <f t="shared" si="32"/>
        <v>0</v>
      </c>
      <c r="J284" s="1">
        <f>IFERROR(VLOOKUP(D284,Event_Master!B:E,4,FALSE),1)</f>
        <v>1.5</v>
      </c>
      <c r="K284" s="1">
        <f t="shared" si="33"/>
        <v>0</v>
      </c>
      <c r="L284" s="1">
        <f t="shared" si="35"/>
        <v>10</v>
      </c>
    </row>
    <row r="285" ht="16" spans="1:12">
      <c r="A285" s="9">
        <v>46359</v>
      </c>
      <c r="B285" s="15">
        <v>396485</v>
      </c>
      <c r="C285" s="12" t="str">
        <f>VLOOKUP(B285,Employee_Master!A:B,2,0)</f>
        <v>Khushbir Singh</v>
      </c>
      <c r="D285" s="1" t="s">
        <v>208</v>
      </c>
      <c r="E285" s="1" t="s">
        <v>234</v>
      </c>
      <c r="F285" s="1" t="s">
        <v>234</v>
      </c>
      <c r="G285" s="1" t="s">
        <v>220</v>
      </c>
      <c r="H285" s="1">
        <f t="shared" si="31"/>
        <v>10</v>
      </c>
      <c r="I285" s="1">
        <f t="shared" si="32"/>
        <v>70</v>
      </c>
      <c r="J285" s="1">
        <f>IFERROR(VLOOKUP(D285,Event_Master!B:E,4,FALSE),1)</f>
        <v>1.5</v>
      </c>
      <c r="K285" s="1">
        <f t="shared" si="33"/>
        <v>105</v>
      </c>
      <c r="L285" s="1">
        <f t="shared" si="35"/>
        <v>115</v>
      </c>
    </row>
    <row r="286" ht="16" spans="1:12">
      <c r="A286" s="9">
        <v>46359</v>
      </c>
      <c r="B286" s="15">
        <v>460692</v>
      </c>
      <c r="C286" s="12" t="str">
        <f>VLOOKUP(B286,Employee_Master!A:B,2,0)</f>
        <v>Mayank Arya</v>
      </c>
      <c r="D286" s="1" t="s">
        <v>208</v>
      </c>
      <c r="E286" s="1" t="s">
        <v>234</v>
      </c>
      <c r="F286" s="1" t="s">
        <v>234</v>
      </c>
      <c r="H286" s="1">
        <f t="shared" si="31"/>
        <v>10</v>
      </c>
      <c r="I286" s="1">
        <f t="shared" si="32"/>
        <v>0</v>
      </c>
      <c r="J286" s="1">
        <f>IFERROR(VLOOKUP(D286,Event_Master!B:E,4,FALSE),1)</f>
        <v>1.5</v>
      </c>
      <c r="K286" s="1">
        <f t="shared" si="33"/>
        <v>0</v>
      </c>
      <c r="L286" s="1">
        <f t="shared" si="35"/>
        <v>10</v>
      </c>
    </row>
    <row r="287" ht="16" spans="1:12">
      <c r="A287" s="9">
        <v>46359</v>
      </c>
      <c r="B287" s="15">
        <v>453949</v>
      </c>
      <c r="C287" s="12" t="str">
        <f>VLOOKUP(B287,Employee_Master!A:B,2,0)</f>
        <v>Naveen Kumar</v>
      </c>
      <c r="D287" s="1" t="s">
        <v>208</v>
      </c>
      <c r="E287" s="1" t="s">
        <v>234</v>
      </c>
      <c r="F287" s="1" t="s">
        <v>234</v>
      </c>
      <c r="H287" s="1">
        <f t="shared" si="31"/>
        <v>10</v>
      </c>
      <c r="I287" s="1">
        <f t="shared" si="32"/>
        <v>0</v>
      </c>
      <c r="J287" s="1">
        <f>IFERROR(VLOOKUP(D287,Event_Master!B:E,4,FALSE),1)</f>
        <v>1.5</v>
      </c>
      <c r="K287" s="1">
        <f t="shared" si="33"/>
        <v>0</v>
      </c>
      <c r="L287" s="1">
        <f t="shared" si="35"/>
        <v>10</v>
      </c>
    </row>
    <row r="288" ht="16" spans="1:12">
      <c r="A288" s="9">
        <v>46359</v>
      </c>
      <c r="B288" s="15">
        <v>488518</v>
      </c>
      <c r="C288" s="12" t="str">
        <f>VLOOKUP(B288,Employee_Master!A:B,2,0)</f>
        <v>Neha Chaturvedi</v>
      </c>
      <c r="D288" s="1" t="s">
        <v>208</v>
      </c>
      <c r="E288" s="1" t="s">
        <v>234</v>
      </c>
      <c r="F288" s="1" t="s">
        <v>234</v>
      </c>
      <c r="H288" s="1">
        <f t="shared" si="31"/>
        <v>10</v>
      </c>
      <c r="I288" s="1">
        <f t="shared" si="32"/>
        <v>0</v>
      </c>
      <c r="J288" s="1">
        <f>IFERROR(VLOOKUP(D288,Event_Master!B:E,4,FALSE),1)</f>
        <v>1.5</v>
      </c>
      <c r="K288" s="1">
        <f t="shared" si="33"/>
        <v>0</v>
      </c>
      <c r="L288" s="1">
        <f t="shared" si="35"/>
        <v>10</v>
      </c>
    </row>
    <row r="289" ht="16" spans="1:12">
      <c r="A289" s="9">
        <v>46359</v>
      </c>
      <c r="B289" s="15">
        <v>435877</v>
      </c>
      <c r="C289" s="12" t="str">
        <f>VLOOKUP(B289,Employee_Master!A:B,2,0)</f>
        <v>Pardeep Kumar</v>
      </c>
      <c r="D289" s="1" t="s">
        <v>208</v>
      </c>
      <c r="E289" s="1" t="s">
        <v>234</v>
      </c>
      <c r="F289" s="1" t="s">
        <v>234</v>
      </c>
      <c r="H289" s="1">
        <f t="shared" si="31"/>
        <v>10</v>
      </c>
      <c r="I289" s="1">
        <f t="shared" si="32"/>
        <v>0</v>
      </c>
      <c r="J289" s="1">
        <f>IFERROR(VLOOKUP(D289,Event_Master!B:E,4,FALSE),1)</f>
        <v>1.5</v>
      </c>
      <c r="K289" s="1">
        <f t="shared" si="33"/>
        <v>0</v>
      </c>
      <c r="L289" s="1">
        <f t="shared" si="35"/>
        <v>10</v>
      </c>
    </row>
    <row r="290" ht="16" spans="1:12">
      <c r="A290" s="9">
        <v>46359</v>
      </c>
      <c r="B290" s="15">
        <v>412273</v>
      </c>
      <c r="C290" s="12" t="str">
        <f>VLOOKUP(B290,Employee_Master!A:B,2,0)</f>
        <v>Sandeep Sengar</v>
      </c>
      <c r="D290" s="1" t="s">
        <v>208</v>
      </c>
      <c r="E290" s="1" t="s">
        <v>234</v>
      </c>
      <c r="F290" s="1" t="s">
        <v>234</v>
      </c>
      <c r="H290" s="1">
        <f t="shared" si="31"/>
        <v>10</v>
      </c>
      <c r="I290" s="1">
        <f t="shared" si="32"/>
        <v>0</v>
      </c>
      <c r="J290" s="1">
        <f>IFERROR(VLOOKUP(D290,Event_Master!B:E,4,FALSE),1)</f>
        <v>1.5</v>
      </c>
      <c r="K290" s="1">
        <f t="shared" si="33"/>
        <v>0</v>
      </c>
      <c r="L290" s="1">
        <f t="shared" si="35"/>
        <v>10</v>
      </c>
    </row>
    <row r="291" ht="16" spans="1:12">
      <c r="A291" s="9">
        <v>46359</v>
      </c>
      <c r="B291" s="15">
        <v>479827</v>
      </c>
      <c r="C291" s="12" t="str">
        <f>VLOOKUP(B291,Employee_Master!A:B,2,0)</f>
        <v>Sunil Kr. Singh</v>
      </c>
      <c r="D291" s="1" t="s">
        <v>208</v>
      </c>
      <c r="E291" s="1" t="s">
        <v>234</v>
      </c>
      <c r="F291" s="1" t="s">
        <v>234</v>
      </c>
      <c r="H291" s="1">
        <f t="shared" si="31"/>
        <v>10</v>
      </c>
      <c r="I291" s="1">
        <f t="shared" si="32"/>
        <v>0</v>
      </c>
      <c r="J291" s="1">
        <f>IFERROR(VLOOKUP(D291,Event_Master!B:E,4,FALSE),1)</f>
        <v>1.5</v>
      </c>
      <c r="K291" s="1">
        <f t="shared" si="33"/>
        <v>0</v>
      </c>
      <c r="L291" s="1">
        <f t="shared" si="35"/>
        <v>10</v>
      </c>
    </row>
    <row r="292" ht="16" spans="1:12">
      <c r="A292" s="9">
        <v>46359</v>
      </c>
      <c r="B292" s="15">
        <v>423859</v>
      </c>
      <c r="C292" s="12" t="str">
        <f>VLOOKUP(B292,Employee_Master!A:B,2,0)</f>
        <v>Tilak Raj</v>
      </c>
      <c r="D292" s="1" t="s">
        <v>208</v>
      </c>
      <c r="E292" s="1" t="s">
        <v>234</v>
      </c>
      <c r="F292" s="1" t="s">
        <v>234</v>
      </c>
      <c r="H292" s="1">
        <f t="shared" si="31"/>
        <v>10</v>
      </c>
      <c r="I292" s="1">
        <f t="shared" si="32"/>
        <v>0</v>
      </c>
      <c r="J292" s="1">
        <f>IFERROR(VLOOKUP(D292,Event_Master!B:E,4,FALSE),1)</f>
        <v>1.5</v>
      </c>
      <c r="K292" s="1">
        <f t="shared" si="33"/>
        <v>0</v>
      </c>
      <c r="L292" s="1">
        <f t="shared" si="35"/>
        <v>10</v>
      </c>
    </row>
    <row r="293" ht="16" spans="1:12">
      <c r="A293" s="9">
        <v>46359</v>
      </c>
      <c r="B293" s="15">
        <v>438263</v>
      </c>
      <c r="C293" s="12" t="str">
        <f>VLOOKUP(B293,Employee_Master!A:B,2,0)</f>
        <v>Vikash Kumar</v>
      </c>
      <c r="D293" s="1" t="s">
        <v>208</v>
      </c>
      <c r="E293" s="1" t="s">
        <v>234</v>
      </c>
      <c r="F293" s="1" t="s">
        <v>234</v>
      </c>
      <c r="H293" s="1">
        <f t="shared" si="31"/>
        <v>10</v>
      </c>
      <c r="I293" s="1">
        <f t="shared" si="32"/>
        <v>0</v>
      </c>
      <c r="J293" s="1">
        <f>IFERROR(VLOOKUP(D293,Event_Master!B:E,4,FALSE),1)</f>
        <v>1.5</v>
      </c>
      <c r="K293" s="1">
        <f t="shared" si="33"/>
        <v>0</v>
      </c>
      <c r="L293" s="1">
        <f t="shared" si="35"/>
        <v>10</v>
      </c>
    </row>
    <row r="294" ht="16" spans="1:12">
      <c r="A294" s="9">
        <v>46359</v>
      </c>
      <c r="B294" s="1">
        <v>452056</v>
      </c>
      <c r="C294" s="12" t="str">
        <f>VLOOKUP(B294,Employee_Master!A:B,2,0)</f>
        <v>Rupesh Thakur</v>
      </c>
      <c r="D294" s="1" t="s">
        <v>208</v>
      </c>
      <c r="E294" s="1" t="s">
        <v>234</v>
      </c>
      <c r="F294" s="1" t="s">
        <v>234</v>
      </c>
      <c r="H294" s="1">
        <f t="shared" si="31"/>
        <v>10</v>
      </c>
      <c r="I294" s="1">
        <f t="shared" si="32"/>
        <v>0</v>
      </c>
      <c r="J294" s="1">
        <f>IFERROR(VLOOKUP(D294,Event_Master!B:E,4,FALSE),1)</f>
        <v>1.5</v>
      </c>
      <c r="K294" s="1">
        <f t="shared" si="33"/>
        <v>0</v>
      </c>
      <c r="L294" s="1">
        <f t="shared" si="35"/>
        <v>10</v>
      </c>
    </row>
    <row r="295" ht="16" spans="1:12">
      <c r="A295" s="9">
        <v>46359</v>
      </c>
      <c r="B295" s="1">
        <v>467075</v>
      </c>
      <c r="C295" s="12" t="str">
        <f>VLOOKUP(B295,Employee_Master!A:B,2,0)</f>
        <v>Ritish</v>
      </c>
      <c r="D295" s="1" t="s">
        <v>208</v>
      </c>
      <c r="E295" s="1" t="s">
        <v>234</v>
      </c>
      <c r="F295" s="1" t="s">
        <v>234</v>
      </c>
      <c r="H295" s="1">
        <f t="shared" si="31"/>
        <v>10</v>
      </c>
      <c r="I295" s="1">
        <f t="shared" si="32"/>
        <v>0</v>
      </c>
      <c r="J295" s="1">
        <f>IFERROR(VLOOKUP(D295,Event_Master!B:E,4,FALSE),1)</f>
        <v>1.5</v>
      </c>
      <c r="K295" s="1">
        <f t="shared" si="33"/>
        <v>0</v>
      </c>
      <c r="L295" s="1">
        <f t="shared" si="35"/>
        <v>10</v>
      </c>
    </row>
    <row r="296" ht="16" spans="1:12">
      <c r="A296" s="9">
        <v>46359</v>
      </c>
      <c r="B296" s="7">
        <v>467915</v>
      </c>
      <c r="C296" s="12" t="str">
        <f>VLOOKUP(B296,Employee_Master!A:B,2,0)</f>
        <v>Rahul Kinkar</v>
      </c>
      <c r="D296" s="1" t="s">
        <v>208</v>
      </c>
      <c r="E296" s="1" t="s">
        <v>234</v>
      </c>
      <c r="F296" s="1" t="s">
        <v>234</v>
      </c>
      <c r="H296" s="1">
        <f t="shared" si="31"/>
        <v>10</v>
      </c>
      <c r="I296" s="1">
        <f t="shared" si="32"/>
        <v>0</v>
      </c>
      <c r="J296" s="1">
        <f>IFERROR(VLOOKUP(D296,Event_Master!B:E,4,FALSE),1)</f>
        <v>1.5</v>
      </c>
      <c r="K296" s="1">
        <f t="shared" si="33"/>
        <v>0</v>
      </c>
      <c r="L296" s="1">
        <f t="shared" si="35"/>
        <v>10</v>
      </c>
    </row>
    <row r="297" ht="16" spans="1:12">
      <c r="A297" s="9">
        <v>46359</v>
      </c>
      <c r="B297" s="7">
        <v>469627</v>
      </c>
      <c r="C297" s="12" t="str">
        <f>VLOOKUP(B297,Employee_Master!A:B,2,0)</f>
        <v>Rahul Kumar</v>
      </c>
      <c r="D297" s="1" t="s">
        <v>208</v>
      </c>
      <c r="E297" s="1" t="s">
        <v>234</v>
      </c>
      <c r="F297" s="1" t="s">
        <v>234</v>
      </c>
      <c r="H297" s="1">
        <f t="shared" si="31"/>
        <v>10</v>
      </c>
      <c r="I297" s="1">
        <f t="shared" si="32"/>
        <v>0</v>
      </c>
      <c r="J297" s="1">
        <f>IFERROR(VLOOKUP(D297,Event_Master!B:E,4,FALSE),1)</f>
        <v>1.5</v>
      </c>
      <c r="K297" s="1">
        <f t="shared" si="33"/>
        <v>0</v>
      </c>
      <c r="L297" s="1">
        <f t="shared" si="35"/>
        <v>10</v>
      </c>
    </row>
    <row r="298" ht="16" spans="1:12">
      <c r="A298" s="9">
        <v>46359</v>
      </c>
      <c r="B298" s="1">
        <v>452058</v>
      </c>
      <c r="C298" s="12" t="str">
        <f>VLOOKUP(B298,Employee_Master!A:B,2,0)</f>
        <v>Bhavya Gupta</v>
      </c>
      <c r="D298" s="1" t="s">
        <v>208</v>
      </c>
      <c r="E298" s="1" t="s">
        <v>234</v>
      </c>
      <c r="F298" s="1" t="s">
        <v>234</v>
      </c>
      <c r="H298" s="1">
        <f t="shared" si="31"/>
        <v>10</v>
      </c>
      <c r="I298" s="1">
        <f t="shared" si="32"/>
        <v>0</v>
      </c>
      <c r="J298" s="1">
        <f>IFERROR(VLOOKUP(D298,Event_Master!B:E,4,FALSE),1)</f>
        <v>1.5</v>
      </c>
      <c r="K298" s="1">
        <f t="shared" si="33"/>
        <v>0</v>
      </c>
      <c r="L298" s="1">
        <f t="shared" si="35"/>
        <v>10</v>
      </c>
    </row>
    <row r="299" s="1" customFormat="1" ht="16" spans="1:12">
      <c r="A299" s="9">
        <v>46359</v>
      </c>
      <c r="B299" s="20">
        <v>434518</v>
      </c>
      <c r="C299" s="12" t="str">
        <f>VLOOKUP(B299,[1]Employee_Master!A:B,2,0)</f>
        <v>Maneesh Mohan</v>
      </c>
      <c r="D299" s="1" t="s">
        <v>204</v>
      </c>
      <c r="E299" s="1" t="s">
        <v>234</v>
      </c>
      <c r="F299" s="1" t="s">
        <v>234</v>
      </c>
      <c r="G299" s="1" t="s">
        <v>219</v>
      </c>
      <c r="H299" s="1">
        <f t="shared" ref="H299:H302" si="36">IF(F299="Yes",10,0)</f>
        <v>10</v>
      </c>
      <c r="I299" s="1">
        <f t="shared" ref="I299:I302" si="37">IF(G299="Winner",100,IF(G299="Runner-up",70,IF(G299="2nd Runner-up",50,IF(G299="Semi",30,IF(G299="Quarter",20,0)))))</f>
        <v>100</v>
      </c>
      <c r="J299" s="1">
        <f>IFERROR(VLOOKUP(D299,[1]Event_Master!B:E,4,FALSE),1)</f>
        <v>1.5</v>
      </c>
      <c r="K299" s="1">
        <f t="shared" si="33"/>
        <v>150</v>
      </c>
      <c r="L299" s="1">
        <f t="shared" si="35"/>
        <v>160</v>
      </c>
    </row>
    <row r="300" s="1" customFormat="1" ht="16" spans="1:12">
      <c r="A300" s="9">
        <v>46359</v>
      </c>
      <c r="B300" s="16">
        <v>465255</v>
      </c>
      <c r="C300" s="12" t="str">
        <f>VLOOKUP(B300,[1]Employee_Master!A:B,2,0)</f>
        <v>Mukul Suman</v>
      </c>
      <c r="D300" s="1" t="s">
        <v>208</v>
      </c>
      <c r="E300" s="1" t="s">
        <v>234</v>
      </c>
      <c r="F300" s="1" t="s">
        <v>234</v>
      </c>
      <c r="G300" s="1" t="s">
        <v>219</v>
      </c>
      <c r="H300" s="1">
        <f t="shared" si="36"/>
        <v>10</v>
      </c>
      <c r="I300" s="1">
        <f t="shared" si="37"/>
        <v>100</v>
      </c>
      <c r="J300" s="1">
        <f>IFERROR(VLOOKUP(D300,[1]Event_Master!B:E,4,FALSE),1)</f>
        <v>1.5</v>
      </c>
      <c r="K300" s="1">
        <f t="shared" si="33"/>
        <v>150</v>
      </c>
      <c r="L300" s="1">
        <f t="shared" si="35"/>
        <v>160</v>
      </c>
    </row>
    <row r="301" s="1" customFormat="1" ht="16" spans="1:12">
      <c r="A301" s="9">
        <v>46359</v>
      </c>
      <c r="B301" s="16">
        <v>450256</v>
      </c>
      <c r="C301" s="12" t="str">
        <f>VLOOKUP(B301,[1]Employee_Master!A:B,2,0)</f>
        <v>Jyotish  Patar</v>
      </c>
      <c r="D301" s="1" t="s">
        <v>208</v>
      </c>
      <c r="E301" s="1" t="s">
        <v>234</v>
      </c>
      <c r="F301" s="1" t="s">
        <v>234</v>
      </c>
      <c r="G301" s="1" t="s">
        <v>219</v>
      </c>
      <c r="H301" s="1">
        <f t="shared" si="36"/>
        <v>10</v>
      </c>
      <c r="I301" s="1">
        <f t="shared" si="37"/>
        <v>100</v>
      </c>
      <c r="J301" s="1">
        <f>IFERROR(VLOOKUP(D301,[1]Event_Master!B:E,4,FALSE),1)</f>
        <v>1.5</v>
      </c>
      <c r="K301" s="1">
        <f t="shared" si="33"/>
        <v>150</v>
      </c>
      <c r="L301" s="1">
        <f t="shared" si="35"/>
        <v>160</v>
      </c>
    </row>
    <row r="302" s="1" customFormat="1" ht="16" spans="1:12">
      <c r="A302" s="9">
        <v>46359</v>
      </c>
      <c r="B302" s="16">
        <v>450694</v>
      </c>
      <c r="C302" s="12" t="str">
        <f>VLOOKUP(B302,[1]Employee_Master!A:B,2,0)</f>
        <v>Kawaljot Kaur</v>
      </c>
      <c r="D302" s="1" t="s">
        <v>208</v>
      </c>
      <c r="E302" s="1" t="s">
        <v>234</v>
      </c>
      <c r="F302" s="1" t="s">
        <v>234</v>
      </c>
      <c r="G302" s="1" t="s">
        <v>220</v>
      </c>
      <c r="H302" s="1">
        <f t="shared" si="36"/>
        <v>10</v>
      </c>
      <c r="I302" s="1">
        <f t="shared" si="37"/>
        <v>70</v>
      </c>
      <c r="J302" s="1">
        <f>IFERROR(VLOOKUP(D302,[1]Event_Master!B:E,4,FALSE),1)</f>
        <v>1.5</v>
      </c>
      <c r="K302" s="1">
        <f t="shared" si="33"/>
        <v>105</v>
      </c>
      <c r="L302" s="1">
        <f t="shared" si="35"/>
        <v>115</v>
      </c>
    </row>
  </sheetData>
  <conditionalFormatting sqref="B296:B297">
    <cfRule type="duplicateValues" dxfId="0" priority="1"/>
  </conditionalFormatting>
  <dataValidations count="3">
    <dataValidation type="list" allowBlank="1" showInputMessage="1" showErrorMessage="1" sqref="G299">
      <formula1>#REF!</formula1>
    </dataValidation>
    <dataValidation type="list" allowBlank="1" showInputMessage="1" showErrorMessage="1" sqref="D2:D298 D303:D346">
      <formula1>Event_Master!$B$2:$B$21</formula1>
    </dataValidation>
    <dataValidation type="list" allowBlank="1" showInputMessage="1" showErrorMessage="1" sqref="G2:G218">
      <formula1>Score_Table!$B$4:$B$8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1"/>
  <sheetViews>
    <sheetView topLeftCell="A145" workbookViewId="0">
      <selection activeCell="A91" sqref="A91"/>
    </sheetView>
  </sheetViews>
  <sheetFormatPr defaultColWidth="9.13636363636364" defaultRowHeight="14.5" outlineLevelCol="3"/>
  <cols>
    <col min="1" max="1" width="13" style="1" customWidth="1"/>
    <col min="2" max="2" width="23.5727272727273" style="1" customWidth="1"/>
    <col min="3" max="3" width="28.2818181818182" style="1" customWidth="1"/>
    <col min="4" max="4" width="27.1363636363636" style="1" customWidth="1"/>
    <col min="5" max="16384" width="9.13636363636364" style="1"/>
  </cols>
  <sheetData>
    <row r="1" spans="1:4">
      <c r="A1" s="6" t="s">
        <v>0</v>
      </c>
      <c r="B1" s="6" t="s">
        <v>1</v>
      </c>
      <c r="C1" s="6" t="s">
        <v>2</v>
      </c>
      <c r="D1" s="6" t="s">
        <v>236</v>
      </c>
    </row>
    <row r="2" spans="1:4">
      <c r="A2" s="7">
        <v>411573</v>
      </c>
      <c r="B2" s="8" t="str">
        <f>IFERROR(VLOOKUP(A2,Employee_Master!A:B,2,0),"")</f>
        <v>Atishay Dwivedi</v>
      </c>
      <c r="C2" s="8" t="str">
        <f>IFERROR(VLOOKUP(A2,Employee_Master!A:B,3,0),"")</f>
        <v/>
      </c>
      <c r="D2" s="8" t="str">
        <f>IF(SUMIF(Participation_Entry!B:B,A2,Participation_Entry!L:L)=0,"",SUMIF(Participation_Entry!B:B,A2,Participation_Entry!L:L))</f>
        <v/>
      </c>
    </row>
    <row r="3" spans="1:4">
      <c r="A3" s="7">
        <v>433939</v>
      </c>
      <c r="B3" s="8" t="str">
        <f>IFERROR(VLOOKUP(A3,Employee_Master!A:B,2,0),"")</f>
        <v>Manish Kumar</v>
      </c>
      <c r="C3" s="8" t="str">
        <f>IFERROR(VLOOKUP(A3,Employee_Master!A:B,3,0),"")</f>
        <v/>
      </c>
      <c r="D3" s="8" t="str">
        <f>IF(SUMIF(Participation_Entry!B:B,A3,Participation_Entry!L:L)=0,"",SUMIF(Participation_Entry!B:B,A3,Participation_Entry!L:L))</f>
        <v/>
      </c>
    </row>
    <row r="4" spans="1:4">
      <c r="A4" s="7">
        <v>407302</v>
      </c>
      <c r="B4" s="8" t="str">
        <f>IFERROR(VLOOKUP(A4,Employee_Master!A:B,2,0),"")</f>
        <v>Sanjaya Sahoo</v>
      </c>
      <c r="C4" s="8" t="str">
        <f>IFERROR(VLOOKUP(A4,Employee_Master!A:B,3,0),"")</f>
        <v/>
      </c>
      <c r="D4" s="8" t="str">
        <f>IF(SUMIF(Participation_Entry!B:B,A4,Participation_Entry!L:L)=0,"",SUMIF(Participation_Entry!B:B,A4,Participation_Entry!L:L))</f>
        <v/>
      </c>
    </row>
    <row r="5" spans="1:4">
      <c r="A5" s="7">
        <v>427568</v>
      </c>
      <c r="B5" s="8" t="str">
        <f>IFERROR(VLOOKUP(A5,Employee_Master!A:B,2,0),"")</f>
        <v>Anjali Sundrani</v>
      </c>
      <c r="C5" s="8" t="str">
        <f>IFERROR(VLOOKUP(A5,Employee_Master!A:B,3,0),"")</f>
        <v/>
      </c>
      <c r="D5" s="8" t="str">
        <f>IF(SUMIF(Participation_Entry!B:B,A5,Participation_Entry!L:L)=0,"",SUMIF(Participation_Entry!B:B,A5,Participation_Entry!L:L))</f>
        <v/>
      </c>
    </row>
    <row r="6" spans="1:4">
      <c r="A6" s="7">
        <v>447096</v>
      </c>
      <c r="B6" s="8" t="str">
        <f>IFERROR(VLOOKUP(A6,Employee_Master!A:B,2,0),"")</f>
        <v>Deepak Tiwari</v>
      </c>
      <c r="C6" s="8" t="str">
        <f>IFERROR(VLOOKUP(A6,Employee_Master!A:B,3,0),"")</f>
        <v/>
      </c>
      <c r="D6" s="8" t="str">
        <f>IF(SUMIF(Participation_Entry!B:B,A6,Participation_Entry!L:L)=0,"",SUMIF(Participation_Entry!B:B,A6,Participation_Entry!L:L))</f>
        <v/>
      </c>
    </row>
    <row r="7" spans="1:4">
      <c r="A7" s="7">
        <v>460284</v>
      </c>
      <c r="B7" s="8" t="str">
        <f>IFERROR(VLOOKUP(A7,Employee_Master!A:B,2,0),"")</f>
        <v>Madhu Aggu</v>
      </c>
      <c r="C7" s="8" t="str">
        <f>IFERROR(VLOOKUP(A7,Employee_Master!A:B,3,0),"")</f>
        <v/>
      </c>
      <c r="D7" s="8" t="str">
        <f>IF(SUMIF(Participation_Entry!B:B,A7,Participation_Entry!L:L)=0,"",SUMIF(Participation_Entry!B:B,A7,Participation_Entry!L:L))</f>
        <v/>
      </c>
    </row>
    <row r="8" spans="1:4">
      <c r="A8" s="7">
        <v>445891</v>
      </c>
      <c r="B8" s="8" t="str">
        <f>IFERROR(VLOOKUP(A8,Employee_Master!A:B,2,0),"")</f>
        <v>Parmvir Singh</v>
      </c>
      <c r="C8" s="8" t="str">
        <f>IFERROR(VLOOKUP(A8,Employee_Master!A:B,3,0),"")</f>
        <v/>
      </c>
      <c r="D8" s="8" t="str">
        <f>IF(SUMIF(Participation_Entry!B:B,A8,Participation_Entry!L:L)=0,"",SUMIF(Participation_Entry!B:B,A8,Participation_Entry!L:L))</f>
        <v/>
      </c>
    </row>
    <row r="9" spans="1:4">
      <c r="A9" s="7">
        <v>428544</v>
      </c>
      <c r="B9" s="8" t="str">
        <f>IFERROR(VLOOKUP(A9,Employee_Master!A:B,2,0),"")</f>
        <v>Harjot Singh</v>
      </c>
      <c r="C9" s="8" t="str">
        <f>IFERROR(VLOOKUP(A9,Employee_Master!A:B,3,0),"")</f>
        <v/>
      </c>
      <c r="D9" s="8" t="str">
        <f>IF(SUMIF(Participation_Entry!B:B,A9,Participation_Entry!L:L)=0,"",SUMIF(Participation_Entry!B:B,A9,Participation_Entry!L:L))</f>
        <v/>
      </c>
    </row>
    <row r="10" spans="1:4">
      <c r="A10" s="7">
        <v>459464</v>
      </c>
      <c r="B10" s="8" t="str">
        <f>IFERROR(VLOOKUP(A10,Employee_Master!A:B,2,0),"")</f>
        <v>Manish Kumar Maury</v>
      </c>
      <c r="C10" s="8" t="str">
        <f>IFERROR(VLOOKUP(A10,Employee_Master!A:B,3,0),"")</f>
        <v/>
      </c>
      <c r="D10" s="8" t="str">
        <f>IF(SUMIF(Participation_Entry!B:B,A10,Participation_Entry!L:L)=0,"",SUMIF(Participation_Entry!B:B,A10,Participation_Entry!L:L))</f>
        <v/>
      </c>
    </row>
    <row r="11" spans="1:4">
      <c r="A11" s="7">
        <v>450436</v>
      </c>
      <c r="B11" s="8" t="str">
        <f>IFERROR(VLOOKUP(A11,Employee_Master!A:B,2,0),"")</f>
        <v>Govind Saini</v>
      </c>
      <c r="C11" s="8" t="str">
        <f>IFERROR(VLOOKUP(A11,Employee_Master!A:B,3,0),"")</f>
        <v/>
      </c>
      <c r="D11" s="8" t="str">
        <f>IF(SUMIF(Participation_Entry!B:B,A11,Participation_Entry!L:L)=0,"",SUMIF(Participation_Entry!B:B,A11,Participation_Entry!L:L))</f>
        <v/>
      </c>
    </row>
    <row r="12" spans="1:4">
      <c r="A12" s="7">
        <v>450693</v>
      </c>
      <c r="B12" s="8" t="str">
        <f>IFERROR(VLOOKUP(A12,Employee_Master!A:B,2,0),"")</f>
        <v>Sagar rana</v>
      </c>
      <c r="C12" s="8" t="str">
        <f>IFERROR(VLOOKUP(A12,Employee_Master!A:B,3,0),"")</f>
        <v/>
      </c>
      <c r="D12" s="8" t="str">
        <f>IF(SUMIF(Participation_Entry!B:B,A12,Participation_Entry!L:L)=0,"",SUMIF(Participation_Entry!B:B,A12,Participation_Entry!L:L))</f>
        <v/>
      </c>
    </row>
    <row r="13" spans="1:4">
      <c r="A13" s="7">
        <v>452119</v>
      </c>
      <c r="B13" s="8" t="str">
        <f>IFERROR(VLOOKUP(A13,Employee_Master!A:B,2,0),"")</f>
        <v>Akhil Tiwari</v>
      </c>
      <c r="C13" s="8" t="str">
        <f>IFERROR(VLOOKUP(A13,Employee_Master!A:B,3,0),"")</f>
        <v/>
      </c>
      <c r="D13" s="8" t="str">
        <f>IF(SUMIF(Participation_Entry!B:B,A13,Participation_Entry!L:L)=0,"",SUMIF(Participation_Entry!B:B,A13,Participation_Entry!L:L))</f>
        <v/>
      </c>
    </row>
    <row r="14" spans="1:4">
      <c r="A14" s="7">
        <v>452121</v>
      </c>
      <c r="B14" s="8" t="str">
        <f>IFERROR(VLOOKUP(A14,Employee_Master!A:B,2,0),"")</f>
        <v>Nishi Singh</v>
      </c>
      <c r="C14" s="8" t="str">
        <f>IFERROR(VLOOKUP(A14,Employee_Master!A:B,3,0),"")</f>
        <v/>
      </c>
      <c r="D14" s="8" t="str">
        <f>IF(SUMIF(Participation_Entry!B:B,A14,Participation_Entry!L:L)=0,"",SUMIF(Participation_Entry!B:B,A14,Participation_Entry!L:L))</f>
        <v/>
      </c>
    </row>
    <row r="15" spans="1:4">
      <c r="A15" s="7">
        <v>452118</v>
      </c>
      <c r="B15" s="8" t="str">
        <f>IFERROR(VLOOKUP(A15,Employee_Master!A:B,2,0),"")</f>
        <v>Riya Kumari</v>
      </c>
      <c r="C15" s="8" t="str">
        <f>IFERROR(VLOOKUP(A15,Employee_Master!A:B,3,0),"")</f>
        <v/>
      </c>
      <c r="D15" s="8" t="str">
        <f>IF(SUMIF(Participation_Entry!B:B,A15,Participation_Entry!L:L)=0,"",SUMIF(Participation_Entry!B:B,A15,Participation_Entry!L:L))</f>
        <v/>
      </c>
    </row>
    <row r="16" spans="1:4">
      <c r="A16" s="7">
        <v>461161</v>
      </c>
      <c r="B16" s="8" t="str">
        <f>IFERROR(VLOOKUP(A16,Employee_Master!A:B,2,0),"")</f>
        <v>Abhay Singh</v>
      </c>
      <c r="C16" s="8" t="str">
        <f>IFERROR(VLOOKUP(A16,Employee_Master!A:B,3,0),"")</f>
        <v/>
      </c>
      <c r="D16" s="8" t="str">
        <f>IF(SUMIF(Participation_Entry!B:B,A16,Participation_Entry!L:L)=0,"",SUMIF(Participation_Entry!B:B,A16,Participation_Entry!L:L))</f>
        <v/>
      </c>
    </row>
    <row r="17" spans="1:4">
      <c r="A17" s="7">
        <v>463097</v>
      </c>
      <c r="B17" s="8" t="str">
        <f>IFERROR(VLOOKUP(A17,Employee_Master!A:B,2,0),"")</f>
        <v>Gurkamalpreet Singh</v>
      </c>
      <c r="C17" s="8" t="str">
        <f>IFERROR(VLOOKUP(A17,Employee_Master!A:B,3,0),"")</f>
        <v/>
      </c>
      <c r="D17" s="8" t="str">
        <f>IF(SUMIF(Participation_Entry!B:B,A17,Participation_Entry!L:L)=0,"",SUMIF(Participation_Entry!B:B,A17,Participation_Entry!L:L))</f>
        <v/>
      </c>
    </row>
    <row r="18" spans="1:4">
      <c r="A18" s="7">
        <v>464193</v>
      </c>
      <c r="B18" s="8" t="str">
        <f>IFERROR(VLOOKUP(A18,Employee_Master!A:B,2,0),"")</f>
        <v>Hemant Singh</v>
      </c>
      <c r="C18" s="8" t="str">
        <f>IFERROR(VLOOKUP(A18,Employee_Master!A:B,3,0),"")</f>
        <v/>
      </c>
      <c r="D18" s="8" t="str">
        <f>IF(SUMIF(Participation_Entry!B:B,A18,Participation_Entry!L:L)=0,"",SUMIF(Participation_Entry!B:B,A18,Participation_Entry!L:L))</f>
        <v/>
      </c>
    </row>
    <row r="19" spans="1:4">
      <c r="A19" s="7">
        <v>452074</v>
      </c>
      <c r="B19" s="8" t="str">
        <f>IFERROR(VLOOKUP(A19,Employee_Master!A:B,2,0),"")</f>
        <v>Sneha Singh</v>
      </c>
      <c r="C19" s="8" t="str">
        <f>IFERROR(VLOOKUP(A19,Employee_Master!A:B,3,0),"")</f>
        <v/>
      </c>
      <c r="D19" s="8" t="str">
        <f>IF(SUMIF(Participation_Entry!B:B,A19,Participation_Entry!L:L)=0,"",SUMIF(Participation_Entry!B:B,A19,Participation_Entry!L:L))</f>
        <v/>
      </c>
    </row>
    <row r="20" spans="1:4">
      <c r="A20" s="7">
        <v>469899</v>
      </c>
      <c r="B20" s="8" t="str">
        <f>IFERROR(VLOOKUP(A20,Employee_Master!A:B,2,0),"")</f>
        <v>Ankit</v>
      </c>
      <c r="C20" s="8" t="str">
        <f>IFERROR(VLOOKUP(A20,Employee_Master!A:B,3,0),"")</f>
        <v/>
      </c>
      <c r="D20" s="8" t="str">
        <f>IF(SUMIF(Participation_Entry!B:B,A20,Participation_Entry!L:L)=0,"",SUMIF(Participation_Entry!B:B,A20,Participation_Entry!L:L))</f>
        <v/>
      </c>
    </row>
    <row r="21" spans="1:4">
      <c r="A21" s="7">
        <v>469617</v>
      </c>
      <c r="B21" s="8" t="str">
        <f>IFERROR(VLOOKUP(A21,Employee_Master!A:B,2,0),"")</f>
        <v>Siyaram</v>
      </c>
      <c r="C21" s="8" t="str">
        <f>IFERROR(VLOOKUP(A21,Employee_Master!A:B,3,0),"")</f>
        <v/>
      </c>
      <c r="D21" s="8" t="str">
        <f>IF(SUMIF(Participation_Entry!B:B,A21,Participation_Entry!L:L)=0,"",SUMIF(Participation_Entry!B:B,A21,Participation_Entry!L:L))</f>
        <v/>
      </c>
    </row>
    <row r="22" spans="1:4">
      <c r="A22" s="7">
        <v>478377</v>
      </c>
      <c r="B22" s="8" t="str">
        <f>IFERROR(VLOOKUP(A22,Employee_Master!A:B,2,0),"")</f>
        <v>Ishi Verma </v>
      </c>
      <c r="C22" s="8" t="str">
        <f>IFERROR(VLOOKUP(A22,Employee_Master!A:B,3,0),"")</f>
        <v/>
      </c>
      <c r="D22" s="8" t="str">
        <f>IF(SUMIF(Participation_Entry!B:B,A22,Participation_Entry!L:L)=0,"",SUMIF(Participation_Entry!B:B,A22,Participation_Entry!L:L))</f>
        <v/>
      </c>
    </row>
    <row r="23" spans="1:4">
      <c r="A23" s="7">
        <v>479348</v>
      </c>
      <c r="B23" s="8" t="str">
        <f>IFERROR(VLOOKUP(A23,Employee_Master!A:B,2,0),"")</f>
        <v>Harmandeep</v>
      </c>
      <c r="C23" s="8" t="str">
        <f>IFERROR(VLOOKUP(A23,Employee_Master!A:B,3,0),"")</f>
        <v/>
      </c>
      <c r="D23" s="8" t="str">
        <f>IF(SUMIF(Participation_Entry!B:B,A23,Participation_Entry!L:L)=0,"",SUMIF(Participation_Entry!B:B,A23,Participation_Entry!L:L))</f>
        <v/>
      </c>
    </row>
    <row r="24" spans="1:4">
      <c r="A24" s="7">
        <v>479724</v>
      </c>
      <c r="B24" s="8" t="str">
        <f>IFERROR(VLOOKUP(A24,Employee_Master!A:B,2,0),"")</f>
        <v>Honey</v>
      </c>
      <c r="C24" s="8" t="str">
        <f>IFERROR(VLOOKUP(A24,Employee_Master!A:B,3,0),"")</f>
        <v/>
      </c>
      <c r="D24" s="8" t="str">
        <f>IF(SUMIF(Participation_Entry!B:B,A24,Participation_Entry!L:L)=0,"",SUMIF(Participation_Entry!B:B,A24,Participation_Entry!L:L))</f>
        <v/>
      </c>
    </row>
    <row r="25" spans="1:4">
      <c r="A25" s="7">
        <v>487476</v>
      </c>
      <c r="B25" s="8" t="str">
        <f>IFERROR(VLOOKUP(A25,Employee_Master!A:B,2,0),"")</f>
        <v>Harshdeep Singh</v>
      </c>
      <c r="C25" s="8" t="str">
        <f>IFERROR(VLOOKUP(A25,Employee_Master!A:B,3,0),"")</f>
        <v/>
      </c>
      <c r="D25" s="8" t="str">
        <f>IF(SUMIF(Participation_Entry!B:B,A25,Participation_Entry!L:L)=0,"",SUMIF(Participation_Entry!B:B,A25,Participation_Entry!L:L))</f>
        <v/>
      </c>
    </row>
    <row r="26" spans="1:4">
      <c r="A26" s="7">
        <v>449635</v>
      </c>
      <c r="B26" s="8" t="str">
        <f>IFERROR(VLOOKUP(A26,Employee_Master!A:B,2,0),"")</f>
        <v>Sushma Tiwari</v>
      </c>
      <c r="C26" s="8" t="str">
        <f>IFERROR(VLOOKUP(A26,Employee_Master!A:B,3,0),"")</f>
        <v/>
      </c>
      <c r="D26" s="8" t="str">
        <f>IF(SUMIF(Participation_Entry!B:B,A26,Participation_Entry!L:L)=0,"",SUMIF(Participation_Entry!B:B,A26,Participation_Entry!L:L))</f>
        <v/>
      </c>
    </row>
    <row r="27" spans="1:4">
      <c r="A27" s="7">
        <v>440774</v>
      </c>
      <c r="B27" s="8" t="str">
        <f>IFERROR(VLOOKUP(A27,Employee_Master!A:B,2,0),"")</f>
        <v>Mehnga Singh</v>
      </c>
      <c r="C27" s="8" t="str">
        <f>IFERROR(VLOOKUP(A27,Employee_Master!A:B,3,0),"")</f>
        <v/>
      </c>
      <c r="D27" s="8" t="str">
        <f>IF(SUMIF(Participation_Entry!B:B,A27,Participation_Entry!L:L)=0,"",SUMIF(Participation_Entry!B:B,A27,Participation_Entry!L:L))</f>
        <v/>
      </c>
    </row>
    <row r="28" spans="1:4">
      <c r="A28" s="7">
        <v>460513</v>
      </c>
      <c r="B28" s="8" t="str">
        <f>IFERROR(VLOOKUP(A28,Employee_Master!A:B,2,0),"")</f>
        <v>Dinesh Kumar</v>
      </c>
      <c r="C28" s="8" t="str">
        <f>IFERROR(VLOOKUP(A28,Employee_Master!A:B,3,0),"")</f>
        <v/>
      </c>
      <c r="D28" s="8" t="str">
        <f>IF(SUMIF(Participation_Entry!B:B,A28,Participation_Entry!L:L)=0,"",SUMIF(Participation_Entry!B:B,A28,Participation_Entry!L:L))</f>
        <v/>
      </c>
    </row>
    <row r="29" spans="1:4">
      <c r="A29" s="7">
        <v>450325</v>
      </c>
      <c r="B29" s="8" t="str">
        <f>IFERROR(VLOOKUP(A29,Employee_Master!A:B,2,0),"")</f>
        <v>Simratpal Singh</v>
      </c>
      <c r="C29" s="8" t="str">
        <f>IFERROR(VLOOKUP(A29,Employee_Master!A:B,3,0),"")</f>
        <v/>
      </c>
      <c r="D29" s="8" t="str">
        <f>IF(SUMIF(Participation_Entry!B:B,A29,Participation_Entry!L:L)=0,"",SUMIF(Participation_Entry!B:B,A29,Participation_Entry!L:L))</f>
        <v/>
      </c>
    </row>
    <row r="30" spans="1:4">
      <c r="A30" s="7">
        <v>452116</v>
      </c>
      <c r="B30" s="8" t="str">
        <f>IFERROR(VLOOKUP(A30,Employee_Master!A:B,2,0),"")</f>
        <v>Harsh </v>
      </c>
      <c r="C30" s="8" t="str">
        <f>IFERROR(VLOOKUP(A30,Employee_Master!A:B,3,0),"")</f>
        <v/>
      </c>
      <c r="D30" s="8" t="str">
        <f>IF(SUMIF(Participation_Entry!B:B,A30,Participation_Entry!L:L)=0,"",SUMIF(Participation_Entry!B:B,A30,Participation_Entry!L:L))</f>
        <v/>
      </c>
    </row>
    <row r="31" spans="1:4">
      <c r="A31" s="7">
        <v>456706</v>
      </c>
      <c r="B31" s="8" t="str">
        <f>IFERROR(VLOOKUP(A31,Employee_Master!A:B,2,0),"")</f>
        <v>Daljit Singh</v>
      </c>
      <c r="C31" s="8" t="str">
        <f>IFERROR(VLOOKUP(A31,Employee_Master!A:B,3,0),"")</f>
        <v/>
      </c>
      <c r="D31" s="8" t="str">
        <f>IF(SUMIF(Participation_Entry!B:B,A31,Participation_Entry!L:L)=0,"",SUMIF(Participation_Entry!B:B,A31,Participation_Entry!L:L))</f>
        <v/>
      </c>
    </row>
    <row r="32" spans="1:4">
      <c r="A32" s="7">
        <v>466367</v>
      </c>
      <c r="B32" s="8" t="str">
        <f>IFERROR(VLOOKUP(A32,Employee_Master!A:B,2,0),"")</f>
        <v>Arjun Sharma</v>
      </c>
      <c r="C32" s="8" t="str">
        <f>IFERROR(VLOOKUP(A32,Employee_Master!A:B,3,0),"")</f>
        <v/>
      </c>
      <c r="D32" s="8" t="str">
        <f>IF(SUMIF(Participation_Entry!B:B,A32,Participation_Entry!L:L)=0,"",SUMIF(Participation_Entry!B:B,A32,Participation_Entry!L:L))</f>
        <v/>
      </c>
    </row>
    <row r="33" spans="1:4">
      <c r="A33" s="7">
        <v>467544</v>
      </c>
      <c r="B33" s="8" t="str">
        <f>IFERROR(VLOOKUP(A33,Employee_Master!A:B,2,0),"")</f>
        <v>Vinay Kumar</v>
      </c>
      <c r="C33" s="8" t="str">
        <f>IFERROR(VLOOKUP(A33,Employee_Master!A:B,3,0),"")</f>
        <v/>
      </c>
      <c r="D33" s="8" t="str">
        <f>IF(SUMIF(Participation_Entry!B:B,A33,Participation_Entry!L:L)=0,"",SUMIF(Participation_Entry!B:B,A33,Participation_Entry!L:L))</f>
        <v/>
      </c>
    </row>
    <row r="34" spans="1:4">
      <c r="A34" s="7">
        <v>472840</v>
      </c>
      <c r="B34" s="8" t="str">
        <f>IFERROR(VLOOKUP(A34,Employee_Master!A:B,2,0),"")</f>
        <v>Supravat Adhikary</v>
      </c>
      <c r="C34" s="8" t="str">
        <f>IFERROR(VLOOKUP(A34,Employee_Master!A:B,3,0),"")</f>
        <v/>
      </c>
      <c r="D34" s="8" t="str">
        <f>IF(SUMIF(Participation_Entry!B:B,A34,Participation_Entry!L:L)=0,"",SUMIF(Participation_Entry!B:B,A34,Participation_Entry!L:L))</f>
        <v/>
      </c>
    </row>
    <row r="35" spans="1:4">
      <c r="A35" s="7">
        <v>455024</v>
      </c>
      <c r="B35" s="8" t="str">
        <f>IFERROR(VLOOKUP(A35,Employee_Master!A:B,2,0),"")</f>
        <v>Dileep Kumar</v>
      </c>
      <c r="C35" s="8" t="str">
        <f>IFERROR(VLOOKUP(A35,Employee_Master!A:B,3,0),"")</f>
        <v/>
      </c>
      <c r="D35" s="8" t="str">
        <f>IF(SUMIF(Participation_Entry!B:B,A35,Participation_Entry!L:L)=0,"",SUMIF(Participation_Entry!B:B,A35,Participation_Entry!L:L))</f>
        <v/>
      </c>
    </row>
    <row r="36" spans="1:4">
      <c r="A36" s="7">
        <v>471387</v>
      </c>
      <c r="B36" s="8" t="str">
        <f>IFERROR(VLOOKUP(A36,Employee_Master!A:B,2,0),"")</f>
        <v>Neeraj</v>
      </c>
      <c r="C36" s="8" t="str">
        <f>IFERROR(VLOOKUP(A36,Employee_Master!A:B,3,0),"")</f>
        <v/>
      </c>
      <c r="D36" s="8" t="str">
        <f>IF(SUMIF(Participation_Entry!B:B,A36,Participation_Entry!L:L)=0,"",SUMIF(Participation_Entry!B:B,A36,Participation_Entry!L:L))</f>
        <v/>
      </c>
    </row>
    <row r="37" spans="1:4">
      <c r="A37" s="7">
        <v>478269</v>
      </c>
      <c r="B37" s="8" t="str">
        <f>IFERROR(VLOOKUP(A37,Employee_Master!A:B,2,0),"")</f>
        <v>Saurabh kumar </v>
      </c>
      <c r="C37" s="8" t="str">
        <f>IFERROR(VLOOKUP(A37,Employee_Master!A:B,3,0),"")</f>
        <v/>
      </c>
      <c r="D37" s="8" t="str">
        <f>IF(SUMIF(Participation_Entry!B:B,A37,Participation_Entry!L:L)=0,"",SUMIF(Participation_Entry!B:B,A37,Participation_Entry!L:L))</f>
        <v/>
      </c>
    </row>
    <row r="38" spans="1:4">
      <c r="A38" s="7">
        <v>478266</v>
      </c>
      <c r="B38" s="8" t="str">
        <f>IFERROR(VLOOKUP(A38,Employee_Master!A:B,2,0),"")</f>
        <v>Abhishek Sharma </v>
      </c>
      <c r="C38" s="8" t="str">
        <f>IFERROR(VLOOKUP(A38,Employee_Master!A:B,3,0),"")</f>
        <v/>
      </c>
      <c r="D38" s="8" t="str">
        <f>IF(SUMIF(Participation_Entry!B:B,A38,Participation_Entry!L:L)=0,"",SUMIF(Participation_Entry!B:B,A38,Participation_Entry!L:L))</f>
        <v/>
      </c>
    </row>
    <row r="39" spans="1:4">
      <c r="A39" s="7">
        <v>705909</v>
      </c>
      <c r="B39" s="8" t="str">
        <f>IFERROR(VLOOKUP(A39,Employee_Master!A:B,2,0),"")</f>
        <v>Tanmay Ghosal</v>
      </c>
      <c r="C39" s="8" t="str">
        <f>IFERROR(VLOOKUP(A39,Employee_Master!A:B,3,0),"")</f>
        <v/>
      </c>
      <c r="D39" s="8" t="str">
        <f>IF(SUMIF(Participation_Entry!B:B,A39,Participation_Entry!L:L)=0,"",SUMIF(Participation_Entry!B:B,A39,Participation_Entry!L:L))</f>
        <v/>
      </c>
    </row>
    <row r="40" spans="1:4">
      <c r="A40" s="7">
        <v>709664</v>
      </c>
      <c r="B40" s="8" t="str">
        <f>IFERROR(VLOOKUP(A40,Employee_Master!A:B,2,0),"")</f>
        <v>Kavita Rathore</v>
      </c>
      <c r="C40" s="8" t="str">
        <f>IFERROR(VLOOKUP(A40,Employee_Master!A:B,3,0),"")</f>
        <v/>
      </c>
      <c r="D40" s="8" t="str">
        <f>IF(SUMIF(Participation_Entry!B:B,A40,Participation_Entry!L:L)=0,"",SUMIF(Participation_Entry!B:B,A40,Participation_Entry!L:L))</f>
        <v/>
      </c>
    </row>
    <row r="41" spans="1:4">
      <c r="A41" s="7">
        <v>716610</v>
      </c>
      <c r="B41" s="8" t="str">
        <f>IFERROR(VLOOKUP(A41,Employee_Master!A:B,2,0),"")</f>
        <v>Naval Singh</v>
      </c>
      <c r="C41" s="8" t="str">
        <f>IFERROR(VLOOKUP(A41,Employee_Master!A:B,3,0),"")</f>
        <v/>
      </c>
      <c r="D41" s="8" t="str">
        <f>IF(SUMIF(Participation_Entry!B:B,A41,Participation_Entry!L:L)=0,"",SUMIF(Participation_Entry!B:B,A41,Participation_Entry!L:L))</f>
        <v/>
      </c>
    </row>
    <row r="42" spans="1:4">
      <c r="A42" s="7">
        <v>720995</v>
      </c>
      <c r="B42" s="8" t="str">
        <f>IFERROR(VLOOKUP(A42,Employee_Master!A:B,2,0),"")</f>
        <v>Sinjan Bhar</v>
      </c>
      <c r="C42" s="8" t="str">
        <f>IFERROR(VLOOKUP(A42,Employee_Master!A:B,3,0),"")</f>
        <v/>
      </c>
      <c r="D42" s="8" t="str">
        <f>IF(SUMIF(Participation_Entry!B:B,A42,Participation_Entry!L:L)=0,"",SUMIF(Participation_Entry!B:B,A42,Participation_Entry!L:L))</f>
        <v/>
      </c>
    </row>
    <row r="43" spans="1:4">
      <c r="A43" s="7">
        <v>721766</v>
      </c>
      <c r="B43" s="8" t="str">
        <f>IFERROR(VLOOKUP(A43,Employee_Master!A:B,2,0),"")</f>
        <v>BHAWNA SHARMA</v>
      </c>
      <c r="C43" s="8" t="str">
        <f>IFERROR(VLOOKUP(A43,Employee_Master!A:B,3,0),"")</f>
        <v/>
      </c>
      <c r="D43" s="8" t="str">
        <f>IF(SUMIF(Participation_Entry!B:B,A43,Participation_Entry!L:L)=0,"",SUMIF(Participation_Entry!B:B,A43,Participation_Entry!L:L))</f>
        <v/>
      </c>
    </row>
    <row r="44" spans="1:4">
      <c r="A44" s="7">
        <v>721765</v>
      </c>
      <c r="B44" s="8" t="str">
        <f>IFERROR(VLOOKUP(A44,Employee_Master!A:B,2,0),"")</f>
        <v>Sneha .</v>
      </c>
      <c r="C44" s="8" t="str">
        <f>IFERROR(VLOOKUP(A44,Employee_Master!A:B,3,0),"")</f>
        <v/>
      </c>
      <c r="D44" s="8" t="str">
        <f>IF(SUMIF(Participation_Entry!B:B,A44,Participation_Entry!L:L)=0,"",SUMIF(Participation_Entry!B:B,A44,Participation_Entry!L:L))</f>
        <v/>
      </c>
    </row>
    <row r="45" spans="1:4">
      <c r="A45" s="7">
        <v>721899</v>
      </c>
      <c r="B45" s="8" t="str">
        <f>IFERROR(VLOOKUP(A45,Employee_Master!A:B,2,0),"")</f>
        <v>Khushboo Yadav</v>
      </c>
      <c r="C45" s="8" t="str">
        <f>IFERROR(VLOOKUP(A45,Employee_Master!A:B,3,0),"")</f>
        <v/>
      </c>
      <c r="D45" s="8" t="str">
        <f>IF(SUMIF(Participation_Entry!B:B,A45,Participation_Entry!L:L)=0,"",SUMIF(Participation_Entry!B:B,A45,Participation_Entry!L:L))</f>
        <v/>
      </c>
    </row>
    <row r="46" spans="1:4">
      <c r="A46" s="7">
        <v>722356</v>
      </c>
      <c r="B46" s="8" t="str">
        <f>IFERROR(VLOOKUP(A46,Employee_Master!A:B,2,0),"")</f>
        <v>Ashita Munjley</v>
      </c>
      <c r="C46" s="8" t="str">
        <f>IFERROR(VLOOKUP(A46,Employee_Master!A:B,3,0),"")</f>
        <v/>
      </c>
      <c r="D46" s="8" t="str">
        <f>IF(SUMIF(Participation_Entry!B:B,A46,Participation_Entry!L:L)=0,"",SUMIF(Participation_Entry!B:B,A46,Participation_Entry!L:L))</f>
        <v/>
      </c>
    </row>
    <row r="47" spans="1:4">
      <c r="A47" s="7">
        <v>722393</v>
      </c>
      <c r="B47" s="8" t="str">
        <f>IFERROR(VLOOKUP(A47,Employee_Master!A:B,2,0),"")</f>
        <v>Koteswara Devireddy</v>
      </c>
      <c r="C47" s="8" t="str">
        <f>IFERROR(VLOOKUP(A47,Employee_Master!A:B,3,0),"")</f>
        <v/>
      </c>
      <c r="D47" s="8" t="str">
        <f>IF(SUMIF(Participation_Entry!B:B,A47,Participation_Entry!L:L)=0,"",SUMIF(Participation_Entry!B:B,A47,Participation_Entry!L:L))</f>
        <v/>
      </c>
    </row>
    <row r="48" spans="1:4">
      <c r="A48" s="7">
        <v>434518</v>
      </c>
      <c r="B48" s="8" t="str">
        <f>IFERROR(VLOOKUP(A48,Employee_Master!A:B,2,0),"")</f>
        <v>Maneesh Mohan</v>
      </c>
      <c r="C48" s="8" t="str">
        <f>IFERROR(VLOOKUP(A48,Employee_Master!A:B,3,0),"")</f>
        <v/>
      </c>
      <c r="D48" s="8">
        <f>IF(SUMIF(Participation_Entry!B:B,A48,Participation_Entry!L:L)=0,"",SUMIF(Participation_Entry!B:B,A48,Participation_Entry!L:L))</f>
        <v>475</v>
      </c>
    </row>
    <row r="49" spans="1:4">
      <c r="A49" s="7">
        <v>449890</v>
      </c>
      <c r="B49" s="8" t="str">
        <f>IFERROR(VLOOKUP(A49,Employee_Master!A:B,2,0),"")</f>
        <v>Ashish Baghel </v>
      </c>
      <c r="C49" s="8" t="str">
        <f>IFERROR(VLOOKUP(A49,Employee_Master!A:B,3,0),"")</f>
        <v/>
      </c>
      <c r="D49" s="8">
        <f>IF(SUMIF(Participation_Entry!B:B,A49,Participation_Entry!L:L)=0,"",SUMIF(Participation_Entry!B:B,A49,Participation_Entry!L:L))</f>
        <v>435</v>
      </c>
    </row>
    <row r="50" spans="1:4">
      <c r="A50" s="7">
        <v>427154</v>
      </c>
      <c r="B50" s="8" t="str">
        <f>IFERROR(VLOOKUP(A50,Employee_Master!A:B,2,0),"")</f>
        <v>Rohan Mehra</v>
      </c>
      <c r="C50" s="8" t="str">
        <f>IFERROR(VLOOKUP(A50,Employee_Master!A:B,3,0),"")</f>
        <v/>
      </c>
      <c r="D50" s="8">
        <f>IF(SUMIF(Participation_Entry!B:B,A50,Participation_Entry!L:L)=0,"",SUMIF(Participation_Entry!B:B,A50,Participation_Entry!L:L))</f>
        <v>420</v>
      </c>
    </row>
    <row r="51" spans="1:4">
      <c r="A51" s="7">
        <v>452056</v>
      </c>
      <c r="B51" s="8" t="str">
        <f>IFERROR(VLOOKUP(A51,Employee_Master!A:B,2,0),"")</f>
        <v>Rupesh Thakur</v>
      </c>
      <c r="C51" s="8" t="str">
        <f>IFERROR(VLOOKUP(A51,Employee_Master!A:B,3,0),"")</f>
        <v/>
      </c>
      <c r="D51" s="8">
        <f>IF(SUMIF(Participation_Entry!B:B,A51,Participation_Entry!L:L)=0,"",SUMIF(Participation_Entry!B:B,A51,Participation_Entry!L:L))</f>
        <v>410</v>
      </c>
    </row>
    <row r="52" spans="1:4">
      <c r="A52" s="7">
        <v>700216</v>
      </c>
      <c r="B52" s="8" t="str">
        <f>IFERROR(VLOOKUP(A52,Employee_Master!A:B,2,0),"")</f>
        <v>Shivam Rani</v>
      </c>
      <c r="C52" s="8" t="str">
        <f>IFERROR(VLOOKUP(A52,Employee_Master!A:B,3,0),"")</f>
        <v/>
      </c>
      <c r="D52" s="8">
        <f>IF(SUMIF(Participation_Entry!B:B,A52,Participation_Entry!L:L)=0,"",SUMIF(Participation_Entry!B:B,A52,Participation_Entry!L:L))</f>
        <v>340</v>
      </c>
    </row>
    <row r="53" spans="1:4">
      <c r="A53" s="7">
        <v>459234</v>
      </c>
      <c r="B53" s="8" t="str">
        <f>IFERROR(VLOOKUP(A53,Employee_Master!A:B,2,0),"")</f>
        <v>Ritik Kumar</v>
      </c>
      <c r="C53" s="8" t="str">
        <f>IFERROR(VLOOKUP(A53,Employee_Master!A:B,3,0),"")</f>
        <v/>
      </c>
      <c r="D53" s="8">
        <f>IF(SUMIF(Participation_Entry!B:B,A53,Participation_Entry!L:L)=0,"",SUMIF(Participation_Entry!B:B,A53,Participation_Entry!L:L))</f>
        <v>330</v>
      </c>
    </row>
    <row r="54" spans="1:4">
      <c r="A54" s="7">
        <v>396485</v>
      </c>
      <c r="B54" s="8" t="str">
        <f>IFERROR(VLOOKUP(A54,Employee_Master!A:B,2,0),"")</f>
        <v>Khushbir Singh</v>
      </c>
      <c r="C54" s="8" t="str">
        <f>IFERROR(VLOOKUP(A54,Employee_Master!A:B,3,0),"")</f>
        <v/>
      </c>
      <c r="D54" s="8">
        <f>IF(SUMIF(Participation_Entry!B:B,A54,Participation_Entry!L:L)=0,"",SUMIF(Participation_Entry!B:B,A54,Participation_Entry!L:L))</f>
        <v>305</v>
      </c>
    </row>
    <row r="55" spans="1:4">
      <c r="A55" s="7">
        <v>458702</v>
      </c>
      <c r="B55" s="8" t="str">
        <f>IFERROR(VLOOKUP(A55,Employee_Master!A:B,2,0),"")</f>
        <v>Jasbeer Singh</v>
      </c>
      <c r="C55" s="8" t="str">
        <f>IFERROR(VLOOKUP(A55,Employee_Master!A:B,3,0),"")</f>
        <v/>
      </c>
      <c r="D55" s="8">
        <f>IF(SUMIF(Participation_Entry!B:B,A55,Participation_Entry!L:L)=0,"",SUMIF(Participation_Entry!B:B,A55,Participation_Entry!L:L))</f>
        <v>305</v>
      </c>
    </row>
    <row r="56" spans="1:4">
      <c r="A56" s="7">
        <v>452991</v>
      </c>
      <c r="B56" s="8" t="str">
        <f>IFERROR(VLOOKUP(A56,Employee_Master!A:B,2,0),"")</f>
        <v>Gourav Rohilla</v>
      </c>
      <c r="C56" s="8" t="str">
        <f>IFERROR(VLOOKUP(A56,Employee_Master!A:B,3,0),"")</f>
        <v/>
      </c>
      <c r="D56" s="8">
        <f>IF(SUMIF(Participation_Entry!B:B,A56,Participation_Entry!L:L)=0,"",SUMIF(Participation_Entry!B:B,A56,Participation_Entry!L:L))</f>
        <v>295</v>
      </c>
    </row>
    <row r="57" spans="1:4">
      <c r="A57" s="7">
        <v>432865</v>
      </c>
      <c r="B57" s="8" t="str">
        <f>IFERROR(VLOOKUP(A57,Employee_Master!A:B,2,0),"")</f>
        <v>Rupesh Gandhi</v>
      </c>
      <c r="C57" s="8" t="str">
        <f>IFERROR(VLOOKUP(A57,Employee_Master!A:B,3,0),"")</f>
        <v/>
      </c>
      <c r="D57" s="8">
        <f>IF(SUMIF(Participation_Entry!B:B,A57,Participation_Entry!L:L)=0,"",SUMIF(Participation_Entry!B:B,A57,Participation_Entry!L:L))</f>
        <v>285</v>
      </c>
    </row>
    <row r="58" spans="1:4">
      <c r="A58" s="7">
        <v>452076</v>
      </c>
      <c r="B58" s="8" t="str">
        <f>IFERROR(VLOOKUP(A58,Employee_Master!A:B,2,0),"")</f>
        <v>Shraddha Singh</v>
      </c>
      <c r="C58" s="8" t="str">
        <f>IFERROR(VLOOKUP(A58,Employee_Master!A:B,3,0),"")</f>
        <v/>
      </c>
      <c r="D58" s="8">
        <f>IF(SUMIF(Participation_Entry!B:B,A58,Participation_Entry!L:L)=0,"",SUMIF(Participation_Entry!B:B,A58,Participation_Entry!L:L))</f>
        <v>250</v>
      </c>
    </row>
    <row r="59" spans="1:4">
      <c r="A59" s="7">
        <v>448882</v>
      </c>
      <c r="B59" s="8" t="str">
        <f>IFERROR(VLOOKUP(A59,Employee_Master!A:B,2,0),"")</f>
        <v>Gurwinder Singh</v>
      </c>
      <c r="C59" s="8" t="str">
        <f>IFERROR(VLOOKUP(A59,Employee_Master!A:B,3,0),"")</f>
        <v/>
      </c>
      <c r="D59" s="8">
        <f>IF(SUMIF(Participation_Entry!B:B,A59,Participation_Entry!L:L)=0,"",SUMIF(Participation_Entry!B:B,A59,Participation_Entry!L:L))</f>
        <v>230</v>
      </c>
    </row>
    <row r="60" spans="1:4">
      <c r="A60" s="7">
        <v>450256</v>
      </c>
      <c r="B60" s="8" t="str">
        <f>IFERROR(VLOOKUP(A60,Employee_Master!A:B,2,0),"")</f>
        <v>Jyotish  Patar</v>
      </c>
      <c r="C60" s="8" t="str">
        <f>IFERROR(VLOOKUP(A60,Employee_Master!A:B,3,0),"")</f>
        <v/>
      </c>
      <c r="D60" s="8">
        <f>IF(SUMIF(Participation_Entry!B:B,A60,Participation_Entry!L:L)=0,"",SUMIF(Participation_Entry!B:B,A60,Participation_Entry!L:L))</f>
        <v>200</v>
      </c>
    </row>
    <row r="61" spans="1:4">
      <c r="A61" s="7">
        <v>450437</v>
      </c>
      <c r="B61" s="8" t="str">
        <f>IFERROR(VLOOKUP(A61,Employee_Master!A:B,2,0),"")</f>
        <v>Tinku Shekhawat </v>
      </c>
      <c r="C61" s="8" t="str">
        <f>IFERROR(VLOOKUP(A61,Employee_Master!A:B,3,0),"")</f>
        <v/>
      </c>
      <c r="D61" s="8">
        <f>IF(SUMIF(Participation_Entry!B:B,A61,Participation_Entry!L:L)=0,"",SUMIF(Participation_Entry!B:B,A61,Participation_Entry!L:L))</f>
        <v>200</v>
      </c>
    </row>
    <row r="62" spans="1:4">
      <c r="A62" s="7">
        <v>478270</v>
      </c>
      <c r="B62" s="8" t="str">
        <f>IFERROR(VLOOKUP(A62,Employee_Master!A:B,2,0),"")</f>
        <v>Inzmam Ali </v>
      </c>
      <c r="C62" s="8" t="str">
        <f>IFERROR(VLOOKUP(A62,Employee_Master!A:B,3,0),"")</f>
        <v/>
      </c>
      <c r="D62" s="8">
        <f>IF(SUMIF(Participation_Entry!B:B,A62,Participation_Entry!L:L)=0,"",SUMIF(Participation_Entry!B:B,A62,Participation_Entry!L:L))</f>
        <v>200</v>
      </c>
    </row>
    <row r="63" spans="1:4">
      <c r="A63" s="7">
        <v>452799</v>
      </c>
      <c r="B63" s="8" t="str">
        <f>IFERROR(VLOOKUP(A63,Employee_Master!A:B,2,0),"")</f>
        <v>Manish Kukreti</v>
      </c>
      <c r="C63" s="8" t="str">
        <f>IFERROR(VLOOKUP(A63,Employee_Master!A:B,3,0),"")</f>
        <v/>
      </c>
      <c r="D63" s="8">
        <f>IF(SUMIF(Participation_Entry!B:B,A63,Participation_Entry!L:L)=0,"",SUMIF(Participation_Entry!B:B,A63,Participation_Entry!L:L))</f>
        <v>200</v>
      </c>
    </row>
    <row r="64" spans="1:4">
      <c r="A64" s="7">
        <v>486309</v>
      </c>
      <c r="B64" s="8" t="str">
        <f>IFERROR(VLOOKUP(A64,Employee_Master!A:B,2,0),"")</f>
        <v>Ankit Bhatt</v>
      </c>
      <c r="C64" s="8" t="str">
        <f>IFERROR(VLOOKUP(A64,Employee_Master!A:B,3,0),"")</f>
        <v/>
      </c>
      <c r="D64" s="8">
        <f>IF(SUMIF(Participation_Entry!B:B,A64,Participation_Entry!L:L)=0,"",SUMIF(Participation_Entry!B:B,A64,Participation_Entry!L:L))</f>
        <v>190</v>
      </c>
    </row>
    <row r="65" spans="1:4">
      <c r="A65" s="7">
        <v>440620</v>
      </c>
      <c r="B65" s="8" t="str">
        <f>IFERROR(VLOOKUP(A65,Employee_Master!A:B,2,0),"")</f>
        <v>Kuldeep Singh</v>
      </c>
      <c r="C65" s="8" t="str">
        <f>IFERROR(VLOOKUP(A65,Employee_Master!A:B,3,0),"")</f>
        <v/>
      </c>
      <c r="D65" s="8">
        <f>IF(SUMIF(Participation_Entry!B:B,A65,Participation_Entry!L:L)=0,"",SUMIF(Participation_Entry!B:B,A65,Participation_Entry!L:L))</f>
        <v>190</v>
      </c>
    </row>
    <row r="66" spans="1:4">
      <c r="A66" s="7">
        <v>452073</v>
      </c>
      <c r="B66" s="8" t="str">
        <f>IFERROR(VLOOKUP(A66,Employee_Master!A:B,2,0),"")</f>
        <v>Aashish </v>
      </c>
      <c r="C66" s="8" t="str">
        <f>IFERROR(VLOOKUP(A66,Employee_Master!A:B,3,0),"")</f>
        <v/>
      </c>
      <c r="D66" s="8">
        <f>IF(SUMIF(Participation_Entry!B:B,A66,Participation_Entry!L:L)=0,"",SUMIF(Participation_Entry!B:B,A66,Participation_Entry!L:L))</f>
        <v>180</v>
      </c>
    </row>
    <row r="67" spans="1:4">
      <c r="A67" s="7">
        <v>465255</v>
      </c>
      <c r="B67" s="8" t="str">
        <f>IFERROR(VLOOKUP(A67,Employee_Master!A:B,2,0),"")</f>
        <v>Mukul Suman</v>
      </c>
      <c r="C67" s="8" t="str">
        <f>IFERROR(VLOOKUP(A67,Employee_Master!A:B,3,0),"")</f>
        <v/>
      </c>
      <c r="D67" s="8">
        <f>IF(SUMIF(Participation_Entry!B:B,A67,Participation_Entry!L:L)=0,"",SUMIF(Participation_Entry!B:B,A67,Participation_Entry!L:L))</f>
        <v>180</v>
      </c>
    </row>
    <row r="68" spans="1:4">
      <c r="A68" s="7">
        <v>457157</v>
      </c>
      <c r="B68" s="8" t="str">
        <f>IFERROR(VLOOKUP(A68,Employee_Master!A:B,2,0),"")</f>
        <v>Sachin Kashyap</v>
      </c>
      <c r="C68" s="8" t="str">
        <f>IFERROR(VLOOKUP(A68,Employee_Master!A:B,3,0),"")</f>
        <v/>
      </c>
      <c r="D68" s="8">
        <f>IF(SUMIF(Participation_Entry!B:B,A68,Participation_Entry!L:L)=0,"",SUMIF(Participation_Entry!B:B,A68,Participation_Entry!L:L))</f>
        <v>180</v>
      </c>
    </row>
    <row r="69" spans="1:4">
      <c r="A69" s="7">
        <v>450230</v>
      </c>
      <c r="B69" s="8" t="str">
        <f>IFERROR(VLOOKUP(A69,Employee_Master!A:B,2,0),"")</f>
        <v>Aarti Gupta</v>
      </c>
      <c r="C69" s="8" t="str">
        <f>IFERROR(VLOOKUP(A69,Employee_Master!A:B,3,0),"")</f>
        <v/>
      </c>
      <c r="D69" s="8">
        <f>IF(SUMIF(Participation_Entry!B:B,A69,Participation_Entry!L:L)=0,"",SUMIF(Participation_Entry!B:B,A69,Participation_Entry!L:L))</f>
        <v>180</v>
      </c>
    </row>
    <row r="70" spans="1:4">
      <c r="A70" s="7">
        <v>466167</v>
      </c>
      <c r="B70" s="8" t="str">
        <f>IFERROR(VLOOKUP(A70,Employee_Master!A:B,2,0),"")</f>
        <v>Aishwarya Sharma</v>
      </c>
      <c r="C70" s="8" t="str">
        <f>IFERROR(VLOOKUP(A70,Employee_Master!A:B,3,0),"")</f>
        <v/>
      </c>
      <c r="D70" s="8">
        <f>IF(SUMIF(Participation_Entry!B:B,A70,Participation_Entry!L:L)=0,"",SUMIF(Participation_Entry!B:B,A70,Participation_Entry!L:L))</f>
        <v>180</v>
      </c>
    </row>
    <row r="71" spans="1:4">
      <c r="A71" s="7">
        <v>463660</v>
      </c>
      <c r="B71" s="8" t="str">
        <f>IFERROR(VLOOKUP(A71,Employee_Master!A:B,2,0),"")</f>
        <v>Rohit Sharma</v>
      </c>
      <c r="C71" s="8" t="str">
        <f>IFERROR(VLOOKUP(A71,Employee_Master!A:B,3,0),"")</f>
        <v/>
      </c>
      <c r="D71" s="8">
        <f>IF(SUMIF(Participation_Entry!B:B,A71,Participation_Entry!L:L)=0,"",SUMIF(Participation_Entry!B:B,A71,Participation_Entry!L:L))</f>
        <v>170</v>
      </c>
    </row>
    <row r="72" spans="1:4">
      <c r="A72" s="7">
        <v>408262</v>
      </c>
      <c r="B72" s="8" t="str">
        <f>IFERROR(VLOOKUP(A72,Employee_Master!A:B,2,0),"")</f>
        <v>Arpanjot Singh</v>
      </c>
      <c r="C72" s="8" t="str">
        <f>IFERROR(VLOOKUP(A72,Employee_Master!A:B,3,0),"")</f>
        <v/>
      </c>
      <c r="D72" s="8">
        <f>IF(SUMIF(Participation_Entry!B:B,A72,Participation_Entry!L:L)=0,"",SUMIF(Participation_Entry!B:B,A72,Participation_Entry!L:L))</f>
        <v>170</v>
      </c>
    </row>
    <row r="73" spans="1:4">
      <c r="A73" s="7">
        <v>464188</v>
      </c>
      <c r="B73" s="8" t="str">
        <f>IFERROR(VLOOKUP(A73,Employee_Master!A:B,2,0),"")</f>
        <v>Himanshu Saini</v>
      </c>
      <c r="C73" s="8" t="str">
        <f>IFERROR(VLOOKUP(A73,Employee_Master!A:B,3,0),"")</f>
        <v/>
      </c>
      <c r="D73" s="8">
        <f>IF(SUMIF(Participation_Entry!B:B,A73,Participation_Entry!L:L)=0,"",SUMIF(Participation_Entry!B:B,A73,Participation_Entry!L:L))</f>
        <v>170</v>
      </c>
    </row>
    <row r="74" spans="1:4">
      <c r="A74" s="7">
        <v>467075</v>
      </c>
      <c r="B74" s="8" t="str">
        <f>IFERROR(VLOOKUP(A74,Employee_Master!A:B,2,0),"")</f>
        <v>Ritish</v>
      </c>
      <c r="C74" s="8" t="str">
        <f>IFERROR(VLOOKUP(A74,Employee_Master!A:B,3,0),"")</f>
        <v/>
      </c>
      <c r="D74" s="8">
        <f>IF(SUMIF(Participation_Entry!B:B,A74,Participation_Entry!L:L)=0,"",SUMIF(Participation_Entry!B:B,A74,Participation_Entry!L:L))</f>
        <v>170</v>
      </c>
    </row>
    <row r="75" spans="1:4">
      <c r="A75" s="7">
        <v>468536</v>
      </c>
      <c r="B75" s="8" t="str">
        <f>IFERROR(VLOOKUP(A75,Employee_Master!A:B,2,0),"")</f>
        <v>Vinod Kumar</v>
      </c>
      <c r="C75" s="8" t="str">
        <f>IFERROR(VLOOKUP(A75,Employee_Master!A:B,3,0),"")</f>
        <v/>
      </c>
      <c r="D75" s="8">
        <f>IF(SUMIF(Participation_Entry!B:B,A75,Participation_Entry!L:L)=0,"",SUMIF(Participation_Entry!B:B,A75,Participation_Entry!L:L))</f>
        <v>170</v>
      </c>
    </row>
    <row r="76" spans="1:4">
      <c r="A76" s="7">
        <v>426232</v>
      </c>
      <c r="B76" s="8" t="str">
        <f>IFERROR(VLOOKUP(A76,Employee_Master!A:B,2,0),"")</f>
        <v>Varish Hussain</v>
      </c>
      <c r="C76" s="8" t="str">
        <f>IFERROR(VLOOKUP(A76,Employee_Master!A:B,3,0),"")</f>
        <v/>
      </c>
      <c r="D76" s="8">
        <f>IF(SUMIF(Participation_Entry!B:B,A76,Participation_Entry!L:L)=0,"",SUMIF(Participation_Entry!B:B,A76,Participation_Entry!L:L))</f>
        <v>170</v>
      </c>
    </row>
    <row r="77" spans="1:4">
      <c r="A77" s="7">
        <v>450171</v>
      </c>
      <c r="B77" s="8" t="str">
        <f>IFERROR(VLOOKUP(A77,Employee_Master!A:B,2,0),"")</f>
        <v>Manpreet Kaur</v>
      </c>
      <c r="C77" s="8" t="str">
        <f>IFERROR(VLOOKUP(A77,Employee_Master!A:B,3,0),"")</f>
        <v/>
      </c>
      <c r="D77" s="8">
        <f>IF(SUMIF(Participation_Entry!B:B,A77,Participation_Entry!L:L)=0,"",SUMIF(Participation_Entry!B:B,A77,Participation_Entry!L:L))</f>
        <v>160</v>
      </c>
    </row>
    <row r="78" spans="1:4">
      <c r="A78" s="7">
        <v>464500</v>
      </c>
      <c r="B78" s="8" t="str">
        <f>IFERROR(VLOOKUP(A78,Employee_Master!A:B,2,0),"")</f>
        <v>Dalip Sharma</v>
      </c>
      <c r="C78" s="8" t="str">
        <f>IFERROR(VLOOKUP(A78,Employee_Master!A:B,3,0),"")</f>
        <v/>
      </c>
      <c r="D78" s="8">
        <f>IF(SUMIF(Participation_Entry!B:B,A78,Participation_Entry!L:L)=0,"",SUMIF(Participation_Entry!B:B,A78,Participation_Entry!L:L))</f>
        <v>155</v>
      </c>
    </row>
    <row r="79" spans="1:4">
      <c r="A79" s="7">
        <v>430977</v>
      </c>
      <c r="B79" s="8" t="str">
        <f>IFERROR(VLOOKUP(A79,Employee_Master!A:B,2,0),"")</f>
        <v>Akshit Sood</v>
      </c>
      <c r="C79" s="8" t="str">
        <f>IFERROR(VLOOKUP(A79,Employee_Master!A:B,3,0),"")</f>
        <v/>
      </c>
      <c r="D79" s="8">
        <f>IF(SUMIF(Participation_Entry!B:B,A79,Participation_Entry!L:L)=0,"",SUMIF(Participation_Entry!B:B,A79,Participation_Entry!L:L))</f>
        <v>155</v>
      </c>
    </row>
    <row r="80" spans="1:4">
      <c r="A80" s="7">
        <v>438679</v>
      </c>
      <c r="B80" s="8" t="str">
        <f>IFERROR(VLOOKUP(A80,Employee_Master!A:B,2,0),"")</f>
        <v>Saurabh Kumar</v>
      </c>
      <c r="C80" s="8" t="str">
        <f>IFERROR(VLOOKUP(A80,Employee_Master!A:B,3,0),"")</f>
        <v/>
      </c>
      <c r="D80" s="8">
        <f>IF(SUMIF(Participation_Entry!B:B,A80,Participation_Entry!L:L)=0,"",SUMIF(Participation_Entry!B:B,A80,Participation_Entry!L:L))</f>
        <v>145</v>
      </c>
    </row>
    <row r="81" spans="1:4">
      <c r="A81" s="7">
        <v>468157</v>
      </c>
      <c r="B81" s="8" t="str">
        <f>IFERROR(VLOOKUP(A81,Employee_Master!A:B,2,0),"")</f>
        <v>Ankit Tiwari</v>
      </c>
      <c r="C81" s="8" t="str">
        <f>IFERROR(VLOOKUP(A81,Employee_Master!A:B,3,0),"")</f>
        <v/>
      </c>
      <c r="D81" s="8">
        <f>IF(SUMIF(Participation_Entry!B:B,A81,Participation_Entry!L:L)=0,"",SUMIF(Participation_Entry!B:B,A81,Participation_Entry!L:L))</f>
        <v>135</v>
      </c>
    </row>
    <row r="82" spans="1:4">
      <c r="A82" s="7">
        <v>460812</v>
      </c>
      <c r="B82" s="8" t="str">
        <f>IFERROR(VLOOKUP(A82,Employee_Master!A:B,2,0),"")</f>
        <v>Deepak Sharma</v>
      </c>
      <c r="C82" s="8" t="str">
        <f>IFERROR(VLOOKUP(A82,Employee_Master!A:B,3,0),"")</f>
        <v/>
      </c>
      <c r="D82" s="8">
        <f>IF(SUMIF(Participation_Entry!B:B,A82,Participation_Entry!L:L)=0,"",SUMIF(Participation_Entry!B:B,A82,Participation_Entry!L:L))</f>
        <v>125</v>
      </c>
    </row>
    <row r="83" spans="1:4">
      <c r="A83" s="7">
        <v>465181</v>
      </c>
      <c r="B83" s="8" t="str">
        <f>IFERROR(VLOOKUP(A83,Employee_Master!A:B,2,0),"")</f>
        <v>Gaurav Singh Gurjar</v>
      </c>
      <c r="C83" s="8" t="str">
        <f>IFERROR(VLOOKUP(A83,Employee_Master!A:B,3,0),"")</f>
        <v/>
      </c>
      <c r="D83" s="8">
        <f>IF(SUMIF(Participation_Entry!B:B,A83,Participation_Entry!L:L)=0,"",SUMIF(Participation_Entry!B:B,A83,Participation_Entry!L:L))</f>
        <v>125</v>
      </c>
    </row>
    <row r="84" spans="1:4">
      <c r="A84" s="7">
        <v>454456</v>
      </c>
      <c r="B84" s="8" t="str">
        <f>IFERROR(VLOOKUP(A84,Employee_Master!A:B,2,0),"")</f>
        <v>Akash Deshmukh</v>
      </c>
      <c r="C84" s="8" t="str">
        <f>IFERROR(VLOOKUP(A84,Employee_Master!A:B,3,0),"")</f>
        <v/>
      </c>
      <c r="D84" s="8">
        <f>IF(SUMIF(Participation_Entry!B:B,A84,Participation_Entry!L:L)=0,"",SUMIF(Participation_Entry!B:B,A84,Participation_Entry!L:L))</f>
        <v>125</v>
      </c>
    </row>
    <row r="85" spans="1:4">
      <c r="A85" s="7">
        <v>446300</v>
      </c>
      <c r="B85" s="8" t="str">
        <f>IFERROR(VLOOKUP(A85,Employee_Master!A:B,2,0),"")</f>
        <v>Simranjit Singh</v>
      </c>
      <c r="C85" s="8" t="str">
        <f>IFERROR(VLOOKUP(A85,Employee_Master!A:B,3,0),"")</f>
        <v/>
      </c>
      <c r="D85" s="8">
        <f>IF(SUMIF(Participation_Entry!B:B,A85,Participation_Entry!L:L)=0,"",SUMIF(Participation_Entry!B:B,A85,Participation_Entry!L:L))</f>
        <v>125</v>
      </c>
    </row>
    <row r="86" spans="1:4">
      <c r="A86" s="7">
        <v>450694</v>
      </c>
      <c r="B86" s="8" t="str">
        <f>IFERROR(VLOOKUP(A86,Employee_Master!A:B,2,0),"")</f>
        <v>Kawaljot Kaur</v>
      </c>
      <c r="C86" s="8" t="str">
        <f>IFERROR(VLOOKUP(A86,Employee_Master!A:B,3,0),"")</f>
        <v/>
      </c>
      <c r="D86" s="8">
        <f>IF(SUMIF(Participation_Entry!B:B,A86,Participation_Entry!L:L)=0,"",SUMIF(Participation_Entry!B:B,A86,Participation_Entry!L:L))</f>
        <v>125</v>
      </c>
    </row>
    <row r="87" spans="1:4">
      <c r="A87" s="7">
        <v>447836</v>
      </c>
      <c r="B87" s="8" t="str">
        <f>IFERROR(VLOOKUP(A87,Employee_Master!A:B,2,0),"")</f>
        <v>Rakesh S</v>
      </c>
      <c r="C87" s="8" t="str">
        <f>IFERROR(VLOOKUP(A87,Employee_Master!A:B,3,0),"")</f>
        <v/>
      </c>
      <c r="D87" s="8">
        <f>IF(SUMIF(Participation_Entry!B:B,A87,Participation_Entry!L:L)=0,"",SUMIF(Participation_Entry!B:B,A87,Participation_Entry!L:L))</f>
        <v>125</v>
      </c>
    </row>
    <row r="88" spans="1:4">
      <c r="A88" s="7">
        <v>449891</v>
      </c>
      <c r="B88" s="8" t="str">
        <f>IFERROR(VLOOKUP(A88,Employee_Master!A:B,2,0),"")</f>
        <v>Komalpreet</v>
      </c>
      <c r="C88" s="8" t="str">
        <f>IFERROR(VLOOKUP(A88,Employee_Master!A:B,3,0),"")</f>
        <v/>
      </c>
      <c r="D88" s="8">
        <f>IF(SUMIF(Participation_Entry!B:B,A88,Participation_Entry!L:L)=0,"",SUMIF(Participation_Entry!B:B,A88,Participation_Entry!L:L))</f>
        <v>125</v>
      </c>
    </row>
    <row r="89" spans="1:4">
      <c r="A89" s="7">
        <v>468887</v>
      </c>
      <c r="B89" s="8" t="str">
        <f>IFERROR(VLOOKUP(A89,Employee_Master!A:B,2,0),"")</f>
        <v>Prachi Shukla</v>
      </c>
      <c r="C89" s="8" t="str">
        <f>IFERROR(VLOOKUP(A89,Employee_Master!A:B,3,0),"")</f>
        <v/>
      </c>
      <c r="D89" s="8">
        <f>IF(SUMIF(Participation_Entry!B:B,A89,Participation_Entry!L:L)=0,"",SUMIF(Participation_Entry!B:B,A89,Participation_Entry!L:L))</f>
        <v>125</v>
      </c>
    </row>
    <row r="90" spans="1:4">
      <c r="A90" s="7">
        <v>456743</v>
      </c>
      <c r="B90" s="8" t="str">
        <f>IFERROR(VLOOKUP(A90,Employee_Master!A:B,2,0),"")</f>
        <v>Chironjee Narvare</v>
      </c>
      <c r="C90" s="8" t="str">
        <f>IFERROR(VLOOKUP(A90,Employee_Master!A:B,3,0),"")</f>
        <v/>
      </c>
      <c r="D90" s="8">
        <f>IF(SUMIF(Participation_Entry!B:B,A90,Participation_Entry!L:L)=0,"",SUMIF(Participation_Entry!B:B,A90,Participation_Entry!L:L))</f>
        <v>115</v>
      </c>
    </row>
    <row r="91" spans="1:4">
      <c r="A91" s="7">
        <v>451858</v>
      </c>
      <c r="B91" s="8" t="str">
        <f>IFERROR(VLOOKUP(A91,Employee_Master!A:B,2,0),"")</f>
        <v>Ankit Bhardwaj</v>
      </c>
      <c r="C91" s="8" t="str">
        <f>IFERROR(VLOOKUP(A91,Employee_Master!A:B,3,0),"")</f>
        <v/>
      </c>
      <c r="D91" s="8">
        <f>IF(SUMIF(Participation_Entry!B:B,A91,Participation_Entry!L:L)=0,"",SUMIF(Participation_Entry!B:B,A91,Participation_Entry!L:L))</f>
        <v>115</v>
      </c>
    </row>
    <row r="92" spans="1:4">
      <c r="A92" s="7">
        <v>463833</v>
      </c>
      <c r="B92" s="8" t="str">
        <f>IFERROR(VLOOKUP(A92,Employee_Master!A:B,2,0),"")</f>
        <v>Kartik Shakya</v>
      </c>
      <c r="C92" s="8" t="str">
        <f>IFERROR(VLOOKUP(A92,Employee_Master!A:B,3,0),"")</f>
        <v/>
      </c>
      <c r="D92" s="8">
        <f>IF(SUMIF(Participation_Entry!B:B,A92,Participation_Entry!L:L)=0,"",SUMIF(Participation_Entry!B:B,A92,Participation_Entry!L:L))</f>
        <v>115</v>
      </c>
    </row>
    <row r="93" spans="1:4">
      <c r="A93" s="7">
        <v>458749</v>
      </c>
      <c r="B93" s="8" t="str">
        <f>IFERROR(VLOOKUP(A93,Employee_Master!A:B,2,0),"")</f>
        <v>Manoj Kumar Jangra</v>
      </c>
      <c r="C93" s="8" t="str">
        <f>IFERROR(VLOOKUP(A93,Employee_Master!A:B,3,0),"")</f>
        <v/>
      </c>
      <c r="D93" s="8">
        <f>IF(SUMIF(Participation_Entry!B:B,A93,Participation_Entry!L:L)=0,"",SUMIF(Participation_Entry!B:B,A93,Participation_Entry!L:L))</f>
        <v>115</v>
      </c>
    </row>
    <row r="94" spans="1:4">
      <c r="A94" s="7">
        <v>456091</v>
      </c>
      <c r="B94" s="8" t="str">
        <f>IFERROR(VLOOKUP(A94,Employee_Master!A:B,2,0),"")</f>
        <v>Abhinesh Pandey</v>
      </c>
      <c r="C94" s="8" t="str">
        <f>IFERROR(VLOOKUP(A94,Employee_Master!A:B,3,0),"")</f>
        <v/>
      </c>
      <c r="D94" s="8">
        <f>IF(SUMIF(Participation_Entry!B:B,A94,Participation_Entry!L:L)=0,"",SUMIF(Participation_Entry!B:B,A94,Participation_Entry!L:L))</f>
        <v>101</v>
      </c>
    </row>
    <row r="95" spans="1:4">
      <c r="A95" s="7">
        <v>457430</v>
      </c>
      <c r="B95" s="8" t="str">
        <f>IFERROR(VLOOKUP(A95,Employee_Master!A:B,2,0),"")</f>
        <v>Manish Kumar</v>
      </c>
      <c r="C95" s="8" t="str">
        <f>IFERROR(VLOOKUP(A95,Employee_Master!A:B,3,0),"")</f>
        <v/>
      </c>
      <c r="D95" s="8">
        <f>IF(SUMIF(Participation_Entry!B:B,A95,Participation_Entry!L:L)=0,"",SUMIF(Participation_Entry!B:B,A95,Participation_Entry!L:L))</f>
        <v>50</v>
      </c>
    </row>
    <row r="96" spans="1:4">
      <c r="A96" s="7">
        <v>450224</v>
      </c>
      <c r="B96" s="8" t="str">
        <f>IFERROR(VLOOKUP(A96,Employee_Master!A:B,2,0),"")</f>
        <v>Lalit Nagar</v>
      </c>
      <c r="C96" s="8" t="str">
        <f>IFERROR(VLOOKUP(A96,Employee_Master!A:B,3,0),"")</f>
        <v/>
      </c>
      <c r="D96" s="8">
        <f>IF(SUMIF(Participation_Entry!B:B,A96,Participation_Entry!L:L)=0,"",SUMIF(Participation_Entry!B:B,A96,Participation_Entry!L:L))</f>
        <v>50</v>
      </c>
    </row>
    <row r="97" spans="1:4">
      <c r="A97" s="7">
        <v>473266</v>
      </c>
      <c r="B97" s="8" t="str">
        <f>IFERROR(VLOOKUP(A97,Employee_Master!A:B,2,0),"")</f>
        <v>Jitender Yadav</v>
      </c>
      <c r="C97" s="8" t="str">
        <f>IFERROR(VLOOKUP(A97,Employee_Master!A:B,3,0),"")</f>
        <v/>
      </c>
      <c r="D97" s="8">
        <f>IF(SUMIF(Participation_Entry!B:B,A97,Participation_Entry!L:L)=0,"",SUMIF(Participation_Entry!B:B,A97,Participation_Entry!L:L))</f>
        <v>40</v>
      </c>
    </row>
    <row r="98" spans="1:4">
      <c r="A98" s="7">
        <v>437534</v>
      </c>
      <c r="B98" s="8" t="str">
        <f>IFERROR(VLOOKUP(A98,Employee_Master!A:B,2,0),"")</f>
        <v>Himanshu Sangar</v>
      </c>
      <c r="C98" s="8" t="str">
        <f>IFERROR(VLOOKUP(A98,Employee_Master!A:B,3,0),"")</f>
        <v/>
      </c>
      <c r="D98" s="8">
        <f>IF(SUMIF(Participation_Entry!B:B,A98,Participation_Entry!L:L)=0,"",SUMIF(Participation_Entry!B:B,A98,Participation_Entry!L:L))</f>
        <v>40</v>
      </c>
    </row>
    <row r="99" spans="1:4">
      <c r="A99" s="7">
        <v>452058</v>
      </c>
      <c r="B99" s="8" t="str">
        <f>IFERROR(VLOOKUP(A99,Employee_Master!A:B,2,0),"")</f>
        <v>Bhavya Gupta</v>
      </c>
      <c r="C99" s="8" t="str">
        <f>IFERROR(VLOOKUP(A99,Employee_Master!A:B,3,0),"")</f>
        <v/>
      </c>
      <c r="D99" s="8">
        <f>IF(SUMIF(Participation_Entry!B:B,A99,Participation_Entry!L:L)=0,"",SUMIF(Participation_Entry!B:B,A99,Participation_Entry!L:L))</f>
        <v>40</v>
      </c>
    </row>
    <row r="100" spans="1:4">
      <c r="A100" s="7">
        <v>452075</v>
      </c>
      <c r="B100" s="8" t="str">
        <f>IFERROR(VLOOKUP(A100,Employee_Master!A:B,2,0),"")</f>
        <v>Mansi Yadav</v>
      </c>
      <c r="C100" s="8" t="str">
        <f>IFERROR(VLOOKUP(A100,Employee_Master!A:B,3,0),"")</f>
        <v/>
      </c>
      <c r="D100" s="8">
        <f>IF(SUMIF(Participation_Entry!B:B,A100,Participation_Entry!L:L)=0,"",SUMIF(Participation_Entry!B:B,A100,Participation_Entry!L:L))</f>
        <v>40</v>
      </c>
    </row>
    <row r="101" spans="1:4">
      <c r="A101" s="7">
        <v>450030</v>
      </c>
      <c r="B101" s="8" t="str">
        <f>IFERROR(VLOOKUP(A101,Employee_Master!A:B,2,0),"")</f>
        <v>Manish bisht </v>
      </c>
      <c r="C101" s="8" t="str">
        <f>IFERROR(VLOOKUP(A101,Employee_Master!A:B,3,0),"")</f>
        <v/>
      </c>
      <c r="D101" s="8">
        <f>IF(SUMIF(Participation_Entry!B:B,A101,Participation_Entry!L:L)=0,"",SUMIF(Participation_Entry!B:B,A101,Participation_Entry!L:L))</f>
        <v>40</v>
      </c>
    </row>
    <row r="102" spans="1:4">
      <c r="A102" s="7">
        <v>365114</v>
      </c>
      <c r="B102" s="8" t="str">
        <f>IFERROR(VLOOKUP(A102,Employee_Master!A:B,2,0),"")</f>
        <v>Bhanu Sirohi</v>
      </c>
      <c r="C102" s="8" t="str">
        <f>IFERROR(VLOOKUP(A102,Employee_Master!A:B,3,0),"")</f>
        <v/>
      </c>
      <c r="D102" s="8">
        <f>IF(SUMIF(Participation_Entry!B:B,A102,Participation_Entry!L:L)=0,"",SUMIF(Participation_Entry!B:B,A102,Participation_Entry!L:L))</f>
        <v>30</v>
      </c>
    </row>
    <row r="103" spans="1:4">
      <c r="A103" s="7">
        <v>410040</v>
      </c>
      <c r="B103" s="8" t="str">
        <f>IFERROR(VLOOKUP(A103,Employee_Master!A:B,2,0),"")</f>
        <v>Deepak Singh</v>
      </c>
      <c r="C103" s="8" t="str">
        <f>IFERROR(VLOOKUP(A103,Employee_Master!A:B,3,0),"")</f>
        <v/>
      </c>
      <c r="D103" s="8">
        <f>IF(SUMIF(Participation_Entry!B:B,A103,Participation_Entry!L:L)=0,"",SUMIF(Participation_Entry!B:B,A103,Participation_Entry!L:L))</f>
        <v>30</v>
      </c>
    </row>
    <row r="104" spans="1:4">
      <c r="A104" s="7">
        <v>451567</v>
      </c>
      <c r="B104" s="8" t="str">
        <f>IFERROR(VLOOKUP(A104,Employee_Master!A:B,2,0),"")</f>
        <v>Gaurav Kumar  </v>
      </c>
      <c r="C104" s="8" t="str">
        <f>IFERROR(VLOOKUP(A104,Employee_Master!A:B,3,0),"")</f>
        <v/>
      </c>
      <c r="D104" s="8">
        <f>IF(SUMIF(Participation_Entry!B:B,A104,Participation_Entry!L:L)=0,"",SUMIF(Participation_Entry!B:B,A104,Participation_Entry!L:L))</f>
        <v>30</v>
      </c>
    </row>
    <row r="105" spans="1:4">
      <c r="A105" s="7">
        <v>451509</v>
      </c>
      <c r="B105" s="8" t="str">
        <f>IFERROR(VLOOKUP(A105,Employee_Master!A:B,2,0),"")</f>
        <v>Vivek Aswal</v>
      </c>
      <c r="C105" s="8" t="str">
        <f>IFERROR(VLOOKUP(A105,Employee_Master!A:B,3,0),"")</f>
        <v/>
      </c>
      <c r="D105" s="8">
        <f>IF(SUMIF(Participation_Entry!B:B,A105,Participation_Entry!L:L)=0,"",SUMIF(Participation_Entry!B:B,A105,Participation_Entry!L:L))</f>
        <v>30</v>
      </c>
    </row>
    <row r="106" spans="1:4">
      <c r="A106" s="7">
        <v>470292</v>
      </c>
      <c r="B106" s="8" t="str">
        <f>IFERROR(VLOOKUP(A106,Employee_Master!A:B,2,0),"")</f>
        <v>Vishal Kumar</v>
      </c>
      <c r="C106" s="8" t="str">
        <f>IFERROR(VLOOKUP(A106,Employee_Master!A:B,3,0),"")</f>
        <v/>
      </c>
      <c r="D106" s="8">
        <f>IF(SUMIF(Participation_Entry!B:B,A106,Participation_Entry!L:L)=0,"",SUMIF(Participation_Entry!B:B,A106,Participation_Entry!L:L))</f>
        <v>30</v>
      </c>
    </row>
    <row r="107" spans="1:4">
      <c r="A107" s="7">
        <v>416828</v>
      </c>
      <c r="B107" s="8" t="str">
        <f>IFERROR(VLOOKUP(A107,Employee_Master!A:B,2,0),"")</f>
        <v>Keshav Dev</v>
      </c>
      <c r="C107" s="8" t="str">
        <f>IFERROR(VLOOKUP(A107,Employee_Master!A:B,3,0),"")</f>
        <v/>
      </c>
      <c r="D107" s="8">
        <f>IF(SUMIF(Participation_Entry!B:B,A107,Participation_Entry!L:L)=0,"",SUMIF(Participation_Entry!B:B,A107,Participation_Entry!L:L))</f>
        <v>30</v>
      </c>
    </row>
    <row r="108" spans="1:4">
      <c r="A108" s="7">
        <v>423859</v>
      </c>
      <c r="B108" s="8" t="str">
        <f>IFERROR(VLOOKUP(A108,Employee_Master!A:B,2,0),"")</f>
        <v>Tilak Raj</v>
      </c>
      <c r="C108" s="8" t="str">
        <f>IFERROR(VLOOKUP(A108,Employee_Master!A:B,3,0),"")</f>
        <v/>
      </c>
      <c r="D108" s="8">
        <f>IF(SUMIF(Participation_Entry!B:B,A108,Participation_Entry!L:L)=0,"",SUMIF(Participation_Entry!B:B,A108,Participation_Entry!L:L))</f>
        <v>30</v>
      </c>
    </row>
    <row r="109" spans="1:4">
      <c r="A109" s="7">
        <v>450228</v>
      </c>
      <c r="B109" s="8" t="str">
        <f>IFERROR(VLOOKUP(A109,Employee_Master!A:B,2,0),"")</f>
        <v>Shubham Sharma</v>
      </c>
      <c r="C109" s="8" t="str">
        <f>IFERROR(VLOOKUP(A109,Employee_Master!A:B,3,0),"")</f>
        <v/>
      </c>
      <c r="D109" s="8">
        <f>IF(SUMIF(Participation_Entry!B:B,A109,Participation_Entry!L:L)=0,"",SUMIF(Participation_Entry!B:B,A109,Participation_Entry!L:L))</f>
        <v>30</v>
      </c>
    </row>
    <row r="110" spans="1:4">
      <c r="A110" s="7">
        <v>460627</v>
      </c>
      <c r="B110" s="8" t="str">
        <f>IFERROR(VLOOKUP(A110,Employee_Master!A:B,2,0),"")</f>
        <v>Sushil</v>
      </c>
      <c r="C110" s="8" t="str">
        <f>IFERROR(VLOOKUP(A110,Employee_Master!A:B,3,0),"")</f>
        <v/>
      </c>
      <c r="D110" s="8">
        <f>IF(SUMIF(Participation_Entry!B:B,A110,Participation_Entry!L:L)=0,"",SUMIF(Participation_Entry!B:B,A110,Participation_Entry!L:L))</f>
        <v>30</v>
      </c>
    </row>
    <row r="111" spans="1:4">
      <c r="A111" s="7">
        <v>474194</v>
      </c>
      <c r="B111" s="8" t="str">
        <f>IFERROR(VLOOKUP(A111,Employee_Master!A:B,2,0),"")</f>
        <v>Rohit Yadav</v>
      </c>
      <c r="C111" s="8" t="str">
        <f>IFERROR(VLOOKUP(A111,Employee_Master!A:B,3,0),"")</f>
        <v/>
      </c>
      <c r="D111" s="8">
        <f>IF(SUMIF(Participation_Entry!B:B,A111,Participation_Entry!L:L)=0,"",SUMIF(Participation_Entry!B:B,A111,Participation_Entry!L:L))</f>
        <v>30</v>
      </c>
    </row>
    <row r="112" spans="1:4">
      <c r="A112" s="7">
        <v>476372</v>
      </c>
      <c r="B112" s="8" t="str">
        <f>IFERROR(VLOOKUP(A112,Employee_Master!A:B,2,0),"")</f>
        <v>Laksh</v>
      </c>
      <c r="C112" s="8" t="str">
        <f>IFERROR(VLOOKUP(A112,Employee_Master!A:B,3,0),"")</f>
        <v/>
      </c>
      <c r="D112" s="8">
        <f>IF(SUMIF(Participation_Entry!B:B,A112,Participation_Entry!L:L)=0,"",SUMIF(Participation_Entry!B:B,A112,Participation_Entry!L:L))</f>
        <v>30</v>
      </c>
    </row>
    <row r="113" spans="1:4">
      <c r="A113" s="7">
        <v>435877</v>
      </c>
      <c r="B113" s="8" t="str">
        <f>IFERROR(VLOOKUP(A113,Employee_Master!A:B,2,0),"")</f>
        <v>Pardeep Kumar</v>
      </c>
      <c r="C113" s="8" t="str">
        <f>IFERROR(VLOOKUP(A113,Employee_Master!A:B,3,0),"")</f>
        <v/>
      </c>
      <c r="D113" s="8">
        <f>IF(SUMIF(Participation_Entry!B:B,A113,Participation_Entry!L:L)=0,"",SUMIF(Participation_Entry!B:B,A113,Participation_Entry!L:L))</f>
        <v>30</v>
      </c>
    </row>
    <row r="114" spans="1:4">
      <c r="A114" s="7">
        <v>438864</v>
      </c>
      <c r="B114" s="8" t="str">
        <f>IFERROR(VLOOKUP(A114,Employee_Master!A:B,2,0),"")</f>
        <v>Rajan Gupta</v>
      </c>
      <c r="C114" s="8" t="str">
        <f>IFERROR(VLOOKUP(A114,Employee_Master!A:B,3,0),"")</f>
        <v/>
      </c>
      <c r="D114" s="8">
        <f>IF(SUMIF(Participation_Entry!B:B,A114,Participation_Entry!L:L)=0,"",SUMIF(Participation_Entry!B:B,A114,Participation_Entry!L:L))</f>
        <v>30</v>
      </c>
    </row>
    <row r="115" spans="1:4">
      <c r="A115" s="7">
        <v>452059</v>
      </c>
      <c r="B115" s="8" t="str">
        <f>IFERROR(VLOOKUP(A115,Employee_Master!A:B,2,0),"")</f>
        <v>Mahi Singh</v>
      </c>
      <c r="C115" s="8" t="str">
        <f>IFERROR(VLOOKUP(A115,Employee_Master!A:B,3,0),"")</f>
        <v/>
      </c>
      <c r="D115" s="8">
        <f>IF(SUMIF(Participation_Entry!B:B,A115,Participation_Entry!L:L)=0,"",SUMIF(Participation_Entry!B:B,A115,Participation_Entry!L:L))</f>
        <v>30</v>
      </c>
    </row>
    <row r="116" spans="1:4">
      <c r="A116" s="7">
        <v>420533</v>
      </c>
      <c r="B116" s="8" t="str">
        <f>IFERROR(VLOOKUP(A116,Employee_Master!A:B,2,0),"")</f>
        <v>Gaurav Saxena</v>
      </c>
      <c r="C116" s="8" t="str">
        <f>IFERROR(VLOOKUP(A116,Employee_Master!A:B,3,0),"")</f>
        <v/>
      </c>
      <c r="D116" s="8">
        <f>IF(SUMIF(Participation_Entry!B:B,A116,Participation_Entry!L:L)=0,"",SUMIF(Participation_Entry!B:B,A116,Participation_Entry!L:L))</f>
        <v>20</v>
      </c>
    </row>
    <row r="117" spans="1:4">
      <c r="A117" s="7">
        <v>484877</v>
      </c>
      <c r="B117" s="8" t="str">
        <f>IFERROR(VLOOKUP(A117,Employee_Master!A:B,2,0),"")</f>
        <v>Prashant Gupta</v>
      </c>
      <c r="C117" s="8" t="str">
        <f>IFERROR(VLOOKUP(A117,Employee_Master!A:B,3,0),"")</f>
        <v/>
      </c>
      <c r="D117" s="8">
        <f>IF(SUMIF(Participation_Entry!B:B,A117,Participation_Entry!L:L)=0,"",SUMIF(Participation_Entry!B:B,A117,Participation_Entry!L:L))</f>
        <v>20</v>
      </c>
    </row>
    <row r="118" spans="1:4">
      <c r="A118" s="7">
        <v>488518</v>
      </c>
      <c r="B118" s="8" t="str">
        <f>IFERROR(VLOOKUP(A118,Employee_Master!A:B,2,0),"")</f>
        <v>Neha Chaturvedi</v>
      </c>
      <c r="C118" s="8" t="str">
        <f>IFERROR(VLOOKUP(A118,Employee_Master!A:B,3,0),"")</f>
        <v/>
      </c>
      <c r="D118" s="8">
        <f>IF(SUMIF(Participation_Entry!B:B,A118,Participation_Entry!L:L)=0,"",SUMIF(Participation_Entry!B:B,A118,Participation_Entry!L:L))</f>
        <v>20</v>
      </c>
    </row>
    <row r="119" spans="1:4">
      <c r="A119" s="7">
        <v>412273</v>
      </c>
      <c r="B119" s="8" t="str">
        <f>IFERROR(VLOOKUP(A119,Employee_Master!A:B,2,0),"")</f>
        <v>Sandeep Sengar</v>
      </c>
      <c r="C119" s="8" t="str">
        <f>IFERROR(VLOOKUP(A119,Employee_Master!A:B,3,0),"")</f>
        <v/>
      </c>
      <c r="D119" s="8">
        <f>IF(SUMIF(Participation_Entry!B:B,A119,Participation_Entry!L:L)=0,"",SUMIF(Participation_Entry!B:B,A119,Participation_Entry!L:L))</f>
        <v>20</v>
      </c>
    </row>
    <row r="120" spans="1:4">
      <c r="A120" s="7">
        <v>451609</v>
      </c>
      <c r="B120" s="8" t="str">
        <f>IFERROR(VLOOKUP(A120,Employee_Master!A:B,2,0),"")</f>
        <v>Vivek Kumar Yadav</v>
      </c>
      <c r="C120" s="8" t="str">
        <f>IFERROR(VLOOKUP(A120,Employee_Master!A:B,3,0),"")</f>
        <v/>
      </c>
      <c r="D120" s="8">
        <f>IF(SUMIF(Participation_Entry!B:B,A120,Participation_Entry!L:L)=0,"",SUMIF(Participation_Entry!B:B,A120,Participation_Entry!L:L))</f>
        <v>20</v>
      </c>
    </row>
    <row r="121" spans="1:4">
      <c r="A121" s="7">
        <v>424332</v>
      </c>
      <c r="B121" s="8" t="str">
        <f>IFERROR(VLOOKUP(A121,Employee_Master!A:B,2,0),"")</f>
        <v>Naresh Kumar</v>
      </c>
      <c r="C121" s="8" t="str">
        <f>IFERROR(VLOOKUP(A121,Employee_Master!A:B,3,0),"")</f>
        <v/>
      </c>
      <c r="D121" s="8">
        <f>IF(SUMIF(Participation_Entry!B:B,A121,Participation_Entry!L:L)=0,"",SUMIF(Participation_Entry!B:B,A121,Participation_Entry!L:L))</f>
        <v>20</v>
      </c>
    </row>
    <row r="122" spans="1:4">
      <c r="A122" s="7">
        <v>467519</v>
      </c>
      <c r="B122" s="8" t="str">
        <f>IFERROR(VLOOKUP(A122,Employee_Master!A:B,2,0),"")</f>
        <v>Vivek Tiwari</v>
      </c>
      <c r="C122" s="8" t="str">
        <f>IFERROR(VLOOKUP(A122,Employee_Master!A:B,3,0),"")</f>
        <v/>
      </c>
      <c r="D122" s="8">
        <f>IF(SUMIF(Participation_Entry!B:B,A122,Participation_Entry!L:L)=0,"",SUMIF(Participation_Entry!B:B,A122,Participation_Entry!L:L))</f>
        <v>20</v>
      </c>
    </row>
    <row r="123" spans="1:4">
      <c r="A123" s="7">
        <v>436468</v>
      </c>
      <c r="B123" s="8" t="str">
        <f>IFERROR(VLOOKUP(A123,Employee_Master!A:B,2,0),"")</f>
        <v>Karan Singh</v>
      </c>
      <c r="C123" s="8" t="str">
        <f>IFERROR(VLOOKUP(A123,Employee_Master!A:B,3,0),"")</f>
        <v/>
      </c>
      <c r="D123" s="8">
        <f>IF(SUMIF(Participation_Entry!B:B,A123,Participation_Entry!L:L)=0,"",SUMIF(Participation_Entry!B:B,A123,Participation_Entry!L:L))</f>
        <v>20</v>
      </c>
    </row>
    <row r="124" spans="1:4">
      <c r="A124" s="7">
        <v>453949</v>
      </c>
      <c r="B124" s="8" t="str">
        <f>IFERROR(VLOOKUP(A124,Employee_Master!A:B,2,0),"")</f>
        <v>Naveen Kumar</v>
      </c>
      <c r="C124" s="8" t="str">
        <f>IFERROR(VLOOKUP(A124,Employee_Master!A:B,3,0),"")</f>
        <v/>
      </c>
      <c r="D124" s="8">
        <f>IF(SUMIF(Participation_Entry!B:B,A124,Participation_Entry!L:L)=0,"",SUMIF(Participation_Entry!B:B,A124,Participation_Entry!L:L))</f>
        <v>20</v>
      </c>
    </row>
    <row r="125" spans="1:4">
      <c r="A125" s="7">
        <v>440317</v>
      </c>
      <c r="B125" s="8" t="str">
        <f>IFERROR(VLOOKUP(A125,Employee_Master!A:B,2,0),"")</f>
        <v>Praveen Chandel</v>
      </c>
      <c r="C125" s="8" t="str">
        <f>IFERROR(VLOOKUP(A125,Employee_Master!A:B,3,0),"")</f>
        <v/>
      </c>
      <c r="D125" s="8">
        <f>IF(SUMIF(Participation_Entry!B:B,A125,Participation_Entry!L:L)=0,"",SUMIF(Participation_Entry!B:B,A125,Participation_Entry!L:L))</f>
        <v>20</v>
      </c>
    </row>
    <row r="126" spans="1:4">
      <c r="A126" s="7">
        <v>468224</v>
      </c>
      <c r="B126" s="8" t="str">
        <f>IFERROR(VLOOKUP(A126,Employee_Master!A:B,2,0),"")</f>
        <v>Mohit Kumar</v>
      </c>
      <c r="C126" s="8" t="str">
        <f>IFERROR(VLOOKUP(A126,Employee_Master!A:B,3,0),"")</f>
        <v/>
      </c>
      <c r="D126" s="8">
        <f>IF(SUMIF(Participation_Entry!B:B,A126,Participation_Entry!L:L)=0,"",SUMIF(Participation_Entry!B:B,A126,Participation_Entry!L:L))</f>
        <v>20</v>
      </c>
    </row>
    <row r="127" spans="1:4">
      <c r="A127" s="7">
        <v>450225</v>
      </c>
      <c r="B127" s="8" t="str">
        <f>IFERROR(VLOOKUP(A127,Employee_Master!A:B,2,0),"")</f>
        <v>Nikita</v>
      </c>
      <c r="C127" s="8" t="str">
        <f>IFERROR(VLOOKUP(A127,Employee_Master!A:B,3,0),"")</f>
        <v/>
      </c>
      <c r="D127" s="8">
        <f>IF(SUMIF(Participation_Entry!B:B,A127,Participation_Entry!L:L)=0,"",SUMIF(Participation_Entry!B:B,A127,Participation_Entry!L:L))</f>
        <v>20</v>
      </c>
    </row>
    <row r="128" spans="1:4">
      <c r="A128" s="7">
        <v>452115</v>
      </c>
      <c r="B128" s="8" t="str">
        <f>IFERROR(VLOOKUP(A128,Employee_Master!A:B,2,0),"")</f>
        <v>Anshul Sharma </v>
      </c>
      <c r="C128" s="8" t="str">
        <f>IFERROR(VLOOKUP(A128,Employee_Master!A:B,3,0),"")</f>
        <v/>
      </c>
      <c r="D128" s="8">
        <f>IF(SUMIF(Participation_Entry!B:B,A128,Participation_Entry!L:L)=0,"",SUMIF(Participation_Entry!B:B,A128,Participation_Entry!L:L))</f>
        <v>20</v>
      </c>
    </row>
    <row r="129" spans="1:4">
      <c r="A129" s="7">
        <v>452057</v>
      </c>
      <c r="B129" s="8" t="str">
        <f>IFERROR(VLOOKUP(A129,Employee_Master!A:B,2,0),"")</f>
        <v>Sahil Thakur </v>
      </c>
      <c r="C129" s="8" t="str">
        <f>IFERROR(VLOOKUP(A129,Employee_Master!A:B,3,0),"")</f>
        <v/>
      </c>
      <c r="D129" s="8">
        <f>IF(SUMIF(Participation_Entry!B:B,A129,Participation_Entry!L:L)=0,"",SUMIF(Participation_Entry!B:B,A129,Participation_Entry!L:L))</f>
        <v>20</v>
      </c>
    </row>
    <row r="130" spans="1:4">
      <c r="A130" s="7">
        <v>469627</v>
      </c>
      <c r="B130" s="8" t="str">
        <f>IFERROR(VLOOKUP(A130,Employee_Master!A:B,2,0),"")</f>
        <v>Rahul Kumar</v>
      </c>
      <c r="C130" s="8" t="str">
        <f>IFERROR(VLOOKUP(A130,Employee_Master!A:B,3,0),"")</f>
        <v/>
      </c>
      <c r="D130" s="8">
        <f>IF(SUMIF(Participation_Entry!B:B,A130,Participation_Entry!L:L)=0,"",SUMIF(Participation_Entry!B:B,A130,Participation_Entry!L:L))</f>
        <v>20</v>
      </c>
    </row>
    <row r="131" spans="1:4">
      <c r="A131" s="7">
        <v>472322</v>
      </c>
      <c r="B131" s="8" t="str">
        <f>IFERROR(VLOOKUP(A131,Employee_Master!A:B,2,0),"")</f>
        <v>Sanjeet Kumar</v>
      </c>
      <c r="C131" s="8" t="str">
        <f>IFERROR(VLOOKUP(A131,Employee_Master!A:B,3,0),"")</f>
        <v/>
      </c>
      <c r="D131" s="8">
        <f>IF(SUMIF(Participation_Entry!B:B,A131,Participation_Entry!L:L)=0,"",SUMIF(Participation_Entry!B:B,A131,Participation_Entry!L:L))</f>
        <v>20</v>
      </c>
    </row>
    <row r="132" spans="1:4">
      <c r="A132" s="7">
        <v>478308</v>
      </c>
      <c r="B132" s="8" t="str">
        <f>IFERROR(VLOOKUP(A132,Employee_Master!A:B,2,0),"")</f>
        <v>Abhishek savita </v>
      </c>
      <c r="C132" s="8" t="str">
        <f>IFERROR(VLOOKUP(A132,Employee_Master!A:B,3,0),"")</f>
        <v/>
      </c>
      <c r="D132" s="8">
        <f>IF(SUMIF(Participation_Entry!B:B,A132,Participation_Entry!L:L)=0,"",SUMIF(Participation_Entry!B:B,A132,Participation_Entry!L:L))</f>
        <v>20</v>
      </c>
    </row>
    <row r="133" spans="1:4">
      <c r="A133" s="7">
        <v>457795</v>
      </c>
      <c r="B133" s="8" t="str">
        <f>IFERROR(VLOOKUP(A133,Employee_Master!A:B,2,0),"")</f>
        <v>Manbir Sain</v>
      </c>
      <c r="C133" s="8" t="str">
        <f>IFERROR(VLOOKUP(A133,Employee_Master!A:B,3,0),"")</f>
        <v/>
      </c>
      <c r="D133" s="8">
        <f>IF(SUMIF(Participation_Entry!B:B,A133,Participation_Entry!L:L)=0,"",SUMIF(Participation_Entry!B:B,A133,Participation_Entry!L:L))</f>
        <v>20</v>
      </c>
    </row>
    <row r="134" spans="1:4">
      <c r="A134" s="7">
        <v>460764</v>
      </c>
      <c r="B134" s="8" t="str">
        <f>IFERROR(VLOOKUP(A134,Employee_Master!A:B,2,0),"")</f>
        <v>Himanshu Yadav</v>
      </c>
      <c r="C134" s="8" t="str">
        <f>IFERROR(VLOOKUP(A134,Employee_Master!A:B,3,0),"")</f>
        <v/>
      </c>
      <c r="D134" s="8">
        <f>IF(SUMIF(Participation_Entry!B:B,A134,Participation_Entry!L:L)=0,"",SUMIF(Participation_Entry!B:B,A134,Participation_Entry!L:L))</f>
        <v>20</v>
      </c>
    </row>
    <row r="135" spans="1:4">
      <c r="A135" s="7">
        <v>466445</v>
      </c>
      <c r="B135" s="8" t="str">
        <f>IFERROR(VLOOKUP(A135,Employee_Master!A:B,2,0),"")</f>
        <v>Ayush Kumar</v>
      </c>
      <c r="C135" s="8" t="str">
        <f>IFERROR(VLOOKUP(A135,Employee_Master!A:B,3,0),"")</f>
        <v/>
      </c>
      <c r="D135" s="8">
        <f>IF(SUMIF(Participation_Entry!B:B,A135,Participation_Entry!L:L)=0,"",SUMIF(Participation_Entry!B:B,A135,Participation_Entry!L:L))</f>
        <v>20</v>
      </c>
    </row>
    <row r="136" spans="1:4">
      <c r="A136" s="7">
        <v>453948</v>
      </c>
      <c r="B136" s="8" t="str">
        <f>IFERROR(VLOOKUP(A136,Employee_Master!A:B,2,0),"")</f>
        <v>Ashish Bhardwaj</v>
      </c>
      <c r="C136" s="8" t="str">
        <f>IFERROR(VLOOKUP(A136,Employee_Master!A:B,3,0),"")</f>
        <v/>
      </c>
      <c r="D136" s="8">
        <f>IF(SUMIF(Participation_Entry!B:B,A136,Participation_Entry!L:L)=0,"",SUMIF(Participation_Entry!B:B,A136,Participation_Entry!L:L))</f>
        <v>20</v>
      </c>
    </row>
    <row r="137" spans="1:4">
      <c r="A137" s="7">
        <v>460692</v>
      </c>
      <c r="B137" s="8" t="str">
        <f>IFERROR(VLOOKUP(A137,Employee_Master!A:B,2,0),"")</f>
        <v>Mayank Arya</v>
      </c>
      <c r="C137" s="8" t="str">
        <f>IFERROR(VLOOKUP(A137,Employee_Master!A:B,3,0),"")</f>
        <v/>
      </c>
      <c r="D137" s="8">
        <f>IF(SUMIF(Participation_Entry!B:B,A137,Participation_Entry!L:L)=0,"",SUMIF(Participation_Entry!B:B,A137,Participation_Entry!L:L))</f>
        <v>20</v>
      </c>
    </row>
    <row r="138" spans="1:4">
      <c r="A138" s="7">
        <v>449551</v>
      </c>
      <c r="B138" s="8" t="str">
        <f>IFERROR(VLOOKUP(A138,Employee_Master!A:B,2,0),"")</f>
        <v>Ramesh Kumar</v>
      </c>
      <c r="C138" s="8" t="str">
        <f>IFERROR(VLOOKUP(A138,Employee_Master!A:B,3,0),"")</f>
        <v/>
      </c>
      <c r="D138" s="8">
        <f>IF(SUMIF(Participation_Entry!B:B,A138,Participation_Entry!L:L)=0,"",SUMIF(Participation_Entry!B:B,A138,Participation_Entry!L:L))</f>
        <v>20</v>
      </c>
    </row>
    <row r="139" spans="1:4">
      <c r="A139" s="7">
        <v>706181</v>
      </c>
      <c r="B139" s="8" t="str">
        <f>IFERROR(VLOOKUP(A139,Employee_Master!A:B,2,0),"")</f>
        <v>Sonam Kachhap</v>
      </c>
      <c r="C139" s="8" t="str">
        <f>IFERROR(VLOOKUP(A139,Employee_Master!A:B,3,0),"")</f>
        <v/>
      </c>
      <c r="D139" s="8">
        <f>IF(SUMIF(Participation_Entry!B:B,A139,Participation_Entry!L:L)=0,"",SUMIF(Participation_Entry!B:B,A139,Participation_Entry!L:L))</f>
        <v>20</v>
      </c>
    </row>
    <row r="140" spans="1:4">
      <c r="A140" s="7">
        <v>706306</v>
      </c>
      <c r="B140" s="8" t="str">
        <f>IFERROR(VLOOKUP(A140,Employee_Master!A:B,2,0),"")</f>
        <v>Subhashree Nayak</v>
      </c>
      <c r="C140" s="8" t="str">
        <f>IFERROR(VLOOKUP(A140,Employee_Master!A:B,3,0),"")</f>
        <v/>
      </c>
      <c r="D140" s="8">
        <f>IF(SUMIF(Participation_Entry!B:B,A140,Participation_Entry!L:L)=0,"",SUMIF(Participation_Entry!B:B,A140,Participation_Entry!L:L))</f>
        <v>20</v>
      </c>
    </row>
    <row r="141" spans="1:4">
      <c r="A141" s="7">
        <v>710013</v>
      </c>
      <c r="B141" s="8" t="str">
        <f>IFERROR(VLOOKUP(A141,Employee_Master!A:B,2,0),"")</f>
        <v>Jyoti Saini</v>
      </c>
      <c r="C141" s="8" t="str">
        <f>IFERROR(VLOOKUP(A141,Employee_Master!A:B,3,0),"")</f>
        <v/>
      </c>
      <c r="D141" s="8">
        <f>IF(SUMIF(Participation_Entry!B:B,A141,Participation_Entry!L:L)=0,"",SUMIF(Participation_Entry!B:B,A141,Participation_Entry!L:L))</f>
        <v>20</v>
      </c>
    </row>
    <row r="142" spans="1:4">
      <c r="A142" s="7">
        <v>712428</v>
      </c>
      <c r="B142" s="8" t="str">
        <f>IFERROR(VLOOKUP(A142,Employee_Master!A:B,2,0),"")</f>
        <v>Akanksha Gangwar</v>
      </c>
      <c r="C142" s="8" t="str">
        <f>IFERROR(VLOOKUP(A142,Employee_Master!A:B,3,0),"")</f>
        <v/>
      </c>
      <c r="D142" s="8">
        <f>IF(SUMIF(Participation_Entry!B:B,A142,Participation_Entry!L:L)=0,"",SUMIF(Participation_Entry!B:B,A142,Participation_Entry!L:L))</f>
        <v>20</v>
      </c>
    </row>
    <row r="143" spans="1:4">
      <c r="A143" s="7">
        <v>416087</v>
      </c>
      <c r="B143" s="8" t="str">
        <f>IFERROR(VLOOKUP(A143,Employee_Master!A:B,2,0),"")</f>
        <v>Manoj Singh</v>
      </c>
      <c r="C143" s="8" t="str">
        <f>IFERROR(VLOOKUP(A143,Employee_Master!A:B,3,0),"")</f>
        <v/>
      </c>
      <c r="D143" s="8">
        <f>IF(SUMIF(Participation_Entry!B:B,A143,Participation_Entry!L:L)=0,"",SUMIF(Participation_Entry!B:B,A143,Participation_Entry!L:L))</f>
        <v>10</v>
      </c>
    </row>
    <row r="144" spans="1:4">
      <c r="A144" s="7">
        <v>408627</v>
      </c>
      <c r="B144" s="8" t="str">
        <f>IFERROR(VLOOKUP(A144,Employee_Master!A:B,2,0),"")</f>
        <v>Govind Rai</v>
      </c>
      <c r="C144" s="8" t="str">
        <f>IFERROR(VLOOKUP(A144,Employee_Master!A:B,3,0),"")</f>
        <v/>
      </c>
      <c r="D144" s="8">
        <f>IF(SUMIF(Participation_Entry!B:B,A144,Participation_Entry!L:L)=0,"",SUMIF(Participation_Entry!B:B,A144,Participation_Entry!L:L))</f>
        <v>10</v>
      </c>
    </row>
    <row r="145" spans="1:4">
      <c r="A145" s="7">
        <v>438263</v>
      </c>
      <c r="B145" s="8" t="str">
        <f>IFERROR(VLOOKUP(A145,Employee_Master!A:B,2,0),"")</f>
        <v>Vikash Kumar</v>
      </c>
      <c r="C145" s="8" t="str">
        <f>IFERROR(VLOOKUP(A145,Employee_Master!A:B,3,0),"")</f>
        <v/>
      </c>
      <c r="D145" s="8">
        <f>IF(SUMIF(Participation_Entry!B:B,A145,Participation_Entry!L:L)=0,"",SUMIF(Participation_Entry!B:B,A145,Participation_Entry!L:L))</f>
        <v>10</v>
      </c>
    </row>
    <row r="146" spans="1:4">
      <c r="A146" s="7">
        <v>420109</v>
      </c>
      <c r="B146" s="8" t="str">
        <f>IFERROR(VLOOKUP(A146,Employee_Master!A:B,2,0),"")</f>
        <v>Chandraprakash Nandwana</v>
      </c>
      <c r="C146" s="8" t="str">
        <f>IFERROR(VLOOKUP(A146,Employee_Master!A:B,3,0),"")</f>
        <v/>
      </c>
      <c r="D146" s="8">
        <f>IF(SUMIF(Participation_Entry!B:B,A146,Participation_Entry!L:L)=0,"",SUMIF(Participation_Entry!B:B,A146,Participation_Entry!L:L))</f>
        <v>10</v>
      </c>
    </row>
    <row r="147" spans="1:4">
      <c r="A147" s="7">
        <v>479827</v>
      </c>
      <c r="B147" s="8" t="str">
        <f>IFERROR(VLOOKUP(A147,Employee_Master!A:B,2,0),"")</f>
        <v>Sunil Kr. Singh</v>
      </c>
      <c r="C147" s="8" t="str">
        <f>IFERROR(VLOOKUP(A147,Employee_Master!A:B,3,0),"")</f>
        <v/>
      </c>
      <c r="D147" s="8">
        <f>IF(SUMIF(Participation_Entry!B:B,A147,Participation_Entry!L:L)=0,"",SUMIF(Participation_Entry!B:B,A147,Participation_Entry!L:L))</f>
        <v>10</v>
      </c>
    </row>
    <row r="148" spans="1:4">
      <c r="A148" s="7">
        <v>492857</v>
      </c>
      <c r="B148" s="8" t="str">
        <f>IFERROR(VLOOKUP(A148,Employee_Master!A:B,2,0),"")</f>
        <v>Arnima Thakur</v>
      </c>
      <c r="C148" s="8" t="str">
        <f>IFERROR(VLOOKUP(A148,Employee_Master!A:B,3,0),"")</f>
        <v/>
      </c>
      <c r="D148" s="8">
        <f>IF(SUMIF(Participation_Entry!B:B,A148,Participation_Entry!L:L)=0,"",SUMIF(Participation_Entry!B:B,A148,Participation_Entry!L:L))</f>
        <v>10</v>
      </c>
    </row>
    <row r="149" spans="1:4">
      <c r="A149" s="7">
        <v>438957</v>
      </c>
      <c r="B149" s="8" t="str">
        <f>IFERROR(VLOOKUP(A149,Employee_Master!A:B,2,0),"")</f>
        <v>Risha Bansal</v>
      </c>
      <c r="C149" s="8" t="str">
        <f>IFERROR(VLOOKUP(A149,Employee_Master!A:B,3,0),"")</f>
        <v/>
      </c>
      <c r="D149" s="8">
        <f>IF(SUMIF(Participation_Entry!B:B,A149,Participation_Entry!L:L)=0,"",SUMIF(Participation_Entry!B:B,A149,Participation_Entry!L:L))</f>
        <v>10</v>
      </c>
    </row>
    <row r="150" spans="1:4">
      <c r="A150" s="7">
        <v>487107</v>
      </c>
      <c r="B150" s="8" t="str">
        <f>IFERROR(VLOOKUP(A150,Employee_Master!A:B,2,0),"")</f>
        <v>Manish Kr. Singh</v>
      </c>
      <c r="C150" s="8" t="str">
        <f>IFERROR(VLOOKUP(A150,Employee_Master!A:B,3,0),"")</f>
        <v/>
      </c>
      <c r="D150" s="8">
        <f>IF(SUMIF(Participation_Entry!B:B,A150,Participation_Entry!L:L)=0,"",SUMIF(Participation_Entry!B:B,A150,Participation_Entry!L:L))</f>
        <v>10</v>
      </c>
    </row>
    <row r="151" spans="1:4">
      <c r="A151" s="7">
        <v>451513</v>
      </c>
      <c r="B151" s="8" t="str">
        <f>IFERROR(VLOOKUP(A151,Employee_Master!A:B,2,0),"")</f>
        <v>Nishith Soni</v>
      </c>
      <c r="C151" s="8" t="str">
        <f>IFERROR(VLOOKUP(A151,Employee_Master!A:B,3,0),"")</f>
        <v/>
      </c>
      <c r="D151" s="8">
        <f>IF(SUMIF(Participation_Entry!B:B,A151,Participation_Entry!L:L)=0,"",SUMIF(Participation_Entry!B:B,A151,Participation_Entry!L:L))</f>
        <v>10</v>
      </c>
    </row>
    <row r="152" spans="1:4">
      <c r="A152" s="7">
        <v>451857</v>
      </c>
      <c r="B152" s="8" t="str">
        <f>IFERROR(VLOOKUP(A152,Employee_Master!A:B,2,0),"")</f>
        <v>Amar Kumar </v>
      </c>
      <c r="C152" s="8" t="str">
        <f>IFERROR(VLOOKUP(A152,Employee_Master!A:B,3,0),"")</f>
        <v/>
      </c>
      <c r="D152" s="8">
        <f>IF(SUMIF(Participation_Entry!B:B,A152,Participation_Entry!L:L)=0,"",SUMIF(Participation_Entry!B:B,A152,Participation_Entry!L:L))</f>
        <v>10</v>
      </c>
    </row>
    <row r="153" spans="1:4">
      <c r="A153" s="7">
        <v>453089</v>
      </c>
      <c r="B153" s="8" t="str">
        <f>IFERROR(VLOOKUP(A153,Employee_Master!A:B,2,0),"")</f>
        <v>Arun Lamba</v>
      </c>
      <c r="C153" s="8" t="str">
        <f>IFERROR(VLOOKUP(A153,Employee_Master!A:B,3,0),"")</f>
        <v/>
      </c>
      <c r="D153" s="8">
        <f>IF(SUMIF(Participation_Entry!B:B,A153,Participation_Entry!L:L)=0,"",SUMIF(Participation_Entry!B:B,A153,Participation_Entry!L:L))</f>
        <v>10</v>
      </c>
    </row>
    <row r="154" spans="1:4">
      <c r="A154" s="7">
        <v>460628</v>
      </c>
      <c r="B154" s="8" t="str">
        <f>IFERROR(VLOOKUP(A154,Employee_Master!A:B,2,0),"")</f>
        <v>Smarth</v>
      </c>
      <c r="C154" s="8" t="str">
        <f>IFERROR(VLOOKUP(A154,Employee_Master!A:B,3,0),"")</f>
        <v/>
      </c>
      <c r="D154" s="8">
        <f>IF(SUMIF(Participation_Entry!B:B,A154,Participation_Entry!L:L)=0,"",SUMIF(Participation_Entry!B:B,A154,Participation_Entry!L:L))</f>
        <v>10</v>
      </c>
    </row>
    <row r="155" spans="1:4">
      <c r="A155" s="7">
        <v>465254</v>
      </c>
      <c r="B155" s="8" t="str">
        <f>IFERROR(VLOOKUP(A155,Employee_Master!A:B,2,0),"")</f>
        <v>Narender Kumar</v>
      </c>
      <c r="C155" s="8" t="str">
        <f>IFERROR(VLOOKUP(A155,Employee_Master!A:B,3,0),"")</f>
        <v/>
      </c>
      <c r="D155" s="8">
        <f>IF(SUMIF(Participation_Entry!B:B,A155,Participation_Entry!L:L)=0,"",SUMIF(Participation_Entry!B:B,A155,Participation_Entry!L:L))</f>
        <v>10</v>
      </c>
    </row>
    <row r="156" spans="1:4">
      <c r="A156" s="7">
        <v>467068</v>
      </c>
      <c r="B156" s="8" t="str">
        <f>IFERROR(VLOOKUP(A156,Employee_Master!A:B,2,0),"")</f>
        <v>Anuj Kumar</v>
      </c>
      <c r="C156" s="8" t="str">
        <f>IFERROR(VLOOKUP(A156,Employee_Master!A:B,3,0),"")</f>
        <v/>
      </c>
      <c r="D156" s="8">
        <f>IF(SUMIF(Participation_Entry!B:B,A156,Participation_Entry!L:L)=0,"",SUMIF(Participation_Entry!B:B,A156,Participation_Entry!L:L))</f>
        <v>10</v>
      </c>
    </row>
    <row r="157" spans="1:4">
      <c r="A157" s="7">
        <v>467915</v>
      </c>
      <c r="B157" s="8" t="str">
        <f>IFERROR(VLOOKUP(A157,Employee_Master!A:B,2,0),"")</f>
        <v>Rahul Kinkar</v>
      </c>
      <c r="C157" s="8" t="str">
        <f>IFERROR(VLOOKUP(A157,Employee_Master!A:B,3,0),"")</f>
        <v/>
      </c>
      <c r="D157" s="8">
        <f>IF(SUMIF(Participation_Entry!B:B,A157,Participation_Entry!L:L)=0,"",SUMIF(Participation_Entry!B:B,A157,Participation_Entry!L:L))</f>
        <v>10</v>
      </c>
    </row>
    <row r="158" spans="1:4">
      <c r="A158" s="7">
        <v>468456</v>
      </c>
      <c r="B158" s="8" t="str">
        <f>IFERROR(VLOOKUP(A158,Employee_Master!A:B,2,0),"")</f>
        <v>Ayush Joshi</v>
      </c>
      <c r="C158" s="8" t="str">
        <f>IFERROR(VLOOKUP(A158,Employee_Master!A:B,3,0),"")</f>
        <v/>
      </c>
      <c r="D158" s="8">
        <f>IF(SUMIF(Participation_Entry!B:B,A158,Participation_Entry!L:L)=0,"",SUMIF(Participation_Entry!B:B,A158,Participation_Entry!L:L))</f>
        <v>10</v>
      </c>
    </row>
    <row r="159" spans="1:4">
      <c r="A159" s="7">
        <v>468660</v>
      </c>
      <c r="B159" s="8" t="str">
        <f>IFERROR(VLOOKUP(A159,Employee_Master!A:B,2,0),"")</f>
        <v>Samay Raj</v>
      </c>
      <c r="C159" s="8" t="str">
        <f>IFERROR(VLOOKUP(A159,Employee_Master!A:B,3,0),"")</f>
        <v/>
      </c>
      <c r="D159" s="8">
        <f>IF(SUMIF(Participation_Entry!B:B,A159,Participation_Entry!L:L)=0,"",SUMIF(Participation_Entry!B:B,A159,Participation_Entry!L:L))</f>
        <v>10</v>
      </c>
    </row>
    <row r="160" spans="1:4">
      <c r="A160" s="7">
        <v>460888</v>
      </c>
      <c r="B160" s="8" t="str">
        <f>IFERROR(VLOOKUP(A160,Employee_Master!A:B,2,0),"")</f>
        <v>Yatin</v>
      </c>
      <c r="C160" s="8" t="str">
        <f>IFERROR(VLOOKUP(A160,Employee_Master!A:B,3,0),"")</f>
        <v/>
      </c>
      <c r="D160" s="8">
        <f>IF(SUMIF(Participation_Entry!B:B,A160,Participation_Entry!L:L)=0,"",SUMIF(Participation_Entry!B:B,A160,Participation_Entry!L:L))</f>
        <v>10</v>
      </c>
    </row>
    <row r="161" spans="1:4">
      <c r="A161" s="7">
        <v>464871</v>
      </c>
      <c r="B161" s="8" t="str">
        <f>IFERROR(VLOOKUP(A161,Employee_Master!A:B,2,0),"")</f>
        <v>Mohit Sahu</v>
      </c>
      <c r="C161" s="8" t="str">
        <f>IFERROR(VLOOKUP(A161,Employee_Master!A:B,3,0),"")</f>
        <v/>
      </c>
      <c r="D161" s="8">
        <f>IF(SUMIF(Participation_Entry!B:B,A161,Participation_Entry!L:L)=0,"",SUMIF(Participation_Entry!B:B,A161,Participation_Entry!L:L))</f>
        <v>10</v>
      </c>
    </row>
    <row r="162" spans="1:4">
      <c r="A162" s="7">
        <v>466562</v>
      </c>
      <c r="B162" s="8" t="str">
        <f>IFERROR(VLOOKUP(A162,Employee_Master!A:B,2,0),"")</f>
        <v>Vikas Bhardwaj</v>
      </c>
      <c r="C162" s="8" t="str">
        <f>IFERROR(VLOOKUP(A162,Employee_Master!A:B,3,0),"")</f>
        <v/>
      </c>
      <c r="D162" s="8">
        <f>IF(SUMIF(Participation_Entry!B:B,A162,Participation_Entry!L:L)=0,"",SUMIF(Participation_Entry!B:B,A162,Participation_Entry!L:L))</f>
        <v>10</v>
      </c>
    </row>
    <row r="163" spans="1:4">
      <c r="A163" s="7">
        <v>473015</v>
      </c>
      <c r="B163" s="8" t="str">
        <f>IFERROR(VLOOKUP(A163,Employee_Master!A:B,2,0),"")</f>
        <v>Partap</v>
      </c>
      <c r="C163" s="8" t="str">
        <f>IFERROR(VLOOKUP(A163,Employee_Master!A:B,3,0),"")</f>
        <v/>
      </c>
      <c r="D163" s="8">
        <f>IF(SUMIF(Participation_Entry!B:B,A163,Participation_Entry!L:L)=0,"",SUMIF(Participation_Entry!B:B,A163,Participation_Entry!L:L))</f>
        <v>10</v>
      </c>
    </row>
    <row r="164" spans="1:4">
      <c r="A164" s="7">
        <v>478084</v>
      </c>
      <c r="B164" s="8" t="str">
        <f>IFERROR(VLOOKUP(A164,Employee_Master!A:B,2,0),"")</f>
        <v>Ashish Mishra</v>
      </c>
      <c r="C164" s="8" t="str">
        <f>IFERROR(VLOOKUP(A164,Employee_Master!A:B,3,0),"")</f>
        <v/>
      </c>
      <c r="D164" s="8">
        <f>IF(SUMIF(Participation_Entry!B:B,A164,Participation_Entry!L:L)=0,"",SUMIF(Participation_Entry!B:B,A164,Participation_Entry!L:L))</f>
        <v>10</v>
      </c>
    </row>
    <row r="165" spans="1:4">
      <c r="A165" s="7">
        <v>463059</v>
      </c>
      <c r="B165" s="8" t="str">
        <f>IFERROR(VLOOKUP(A165,Employee_Master!A:B,2,0),"")</f>
        <v>Parvinder</v>
      </c>
      <c r="C165" s="8" t="str">
        <f>IFERROR(VLOOKUP(A165,Employee_Master!A:B,3,0),"")</f>
        <v/>
      </c>
      <c r="D165" s="8">
        <f>IF(SUMIF(Participation_Entry!B:B,A165,Participation_Entry!L:L)=0,"",SUMIF(Participation_Entry!B:B,A165,Participation_Entry!L:L))</f>
        <v>10</v>
      </c>
    </row>
    <row r="166" spans="1:4">
      <c r="A166" s="7">
        <v>470301</v>
      </c>
      <c r="B166" s="8" t="str">
        <f>IFERROR(VLOOKUP(A166,Employee_Master!A:B,2,0),"")</f>
        <v>Ankit Kumar</v>
      </c>
      <c r="C166" s="8" t="str">
        <f>IFERROR(VLOOKUP(A166,Employee_Master!A:B,3,0),"")</f>
        <v/>
      </c>
      <c r="D166" s="8">
        <f>IF(SUMIF(Participation_Entry!B:B,A166,Participation_Entry!L:L)=0,"",SUMIF(Participation_Entry!B:B,A166,Participation_Entry!L:L))</f>
        <v>10</v>
      </c>
    </row>
    <row r="167" spans="1:4">
      <c r="A167" s="7">
        <v>705995</v>
      </c>
      <c r="B167" s="8" t="str">
        <f>IFERROR(VLOOKUP(A167,Employee_Master!A:B,2,0),"")</f>
        <v>Sahil.</v>
      </c>
      <c r="C167" s="8" t="str">
        <f>IFERROR(VLOOKUP(A167,Employee_Master!A:B,3,0),"")</f>
        <v/>
      </c>
      <c r="D167" s="8">
        <f>IF(SUMIF(Participation_Entry!B:B,A167,Participation_Entry!L:L)=0,"",SUMIF(Participation_Entry!B:B,A167,Participation_Entry!L:L))</f>
        <v>10</v>
      </c>
    </row>
    <row r="168" spans="1:4">
      <c r="A168" s="7">
        <v>707131</v>
      </c>
      <c r="B168" s="8" t="str">
        <f>IFERROR(VLOOKUP(A168,Employee_Master!A:B,2,0),"")</f>
        <v>Puja Bhalotia</v>
      </c>
      <c r="C168" s="8" t="str">
        <f>IFERROR(VLOOKUP(A168,Employee_Master!A:B,3,0),"")</f>
        <v/>
      </c>
      <c r="D168" s="8">
        <f>IF(SUMIF(Participation_Entry!B:B,A168,Participation_Entry!L:L)=0,"",SUMIF(Participation_Entry!B:B,A168,Participation_Entry!L:L))</f>
        <v>10</v>
      </c>
    </row>
    <row r="169" spans="1:4">
      <c r="A169" s="7">
        <v>708792</v>
      </c>
      <c r="B169" s="8" t="str">
        <f>IFERROR(VLOOKUP(A169,Employee_Master!A:B,2,0),"")</f>
        <v>Shubhanshu Pandey</v>
      </c>
      <c r="C169" s="8" t="str">
        <f>IFERROR(VLOOKUP(A169,Employee_Master!A:B,3,0),"")</f>
        <v/>
      </c>
      <c r="D169" s="8">
        <f>IF(SUMIF(Participation_Entry!B:B,A169,Participation_Entry!L:L)=0,"",SUMIF(Participation_Entry!B:B,A169,Participation_Entry!L:L))</f>
        <v>10</v>
      </c>
    </row>
    <row r="170" spans="1:4">
      <c r="A170" s="7">
        <v>710555</v>
      </c>
      <c r="B170" s="8" t="str">
        <f>IFERROR(VLOOKUP(A170,Employee_Master!A:B,2,0),"")</f>
        <v>Jyoti Chauhan</v>
      </c>
      <c r="C170" s="8" t="str">
        <f>IFERROR(VLOOKUP(A170,Employee_Master!A:B,3,0),"")</f>
        <v/>
      </c>
      <c r="D170" s="8">
        <f>IF(SUMIF(Participation_Entry!B:B,A170,Participation_Entry!L:L)=0,"",SUMIF(Participation_Entry!B:B,A170,Participation_Entry!L:L))</f>
        <v>10</v>
      </c>
    </row>
    <row r="171" spans="1:4">
      <c r="A171" s="7">
        <v>435548</v>
      </c>
      <c r="B171" s="8" t="str">
        <f>IFERROR(VLOOKUP(A171,Employee_Master!A:B,2,0),"")</f>
        <v>Gurwant Sran</v>
      </c>
      <c r="C171" s="8" t="str">
        <f>IFERROR(VLOOKUP(A171,Employee_Master!A:B,3,0),"")</f>
        <v/>
      </c>
      <c r="D171" s="8">
        <f>IF(SUMIF(Participation_Entry!B:B,A171,Participation_Entry!L:L)=0,"",SUMIF(Participation_Entry!B:B,A171,Participation_Entry!L:L))</f>
        <v>10</v>
      </c>
    </row>
  </sheetData>
  <sortState ref="A2:D171">
    <sortCondition ref="D2" descending="1"/>
  </sortState>
  <conditionalFormatting sqref="D$1:D$1048576">
    <cfRule type="top10" dxfId="1" priority="1" percent="1" rank="10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I13" sqref="I13"/>
    </sheetView>
  </sheetViews>
  <sheetFormatPr defaultColWidth="9" defaultRowHeight="14.5" outlineLevelRow="7" outlineLevelCol="1"/>
  <cols>
    <col min="1" max="1" width="13.4272727272727" style="1" customWidth="1"/>
    <col min="2" max="2" width="18.8545454545455" style="1" customWidth="1"/>
  </cols>
  <sheetData>
    <row r="1" spans="1:2">
      <c r="A1" s="2" t="s">
        <v>225</v>
      </c>
      <c r="B1" s="2" t="s">
        <v>237</v>
      </c>
    </row>
    <row r="2" spans="1:2">
      <c r="A2" s="3" t="s">
        <v>208</v>
      </c>
      <c r="B2" s="4">
        <v>46023.6666666667</v>
      </c>
    </row>
    <row r="3" spans="1:2">
      <c r="A3" s="3" t="s">
        <v>233</v>
      </c>
      <c r="B3" s="4">
        <v>46087.6458333333</v>
      </c>
    </row>
    <row r="4" spans="1:2">
      <c r="A4" s="3" t="s">
        <v>195</v>
      </c>
      <c r="B4" s="4">
        <v>46088.5833333333</v>
      </c>
    </row>
    <row r="5" spans="2:2">
      <c r="B5" s="5"/>
    </row>
    <row r="6" spans="2:2">
      <c r="B6" s="5"/>
    </row>
    <row r="7" spans="2:2">
      <c r="B7" s="5"/>
    </row>
    <row r="8" spans="2:2">
      <c r="B8" s="5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Pandey</cp:lastModifiedBy>
  <dcterms:created xsi:type="dcterms:W3CDTF">2026-02-23T02:01:00Z</dcterms:created>
  <dcterms:modified xsi:type="dcterms:W3CDTF">2026-03-23T13:39:43Z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