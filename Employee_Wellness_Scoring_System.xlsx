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adityabirla-my.sharepoint.com/personal/rajan_anilgupta_adityabirla_com/Documents/Desktop/Techie/"/>
    </mc:Choice>
  </mc:AlternateContent>
  <xr:revisionPtr revIDLastSave="959" documentId="11_AB1E656E9F47FBFC57958C43F61CEE78F1214856" xr6:coauthVersionLast="47" xr6:coauthVersionMax="47" xr10:uidLastSave="{0A582D53-3615-4EA3-B874-5B558F041C19}"/>
  <bookViews>
    <workbookView xWindow="-120" yWindow="-120" windowWidth="20730" windowHeight="11040" tabRatio="641" firstSheet="1" activeTab="3" xr2:uid="{00000000-000D-0000-FFFF-FFFF00000000}"/>
  </bookViews>
  <sheets>
    <sheet name="Employee_Master" sheetId="1" r:id="rId1"/>
    <sheet name="Event_Master" sheetId="2" r:id="rId2"/>
    <sheet name="Score_Table" sheetId="6" r:id="rId3"/>
    <sheet name="Participation_Entry" sheetId="3" r:id="rId4"/>
    <sheet name="Sheet1" sheetId="10" r:id="rId5"/>
    <sheet name="Leaderboard" sheetId="4" r:id="rId6"/>
    <sheet name="Schedule" sheetId="5" r:id="rId7"/>
  </sheets>
  <externalReferences>
    <externalReference r:id="rId8"/>
  </externalReferences>
  <definedNames>
    <definedName name="_xlnm._FilterDatabase" localSheetId="0" hidden="1">Employee_Master!$A$1:$E$171</definedName>
    <definedName name="_xlnm._FilterDatabase" localSheetId="5" hidden="1">Leaderboard!$A$1:$D$182</definedName>
    <definedName name="_xlnm._FilterDatabase" localSheetId="3" hidden="1">Participation_Entry!$A$1:$L$918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92" i="3" l="1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B794" i="3"/>
  <c r="B795" i="3"/>
  <c r="B796" i="3"/>
  <c r="B797" i="3"/>
  <c r="B798" i="3"/>
  <c r="B799" i="3"/>
  <c r="B800" i="3"/>
  <c r="B802" i="3"/>
  <c r="B803" i="3"/>
  <c r="B804" i="3"/>
  <c r="B805" i="3"/>
  <c r="B806" i="3"/>
  <c r="B807" i="3"/>
  <c r="B808" i="3"/>
  <c r="B810" i="3"/>
  <c r="B811" i="3"/>
  <c r="B812" i="3"/>
  <c r="B813" i="3"/>
  <c r="B814" i="3"/>
  <c r="B815" i="3"/>
  <c r="B816" i="3"/>
  <c r="B817" i="3"/>
  <c r="B818" i="3"/>
  <c r="B819" i="3"/>
  <c r="B820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1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792" i="3"/>
  <c r="B171" i="1"/>
  <c r="I729" i="3"/>
  <c r="J729" i="3"/>
  <c r="I730" i="3"/>
  <c r="J730" i="3"/>
  <c r="K730" i="3" s="1"/>
  <c r="L730" i="3" s="1"/>
  <c r="I731" i="3"/>
  <c r="J731" i="3"/>
  <c r="K731" i="3" s="1"/>
  <c r="L731" i="3" s="1"/>
  <c r="I732" i="3"/>
  <c r="J732" i="3"/>
  <c r="I733" i="3"/>
  <c r="J733" i="3"/>
  <c r="K733" i="3" s="1"/>
  <c r="L733" i="3" s="1"/>
  <c r="I734" i="3"/>
  <c r="J734" i="3"/>
  <c r="I735" i="3"/>
  <c r="J735" i="3"/>
  <c r="K735" i="3" s="1"/>
  <c r="L735" i="3" s="1"/>
  <c r="I736" i="3"/>
  <c r="J736" i="3"/>
  <c r="K736" i="3" s="1"/>
  <c r="L736" i="3" s="1"/>
  <c r="I737" i="3"/>
  <c r="J737" i="3"/>
  <c r="I738" i="3"/>
  <c r="J738" i="3"/>
  <c r="K738" i="3" s="1"/>
  <c r="L738" i="3" s="1"/>
  <c r="I739" i="3"/>
  <c r="J739" i="3"/>
  <c r="I740" i="3"/>
  <c r="J740" i="3"/>
  <c r="K740" i="3" s="1"/>
  <c r="L740" i="3" s="1"/>
  <c r="I741" i="3"/>
  <c r="J741" i="3"/>
  <c r="I742" i="3"/>
  <c r="J742" i="3"/>
  <c r="I743" i="3"/>
  <c r="J743" i="3"/>
  <c r="I744" i="3"/>
  <c r="J744" i="3"/>
  <c r="K744" i="3" s="1"/>
  <c r="L744" i="3" s="1"/>
  <c r="I745" i="3"/>
  <c r="J745" i="3"/>
  <c r="I746" i="3"/>
  <c r="J746" i="3"/>
  <c r="K746" i="3" s="1"/>
  <c r="L746" i="3" s="1"/>
  <c r="I747" i="3"/>
  <c r="J747" i="3"/>
  <c r="I748" i="3"/>
  <c r="J748" i="3"/>
  <c r="K748" i="3" s="1"/>
  <c r="L748" i="3" s="1"/>
  <c r="I749" i="3"/>
  <c r="J749" i="3"/>
  <c r="I750" i="3"/>
  <c r="J750" i="3"/>
  <c r="I751" i="3"/>
  <c r="J751" i="3"/>
  <c r="I752" i="3"/>
  <c r="J752" i="3"/>
  <c r="K752" i="3" s="1"/>
  <c r="L752" i="3" s="1"/>
  <c r="I753" i="3"/>
  <c r="J753" i="3"/>
  <c r="I754" i="3"/>
  <c r="J754" i="3"/>
  <c r="K754" i="3" s="1"/>
  <c r="L754" i="3" s="1"/>
  <c r="I755" i="3"/>
  <c r="J755" i="3"/>
  <c r="I756" i="3"/>
  <c r="J756" i="3"/>
  <c r="K756" i="3" s="1"/>
  <c r="L756" i="3" s="1"/>
  <c r="I757" i="3"/>
  <c r="J757" i="3"/>
  <c r="I758" i="3"/>
  <c r="J758" i="3"/>
  <c r="I759" i="3"/>
  <c r="J759" i="3"/>
  <c r="I760" i="3"/>
  <c r="J760" i="3"/>
  <c r="K760" i="3" s="1"/>
  <c r="L760" i="3" s="1"/>
  <c r="I761" i="3"/>
  <c r="J761" i="3"/>
  <c r="I762" i="3"/>
  <c r="J762" i="3"/>
  <c r="K762" i="3" s="1"/>
  <c r="L762" i="3" s="1"/>
  <c r="I763" i="3"/>
  <c r="J763" i="3"/>
  <c r="I764" i="3"/>
  <c r="J764" i="3"/>
  <c r="I765" i="3"/>
  <c r="J765" i="3"/>
  <c r="I766" i="3"/>
  <c r="J766" i="3"/>
  <c r="I767" i="3"/>
  <c r="J767" i="3"/>
  <c r="I768" i="3"/>
  <c r="J768" i="3"/>
  <c r="K768" i="3" s="1"/>
  <c r="L768" i="3" s="1"/>
  <c r="I769" i="3"/>
  <c r="J769" i="3"/>
  <c r="I770" i="3"/>
  <c r="J770" i="3"/>
  <c r="K770" i="3" s="1"/>
  <c r="L770" i="3" s="1"/>
  <c r="I771" i="3"/>
  <c r="J771" i="3"/>
  <c r="I772" i="3"/>
  <c r="J772" i="3"/>
  <c r="K772" i="3" s="1"/>
  <c r="L772" i="3" s="1"/>
  <c r="I773" i="3"/>
  <c r="J773" i="3"/>
  <c r="I774" i="3"/>
  <c r="J774" i="3"/>
  <c r="I775" i="3"/>
  <c r="J775" i="3"/>
  <c r="I776" i="3"/>
  <c r="J776" i="3"/>
  <c r="K776" i="3" s="1"/>
  <c r="L776" i="3" s="1"/>
  <c r="I777" i="3"/>
  <c r="J777" i="3"/>
  <c r="I778" i="3"/>
  <c r="J778" i="3"/>
  <c r="K778" i="3" s="1"/>
  <c r="L778" i="3" s="1"/>
  <c r="I779" i="3"/>
  <c r="J779" i="3"/>
  <c r="I780" i="3"/>
  <c r="J780" i="3"/>
  <c r="K780" i="3"/>
  <c r="L780" i="3"/>
  <c r="I781" i="3"/>
  <c r="J781" i="3"/>
  <c r="I782" i="3"/>
  <c r="J782" i="3"/>
  <c r="I783" i="3"/>
  <c r="J783" i="3"/>
  <c r="I784" i="3"/>
  <c r="J784" i="3"/>
  <c r="K784" i="3" s="1"/>
  <c r="L784" i="3" s="1"/>
  <c r="I785" i="3"/>
  <c r="J785" i="3"/>
  <c r="I786" i="3"/>
  <c r="J786" i="3"/>
  <c r="K786" i="3" s="1"/>
  <c r="L786" i="3" s="1"/>
  <c r="I787" i="3"/>
  <c r="J787" i="3"/>
  <c r="I788" i="3"/>
  <c r="J788" i="3"/>
  <c r="K788" i="3" s="1"/>
  <c r="L788" i="3" s="1"/>
  <c r="I789" i="3"/>
  <c r="J789" i="3"/>
  <c r="I790" i="3"/>
  <c r="J790" i="3"/>
  <c r="I791" i="3"/>
  <c r="J791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I659" i="3"/>
  <c r="J659" i="3"/>
  <c r="K659" i="3" s="1"/>
  <c r="L659" i="3" s="1"/>
  <c r="I660" i="3"/>
  <c r="J660" i="3"/>
  <c r="K660" i="3" s="1"/>
  <c r="L660" i="3" s="1"/>
  <c r="I661" i="3"/>
  <c r="J661" i="3"/>
  <c r="K661" i="3" s="1"/>
  <c r="L661" i="3" s="1"/>
  <c r="I662" i="3"/>
  <c r="J662" i="3"/>
  <c r="K662" i="3" s="1"/>
  <c r="L662" i="3" s="1"/>
  <c r="I663" i="3"/>
  <c r="J663" i="3"/>
  <c r="K663" i="3" s="1"/>
  <c r="L663" i="3" s="1"/>
  <c r="I664" i="3"/>
  <c r="J664" i="3"/>
  <c r="K664" i="3" s="1"/>
  <c r="L664" i="3" s="1"/>
  <c r="I665" i="3"/>
  <c r="J665" i="3"/>
  <c r="K665" i="3" s="1"/>
  <c r="L665" i="3" s="1"/>
  <c r="I666" i="3"/>
  <c r="J666" i="3"/>
  <c r="K666" i="3" s="1"/>
  <c r="L666" i="3" s="1"/>
  <c r="I667" i="3"/>
  <c r="J667" i="3"/>
  <c r="K667" i="3" s="1"/>
  <c r="L667" i="3" s="1"/>
  <c r="I668" i="3"/>
  <c r="J668" i="3"/>
  <c r="K668" i="3" s="1"/>
  <c r="L668" i="3" s="1"/>
  <c r="I669" i="3"/>
  <c r="J669" i="3"/>
  <c r="K669" i="3" s="1"/>
  <c r="L669" i="3" s="1"/>
  <c r="I670" i="3"/>
  <c r="J670" i="3"/>
  <c r="K670" i="3" s="1"/>
  <c r="L670" i="3" s="1"/>
  <c r="I671" i="3"/>
  <c r="J671" i="3"/>
  <c r="K671" i="3" s="1"/>
  <c r="L671" i="3" s="1"/>
  <c r="I672" i="3"/>
  <c r="J672" i="3"/>
  <c r="K672" i="3" s="1"/>
  <c r="L672" i="3" s="1"/>
  <c r="I673" i="3"/>
  <c r="J673" i="3"/>
  <c r="K673" i="3" s="1"/>
  <c r="L673" i="3" s="1"/>
  <c r="I674" i="3"/>
  <c r="J674" i="3"/>
  <c r="K674" i="3" s="1"/>
  <c r="L674" i="3" s="1"/>
  <c r="I675" i="3"/>
  <c r="J675" i="3"/>
  <c r="K675" i="3" s="1"/>
  <c r="L675" i="3" s="1"/>
  <c r="I676" i="3"/>
  <c r="J676" i="3"/>
  <c r="K676" i="3" s="1"/>
  <c r="L676" i="3" s="1"/>
  <c r="I677" i="3"/>
  <c r="J677" i="3"/>
  <c r="K677" i="3" s="1"/>
  <c r="L677" i="3" s="1"/>
  <c r="I678" i="3"/>
  <c r="J678" i="3"/>
  <c r="K678" i="3" s="1"/>
  <c r="L678" i="3" s="1"/>
  <c r="I679" i="3"/>
  <c r="J679" i="3"/>
  <c r="K679" i="3" s="1"/>
  <c r="L679" i="3" s="1"/>
  <c r="I680" i="3"/>
  <c r="J680" i="3"/>
  <c r="K680" i="3" s="1"/>
  <c r="L680" i="3" s="1"/>
  <c r="I681" i="3"/>
  <c r="J681" i="3"/>
  <c r="K681" i="3" s="1"/>
  <c r="L681" i="3" s="1"/>
  <c r="I682" i="3"/>
  <c r="J682" i="3"/>
  <c r="K682" i="3" s="1"/>
  <c r="L682" i="3" s="1"/>
  <c r="I683" i="3"/>
  <c r="J683" i="3"/>
  <c r="K683" i="3" s="1"/>
  <c r="L683" i="3" s="1"/>
  <c r="I684" i="3"/>
  <c r="J684" i="3"/>
  <c r="I685" i="3"/>
  <c r="J685" i="3"/>
  <c r="I686" i="3"/>
  <c r="J686" i="3"/>
  <c r="K686" i="3" s="1"/>
  <c r="L686" i="3" s="1"/>
  <c r="I687" i="3"/>
  <c r="J687" i="3"/>
  <c r="I688" i="3"/>
  <c r="J688" i="3"/>
  <c r="K688" i="3" s="1"/>
  <c r="L688" i="3" s="1"/>
  <c r="I689" i="3"/>
  <c r="J689" i="3"/>
  <c r="I690" i="3"/>
  <c r="J690" i="3"/>
  <c r="K690" i="3" s="1"/>
  <c r="L690" i="3" s="1"/>
  <c r="I691" i="3"/>
  <c r="J691" i="3"/>
  <c r="I692" i="3"/>
  <c r="J692" i="3"/>
  <c r="K692" i="3" s="1"/>
  <c r="L692" i="3" s="1"/>
  <c r="I693" i="3"/>
  <c r="J693" i="3"/>
  <c r="I694" i="3"/>
  <c r="J694" i="3"/>
  <c r="K694" i="3" s="1"/>
  <c r="L694" i="3" s="1"/>
  <c r="I695" i="3"/>
  <c r="J695" i="3"/>
  <c r="I696" i="3"/>
  <c r="J696" i="3"/>
  <c r="K696" i="3" s="1"/>
  <c r="L696" i="3" s="1"/>
  <c r="I697" i="3"/>
  <c r="J697" i="3"/>
  <c r="I698" i="3"/>
  <c r="J698" i="3"/>
  <c r="K698" i="3" s="1"/>
  <c r="L698" i="3" s="1"/>
  <c r="I699" i="3"/>
  <c r="J699" i="3"/>
  <c r="I700" i="3"/>
  <c r="J700" i="3"/>
  <c r="K700" i="3" s="1"/>
  <c r="L700" i="3" s="1"/>
  <c r="I701" i="3"/>
  <c r="J701" i="3"/>
  <c r="I702" i="3"/>
  <c r="J702" i="3"/>
  <c r="K702" i="3" s="1"/>
  <c r="L702" i="3" s="1"/>
  <c r="I703" i="3"/>
  <c r="J703" i="3"/>
  <c r="I704" i="3"/>
  <c r="J704" i="3"/>
  <c r="K704" i="3" s="1"/>
  <c r="L704" i="3" s="1"/>
  <c r="I705" i="3"/>
  <c r="J705" i="3"/>
  <c r="I706" i="3"/>
  <c r="J706" i="3"/>
  <c r="K706" i="3" s="1"/>
  <c r="L706" i="3" s="1"/>
  <c r="I707" i="3"/>
  <c r="J707" i="3"/>
  <c r="I708" i="3"/>
  <c r="J708" i="3"/>
  <c r="K708" i="3" s="1"/>
  <c r="L708" i="3" s="1"/>
  <c r="I709" i="3"/>
  <c r="J709" i="3"/>
  <c r="I710" i="3"/>
  <c r="J710" i="3"/>
  <c r="K710" i="3" s="1"/>
  <c r="L710" i="3" s="1"/>
  <c r="I711" i="3"/>
  <c r="J711" i="3"/>
  <c r="I712" i="3"/>
  <c r="J712" i="3"/>
  <c r="K712" i="3" s="1"/>
  <c r="L712" i="3" s="1"/>
  <c r="I713" i="3"/>
  <c r="J713" i="3"/>
  <c r="I714" i="3"/>
  <c r="J714" i="3"/>
  <c r="K714" i="3" s="1"/>
  <c r="L714" i="3" s="1"/>
  <c r="I715" i="3"/>
  <c r="J715" i="3"/>
  <c r="I716" i="3"/>
  <c r="J716" i="3"/>
  <c r="K716" i="3" s="1"/>
  <c r="L716" i="3" s="1"/>
  <c r="I717" i="3"/>
  <c r="J717" i="3"/>
  <c r="I718" i="3"/>
  <c r="J718" i="3"/>
  <c r="K718" i="3" s="1"/>
  <c r="L718" i="3" s="1"/>
  <c r="I719" i="3"/>
  <c r="J719" i="3"/>
  <c r="I720" i="3"/>
  <c r="J720" i="3"/>
  <c r="K720" i="3" s="1"/>
  <c r="L720" i="3" s="1"/>
  <c r="I721" i="3"/>
  <c r="J721" i="3"/>
  <c r="I722" i="3"/>
  <c r="J722" i="3"/>
  <c r="K722" i="3" s="1"/>
  <c r="L722" i="3" s="1"/>
  <c r="I723" i="3"/>
  <c r="J723" i="3"/>
  <c r="I724" i="3"/>
  <c r="J724" i="3"/>
  <c r="I725" i="3"/>
  <c r="J725" i="3"/>
  <c r="I726" i="3"/>
  <c r="J726" i="3"/>
  <c r="K726" i="3" s="1"/>
  <c r="L726" i="3" s="1"/>
  <c r="I727" i="3"/>
  <c r="J727" i="3"/>
  <c r="I728" i="3"/>
  <c r="J728" i="3"/>
  <c r="K728" i="3" s="1"/>
  <c r="L728" i="3" s="1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659" i="3"/>
  <c r="J658" i="3"/>
  <c r="I658" i="3"/>
  <c r="I576" i="3"/>
  <c r="J576" i="3"/>
  <c r="I577" i="3"/>
  <c r="J577" i="3"/>
  <c r="I578" i="3"/>
  <c r="J578" i="3"/>
  <c r="I579" i="3"/>
  <c r="J579" i="3"/>
  <c r="I580" i="3"/>
  <c r="J580" i="3"/>
  <c r="I581" i="3"/>
  <c r="J581" i="3"/>
  <c r="I582" i="3"/>
  <c r="J582" i="3"/>
  <c r="I583" i="3"/>
  <c r="J583" i="3"/>
  <c r="I584" i="3"/>
  <c r="J584" i="3"/>
  <c r="I585" i="3"/>
  <c r="J585" i="3"/>
  <c r="I586" i="3"/>
  <c r="J586" i="3"/>
  <c r="I587" i="3"/>
  <c r="J587" i="3"/>
  <c r="I588" i="3"/>
  <c r="J588" i="3"/>
  <c r="I589" i="3"/>
  <c r="J589" i="3"/>
  <c r="I590" i="3"/>
  <c r="J590" i="3"/>
  <c r="I591" i="3"/>
  <c r="J591" i="3"/>
  <c r="I592" i="3"/>
  <c r="J592" i="3"/>
  <c r="I593" i="3"/>
  <c r="J593" i="3"/>
  <c r="I594" i="3"/>
  <c r="J594" i="3"/>
  <c r="I595" i="3"/>
  <c r="J595" i="3"/>
  <c r="I596" i="3"/>
  <c r="J596" i="3"/>
  <c r="I597" i="3"/>
  <c r="J597" i="3"/>
  <c r="I598" i="3"/>
  <c r="J598" i="3"/>
  <c r="I527" i="3"/>
  <c r="J527" i="3"/>
  <c r="I528" i="3"/>
  <c r="J528" i="3"/>
  <c r="I529" i="3"/>
  <c r="J529" i="3"/>
  <c r="I530" i="3"/>
  <c r="J530" i="3"/>
  <c r="I531" i="3"/>
  <c r="J531" i="3"/>
  <c r="I532" i="3"/>
  <c r="J532" i="3"/>
  <c r="I533" i="3"/>
  <c r="J533" i="3"/>
  <c r="I534" i="3"/>
  <c r="J534" i="3"/>
  <c r="I535" i="3"/>
  <c r="J535" i="3"/>
  <c r="I536" i="3"/>
  <c r="J536" i="3"/>
  <c r="I537" i="3"/>
  <c r="J537" i="3"/>
  <c r="I538" i="3"/>
  <c r="J538" i="3"/>
  <c r="I539" i="3"/>
  <c r="J539" i="3"/>
  <c r="I540" i="3"/>
  <c r="J540" i="3"/>
  <c r="I541" i="3"/>
  <c r="J541" i="3"/>
  <c r="I542" i="3"/>
  <c r="J542" i="3"/>
  <c r="I543" i="3"/>
  <c r="J543" i="3"/>
  <c r="I544" i="3"/>
  <c r="J544" i="3"/>
  <c r="I545" i="3"/>
  <c r="J545" i="3"/>
  <c r="I546" i="3"/>
  <c r="J546" i="3"/>
  <c r="I547" i="3"/>
  <c r="J547" i="3"/>
  <c r="I548" i="3"/>
  <c r="J548" i="3"/>
  <c r="I549" i="3"/>
  <c r="J549" i="3"/>
  <c r="I550" i="3"/>
  <c r="J550" i="3"/>
  <c r="I551" i="3"/>
  <c r="J551" i="3"/>
  <c r="I552" i="3"/>
  <c r="J552" i="3"/>
  <c r="I553" i="3"/>
  <c r="J553" i="3"/>
  <c r="I554" i="3"/>
  <c r="J554" i="3"/>
  <c r="I555" i="3"/>
  <c r="J555" i="3"/>
  <c r="I556" i="3"/>
  <c r="J556" i="3"/>
  <c r="I557" i="3"/>
  <c r="J557" i="3"/>
  <c r="I558" i="3"/>
  <c r="J558" i="3"/>
  <c r="I559" i="3"/>
  <c r="J559" i="3"/>
  <c r="I560" i="3"/>
  <c r="J560" i="3"/>
  <c r="I561" i="3"/>
  <c r="J561" i="3"/>
  <c r="I562" i="3"/>
  <c r="J562" i="3"/>
  <c r="I563" i="3"/>
  <c r="J563" i="3"/>
  <c r="I564" i="3"/>
  <c r="J564" i="3"/>
  <c r="I565" i="3"/>
  <c r="J565" i="3"/>
  <c r="I566" i="3"/>
  <c r="J566" i="3"/>
  <c r="I567" i="3"/>
  <c r="J567" i="3"/>
  <c r="I568" i="3"/>
  <c r="J568" i="3"/>
  <c r="I569" i="3"/>
  <c r="J569" i="3"/>
  <c r="I570" i="3"/>
  <c r="J570" i="3"/>
  <c r="I571" i="3"/>
  <c r="J571" i="3"/>
  <c r="I572" i="3"/>
  <c r="J572" i="3"/>
  <c r="I573" i="3"/>
  <c r="J573" i="3"/>
  <c r="I574" i="3"/>
  <c r="J574" i="3"/>
  <c r="I575" i="3"/>
  <c r="J575" i="3"/>
  <c r="I463" i="3"/>
  <c r="J463" i="3"/>
  <c r="I464" i="3"/>
  <c r="J464" i="3"/>
  <c r="I465" i="3"/>
  <c r="J465" i="3"/>
  <c r="I466" i="3"/>
  <c r="J466" i="3"/>
  <c r="I467" i="3"/>
  <c r="J467" i="3"/>
  <c r="I468" i="3"/>
  <c r="J468" i="3"/>
  <c r="I469" i="3"/>
  <c r="J469" i="3"/>
  <c r="I470" i="3"/>
  <c r="J470" i="3"/>
  <c r="I471" i="3"/>
  <c r="J471" i="3"/>
  <c r="I472" i="3"/>
  <c r="J472" i="3"/>
  <c r="I473" i="3"/>
  <c r="J473" i="3"/>
  <c r="I474" i="3"/>
  <c r="J474" i="3"/>
  <c r="I475" i="3"/>
  <c r="J475" i="3"/>
  <c r="I476" i="3"/>
  <c r="J476" i="3"/>
  <c r="I477" i="3"/>
  <c r="J477" i="3"/>
  <c r="I478" i="3"/>
  <c r="J478" i="3"/>
  <c r="I479" i="3"/>
  <c r="J479" i="3"/>
  <c r="I480" i="3"/>
  <c r="J480" i="3"/>
  <c r="I481" i="3"/>
  <c r="J481" i="3"/>
  <c r="I482" i="3"/>
  <c r="J482" i="3"/>
  <c r="I483" i="3"/>
  <c r="J483" i="3"/>
  <c r="I484" i="3"/>
  <c r="J484" i="3"/>
  <c r="I485" i="3"/>
  <c r="J485" i="3"/>
  <c r="I486" i="3"/>
  <c r="J486" i="3"/>
  <c r="I487" i="3"/>
  <c r="J487" i="3"/>
  <c r="I488" i="3"/>
  <c r="J488" i="3"/>
  <c r="I489" i="3"/>
  <c r="J489" i="3"/>
  <c r="I490" i="3"/>
  <c r="J490" i="3"/>
  <c r="I491" i="3"/>
  <c r="J491" i="3"/>
  <c r="I492" i="3"/>
  <c r="J492" i="3"/>
  <c r="I493" i="3"/>
  <c r="J493" i="3"/>
  <c r="I494" i="3"/>
  <c r="J494" i="3"/>
  <c r="I495" i="3"/>
  <c r="J495" i="3"/>
  <c r="I496" i="3"/>
  <c r="J496" i="3"/>
  <c r="I497" i="3"/>
  <c r="J497" i="3"/>
  <c r="I498" i="3"/>
  <c r="J498" i="3"/>
  <c r="I499" i="3"/>
  <c r="J499" i="3"/>
  <c r="I500" i="3"/>
  <c r="J500" i="3"/>
  <c r="I501" i="3"/>
  <c r="J501" i="3"/>
  <c r="I502" i="3"/>
  <c r="J502" i="3"/>
  <c r="I503" i="3"/>
  <c r="J503" i="3"/>
  <c r="I504" i="3"/>
  <c r="J504" i="3"/>
  <c r="I505" i="3"/>
  <c r="J505" i="3"/>
  <c r="I506" i="3"/>
  <c r="J506" i="3"/>
  <c r="I507" i="3"/>
  <c r="J507" i="3"/>
  <c r="I508" i="3"/>
  <c r="J508" i="3"/>
  <c r="I509" i="3"/>
  <c r="J509" i="3"/>
  <c r="I510" i="3"/>
  <c r="J510" i="3"/>
  <c r="I511" i="3"/>
  <c r="J511" i="3"/>
  <c r="I512" i="3"/>
  <c r="J512" i="3"/>
  <c r="I513" i="3"/>
  <c r="J513" i="3"/>
  <c r="I514" i="3"/>
  <c r="J514" i="3"/>
  <c r="I515" i="3"/>
  <c r="J515" i="3"/>
  <c r="I516" i="3"/>
  <c r="J516" i="3"/>
  <c r="I517" i="3"/>
  <c r="J517" i="3"/>
  <c r="I518" i="3"/>
  <c r="J518" i="3"/>
  <c r="I519" i="3"/>
  <c r="J519" i="3"/>
  <c r="I520" i="3"/>
  <c r="J520" i="3"/>
  <c r="I521" i="3"/>
  <c r="J521" i="3"/>
  <c r="I522" i="3"/>
  <c r="J522" i="3"/>
  <c r="I523" i="3"/>
  <c r="J523" i="3"/>
  <c r="I524" i="3"/>
  <c r="J524" i="3"/>
  <c r="I525" i="3"/>
  <c r="J525" i="3"/>
  <c r="I526" i="3"/>
  <c r="J526" i="3"/>
  <c r="I599" i="3"/>
  <c r="J599" i="3"/>
  <c r="I600" i="3"/>
  <c r="J600" i="3"/>
  <c r="I601" i="3"/>
  <c r="J601" i="3"/>
  <c r="I602" i="3"/>
  <c r="J602" i="3"/>
  <c r="K602" i="3" s="1"/>
  <c r="L602" i="3" s="1"/>
  <c r="I603" i="3"/>
  <c r="J603" i="3"/>
  <c r="I604" i="3"/>
  <c r="J604" i="3"/>
  <c r="I605" i="3"/>
  <c r="J605" i="3"/>
  <c r="I606" i="3"/>
  <c r="J606" i="3"/>
  <c r="I607" i="3"/>
  <c r="J607" i="3"/>
  <c r="I608" i="3"/>
  <c r="J608" i="3"/>
  <c r="I609" i="3"/>
  <c r="J609" i="3"/>
  <c r="I610" i="3"/>
  <c r="J610" i="3"/>
  <c r="I611" i="3"/>
  <c r="J611" i="3"/>
  <c r="I612" i="3"/>
  <c r="J612" i="3"/>
  <c r="I613" i="3"/>
  <c r="J613" i="3"/>
  <c r="I614" i="3"/>
  <c r="J614" i="3"/>
  <c r="I615" i="3"/>
  <c r="J615" i="3"/>
  <c r="I616" i="3"/>
  <c r="J616" i="3"/>
  <c r="I617" i="3"/>
  <c r="J617" i="3"/>
  <c r="I618" i="3"/>
  <c r="J618" i="3"/>
  <c r="I619" i="3"/>
  <c r="J619" i="3"/>
  <c r="I620" i="3"/>
  <c r="J620" i="3"/>
  <c r="K620" i="3" s="1"/>
  <c r="L620" i="3" s="1"/>
  <c r="I621" i="3"/>
  <c r="J621" i="3"/>
  <c r="I622" i="3"/>
  <c r="J622" i="3"/>
  <c r="I623" i="3"/>
  <c r="J623" i="3"/>
  <c r="I624" i="3"/>
  <c r="J624" i="3"/>
  <c r="K624" i="3" s="1"/>
  <c r="L624" i="3" s="1"/>
  <c r="I625" i="3"/>
  <c r="J625" i="3"/>
  <c r="I626" i="3"/>
  <c r="J626" i="3"/>
  <c r="I627" i="3"/>
  <c r="J627" i="3"/>
  <c r="I628" i="3"/>
  <c r="J628" i="3"/>
  <c r="K628" i="3" s="1"/>
  <c r="L628" i="3" s="1"/>
  <c r="I629" i="3"/>
  <c r="J629" i="3"/>
  <c r="I630" i="3"/>
  <c r="J630" i="3"/>
  <c r="I631" i="3"/>
  <c r="J631" i="3"/>
  <c r="I632" i="3"/>
  <c r="J632" i="3"/>
  <c r="K632" i="3" s="1"/>
  <c r="L632" i="3" s="1"/>
  <c r="I633" i="3"/>
  <c r="J633" i="3"/>
  <c r="I634" i="3"/>
  <c r="J634" i="3"/>
  <c r="I635" i="3"/>
  <c r="J635" i="3"/>
  <c r="I636" i="3"/>
  <c r="J636" i="3"/>
  <c r="K636" i="3" s="1"/>
  <c r="L636" i="3" s="1"/>
  <c r="I637" i="3"/>
  <c r="J637" i="3"/>
  <c r="I638" i="3"/>
  <c r="J638" i="3"/>
  <c r="I639" i="3"/>
  <c r="J639" i="3"/>
  <c r="I640" i="3"/>
  <c r="J640" i="3"/>
  <c r="K640" i="3" s="1"/>
  <c r="L640" i="3" s="1"/>
  <c r="I641" i="3"/>
  <c r="J641" i="3"/>
  <c r="I642" i="3"/>
  <c r="J642" i="3"/>
  <c r="I643" i="3"/>
  <c r="J643" i="3"/>
  <c r="I644" i="3"/>
  <c r="J644" i="3"/>
  <c r="K644" i="3" s="1"/>
  <c r="L644" i="3" s="1"/>
  <c r="I645" i="3"/>
  <c r="J645" i="3"/>
  <c r="I646" i="3"/>
  <c r="J646" i="3"/>
  <c r="I647" i="3"/>
  <c r="J647" i="3"/>
  <c r="I648" i="3"/>
  <c r="J648" i="3"/>
  <c r="K648" i="3" s="1"/>
  <c r="L648" i="3" s="1"/>
  <c r="I649" i="3"/>
  <c r="J649" i="3"/>
  <c r="I650" i="3"/>
  <c r="J650" i="3"/>
  <c r="I651" i="3"/>
  <c r="J651" i="3"/>
  <c r="I652" i="3"/>
  <c r="J652" i="3"/>
  <c r="I653" i="3"/>
  <c r="J653" i="3"/>
  <c r="I654" i="3"/>
  <c r="J654" i="3"/>
  <c r="I655" i="3"/>
  <c r="J655" i="3"/>
  <c r="I656" i="3"/>
  <c r="J656" i="3"/>
  <c r="K656" i="3" s="1"/>
  <c r="L656" i="3" s="1"/>
  <c r="I657" i="3"/>
  <c r="J657" i="3"/>
  <c r="I135" i="3"/>
  <c r="J135" i="3"/>
  <c r="I136" i="3"/>
  <c r="J136" i="3"/>
  <c r="I137" i="3"/>
  <c r="J137" i="3"/>
  <c r="I138" i="3"/>
  <c r="J138" i="3"/>
  <c r="I139" i="3"/>
  <c r="J139" i="3"/>
  <c r="I140" i="3"/>
  <c r="J140" i="3"/>
  <c r="I141" i="3"/>
  <c r="J141" i="3"/>
  <c r="I142" i="3"/>
  <c r="J142" i="3"/>
  <c r="I143" i="3"/>
  <c r="J143" i="3"/>
  <c r="I144" i="3"/>
  <c r="J144" i="3"/>
  <c r="I145" i="3"/>
  <c r="J145" i="3"/>
  <c r="I146" i="3"/>
  <c r="J146" i="3"/>
  <c r="I147" i="3"/>
  <c r="J147" i="3"/>
  <c r="I148" i="3"/>
  <c r="J148" i="3"/>
  <c r="I149" i="3"/>
  <c r="J149" i="3"/>
  <c r="I150" i="3"/>
  <c r="J150" i="3"/>
  <c r="I151" i="3"/>
  <c r="J151" i="3"/>
  <c r="I152" i="3"/>
  <c r="J152" i="3"/>
  <c r="I153" i="3"/>
  <c r="J153" i="3"/>
  <c r="I154" i="3"/>
  <c r="J154" i="3"/>
  <c r="I155" i="3"/>
  <c r="J155" i="3"/>
  <c r="I156" i="3"/>
  <c r="J156" i="3"/>
  <c r="I157" i="3"/>
  <c r="J157" i="3"/>
  <c r="I158" i="3"/>
  <c r="J158" i="3"/>
  <c r="K158" i="3" s="1"/>
  <c r="I159" i="3"/>
  <c r="J159" i="3"/>
  <c r="I160" i="3"/>
  <c r="J160" i="3"/>
  <c r="I161" i="3"/>
  <c r="J161" i="3"/>
  <c r="I162" i="3"/>
  <c r="J162" i="3"/>
  <c r="I163" i="3"/>
  <c r="J163" i="3"/>
  <c r="I164" i="3"/>
  <c r="J164" i="3"/>
  <c r="I165" i="3"/>
  <c r="J165" i="3"/>
  <c r="I166" i="3"/>
  <c r="J166" i="3"/>
  <c r="I167" i="3"/>
  <c r="J167" i="3"/>
  <c r="I168" i="3"/>
  <c r="J168" i="3"/>
  <c r="I169" i="3"/>
  <c r="J169" i="3"/>
  <c r="I170" i="3"/>
  <c r="J170" i="3"/>
  <c r="I171" i="3"/>
  <c r="J171" i="3"/>
  <c r="I172" i="3"/>
  <c r="J172" i="3"/>
  <c r="I173" i="3"/>
  <c r="J173" i="3"/>
  <c r="I174" i="3"/>
  <c r="J174" i="3"/>
  <c r="K174" i="3" s="1"/>
  <c r="I175" i="3"/>
  <c r="J175" i="3"/>
  <c r="I176" i="3"/>
  <c r="J176" i="3"/>
  <c r="I177" i="3"/>
  <c r="J177" i="3"/>
  <c r="I178" i="3"/>
  <c r="J178" i="3"/>
  <c r="I179" i="3"/>
  <c r="J179" i="3"/>
  <c r="I216" i="3"/>
  <c r="J216" i="3"/>
  <c r="I181" i="3"/>
  <c r="J181" i="3"/>
  <c r="I182" i="3"/>
  <c r="J182" i="3"/>
  <c r="I183" i="3"/>
  <c r="J183" i="3"/>
  <c r="I184" i="3"/>
  <c r="J184" i="3"/>
  <c r="I224" i="3"/>
  <c r="J224" i="3"/>
  <c r="I186" i="3"/>
  <c r="J186" i="3"/>
  <c r="I187" i="3"/>
  <c r="J187" i="3"/>
  <c r="I188" i="3"/>
  <c r="J188" i="3"/>
  <c r="I180" i="3"/>
  <c r="J180" i="3"/>
  <c r="I190" i="3"/>
  <c r="J190" i="3"/>
  <c r="I191" i="3"/>
  <c r="J191" i="3"/>
  <c r="I225" i="3"/>
  <c r="J225" i="3"/>
  <c r="I185" i="3"/>
  <c r="J185" i="3"/>
  <c r="I194" i="3"/>
  <c r="J194" i="3"/>
  <c r="I195" i="3"/>
  <c r="J195" i="3"/>
  <c r="I196" i="3"/>
  <c r="J196" i="3"/>
  <c r="I197" i="3"/>
  <c r="J197" i="3"/>
  <c r="I198" i="3"/>
  <c r="J198" i="3"/>
  <c r="I199" i="3"/>
  <c r="J199" i="3"/>
  <c r="I200" i="3"/>
  <c r="J200" i="3"/>
  <c r="I201" i="3"/>
  <c r="J201" i="3"/>
  <c r="I202" i="3"/>
  <c r="J202" i="3"/>
  <c r="I203" i="3"/>
  <c r="J203" i="3"/>
  <c r="I204" i="3"/>
  <c r="J204" i="3"/>
  <c r="I226" i="3"/>
  <c r="J226" i="3"/>
  <c r="I206" i="3"/>
  <c r="J206" i="3"/>
  <c r="I207" i="3"/>
  <c r="J207" i="3"/>
  <c r="I208" i="3"/>
  <c r="J208" i="3"/>
  <c r="I209" i="3"/>
  <c r="J209" i="3"/>
  <c r="I210" i="3"/>
  <c r="J210" i="3"/>
  <c r="I211" i="3"/>
  <c r="J211" i="3"/>
  <c r="I212" i="3"/>
  <c r="J212" i="3"/>
  <c r="I213" i="3"/>
  <c r="J213" i="3"/>
  <c r="I214" i="3"/>
  <c r="J214" i="3"/>
  <c r="I215" i="3"/>
  <c r="J215" i="3"/>
  <c r="I192" i="3"/>
  <c r="J192" i="3"/>
  <c r="I217" i="3"/>
  <c r="J217" i="3"/>
  <c r="I218" i="3"/>
  <c r="J218" i="3"/>
  <c r="I219" i="3"/>
  <c r="J219" i="3"/>
  <c r="I220" i="3"/>
  <c r="J220" i="3"/>
  <c r="I221" i="3"/>
  <c r="J221" i="3"/>
  <c r="I222" i="3"/>
  <c r="J222" i="3"/>
  <c r="I223" i="3"/>
  <c r="J223" i="3"/>
  <c r="I232" i="3"/>
  <c r="J232" i="3"/>
  <c r="I189" i="3"/>
  <c r="J189" i="3"/>
  <c r="K189" i="3" s="1"/>
  <c r="I193" i="3"/>
  <c r="J193" i="3"/>
  <c r="I227" i="3"/>
  <c r="J227" i="3"/>
  <c r="I228" i="3"/>
  <c r="J228" i="3"/>
  <c r="I229" i="3"/>
  <c r="J229" i="3"/>
  <c r="I230" i="3"/>
  <c r="J230" i="3"/>
  <c r="I231" i="3"/>
  <c r="J231" i="3"/>
  <c r="I205" i="3"/>
  <c r="J205" i="3"/>
  <c r="I233" i="3"/>
  <c r="J233" i="3"/>
  <c r="I234" i="3"/>
  <c r="J234" i="3"/>
  <c r="I235" i="3"/>
  <c r="J235" i="3"/>
  <c r="I236" i="3"/>
  <c r="J236" i="3"/>
  <c r="I237" i="3"/>
  <c r="J237" i="3"/>
  <c r="I238" i="3"/>
  <c r="J238" i="3"/>
  <c r="I239" i="3"/>
  <c r="J239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216" i="3"/>
  <c r="H181" i="3"/>
  <c r="H182" i="3"/>
  <c r="H183" i="3"/>
  <c r="H184" i="3"/>
  <c r="H224" i="3"/>
  <c r="H186" i="3"/>
  <c r="H187" i="3"/>
  <c r="H188" i="3"/>
  <c r="H180" i="3"/>
  <c r="H190" i="3"/>
  <c r="H191" i="3"/>
  <c r="H225" i="3"/>
  <c r="H185" i="3"/>
  <c r="H194" i="3"/>
  <c r="H195" i="3"/>
  <c r="H196" i="3"/>
  <c r="H197" i="3"/>
  <c r="H198" i="3"/>
  <c r="H199" i="3"/>
  <c r="H200" i="3"/>
  <c r="H201" i="3"/>
  <c r="H202" i="3"/>
  <c r="H203" i="3"/>
  <c r="H204" i="3"/>
  <c r="H226" i="3"/>
  <c r="H206" i="3"/>
  <c r="H207" i="3"/>
  <c r="H208" i="3"/>
  <c r="H209" i="3"/>
  <c r="H210" i="3"/>
  <c r="H211" i="3"/>
  <c r="H212" i="3"/>
  <c r="H213" i="3"/>
  <c r="H214" i="3"/>
  <c r="H215" i="3"/>
  <c r="H192" i="3"/>
  <c r="H217" i="3"/>
  <c r="H218" i="3"/>
  <c r="H219" i="3"/>
  <c r="H220" i="3"/>
  <c r="H221" i="3"/>
  <c r="H222" i="3"/>
  <c r="H223" i="3"/>
  <c r="H232" i="3"/>
  <c r="H189" i="3"/>
  <c r="H193" i="3"/>
  <c r="H227" i="3"/>
  <c r="H228" i="3"/>
  <c r="H229" i="3"/>
  <c r="H230" i="3"/>
  <c r="H231" i="3"/>
  <c r="H205" i="3"/>
  <c r="H233" i="3"/>
  <c r="H234" i="3"/>
  <c r="H235" i="3"/>
  <c r="H236" i="3"/>
  <c r="H237" i="3"/>
  <c r="H238" i="3"/>
  <c r="H239" i="3"/>
  <c r="H160" i="3"/>
  <c r="H161" i="3"/>
  <c r="H162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216" i="3"/>
  <c r="C181" i="3"/>
  <c r="C182" i="3"/>
  <c r="C183" i="3"/>
  <c r="C184" i="3"/>
  <c r="C224" i="3"/>
  <c r="C186" i="3"/>
  <c r="C187" i="3"/>
  <c r="C188" i="3"/>
  <c r="C180" i="3"/>
  <c r="C190" i="3"/>
  <c r="C191" i="3"/>
  <c r="C225" i="3"/>
  <c r="C185" i="3"/>
  <c r="C194" i="3"/>
  <c r="C195" i="3"/>
  <c r="C196" i="3"/>
  <c r="C197" i="3"/>
  <c r="C198" i="3"/>
  <c r="C199" i="3"/>
  <c r="C200" i="3"/>
  <c r="C201" i="3"/>
  <c r="C202" i="3"/>
  <c r="C203" i="3"/>
  <c r="C204" i="3"/>
  <c r="C226" i="3"/>
  <c r="C206" i="3"/>
  <c r="C207" i="3"/>
  <c r="C208" i="3"/>
  <c r="C209" i="3"/>
  <c r="C210" i="3"/>
  <c r="C211" i="3"/>
  <c r="C212" i="3"/>
  <c r="C213" i="3"/>
  <c r="C214" i="3"/>
  <c r="C215" i="3"/>
  <c r="C192" i="3"/>
  <c r="C217" i="3"/>
  <c r="C218" i="3"/>
  <c r="C219" i="3"/>
  <c r="C220" i="3"/>
  <c r="C221" i="3"/>
  <c r="C222" i="3"/>
  <c r="C223" i="3"/>
  <c r="C232" i="3"/>
  <c r="C189" i="3"/>
  <c r="C193" i="3"/>
  <c r="C227" i="3"/>
  <c r="C228" i="3"/>
  <c r="C229" i="3"/>
  <c r="C230" i="3"/>
  <c r="C231" i="3"/>
  <c r="C205" i="3"/>
  <c r="C233" i="3"/>
  <c r="C234" i="3"/>
  <c r="C235" i="3"/>
  <c r="C236" i="3"/>
  <c r="C237" i="3"/>
  <c r="C238" i="3"/>
  <c r="C239" i="3"/>
  <c r="B172" i="4"/>
  <c r="C172" i="4"/>
  <c r="B173" i="4"/>
  <c r="C173" i="4"/>
  <c r="B174" i="4"/>
  <c r="C174" i="4"/>
  <c r="B175" i="4"/>
  <c r="C175" i="4"/>
  <c r="B176" i="4"/>
  <c r="C176" i="4"/>
  <c r="B177" i="4"/>
  <c r="C177" i="4"/>
  <c r="B178" i="4"/>
  <c r="C178" i="4"/>
  <c r="C179" i="4"/>
  <c r="C180" i="4"/>
  <c r="C181" i="4"/>
  <c r="B180" i="4"/>
  <c r="B181" i="4"/>
  <c r="B179" i="4"/>
  <c r="K732" i="3" l="1"/>
  <c r="L732" i="3" s="1"/>
  <c r="K764" i="3"/>
  <c r="L764" i="3" s="1"/>
  <c r="K684" i="3"/>
  <c r="L684" i="3" s="1"/>
  <c r="D182" i="4"/>
  <c r="D179" i="4"/>
  <c r="C182" i="4"/>
  <c r="B182" i="4"/>
  <c r="K652" i="3"/>
  <c r="L652" i="3" s="1"/>
  <c r="K618" i="3"/>
  <c r="L618" i="3" s="1"/>
  <c r="K734" i="3"/>
  <c r="L734" i="3" s="1"/>
  <c r="K742" i="3"/>
  <c r="L742" i="3" s="1"/>
  <c r="K750" i="3"/>
  <c r="L750" i="3" s="1"/>
  <c r="K758" i="3"/>
  <c r="L758" i="3" s="1"/>
  <c r="K766" i="3"/>
  <c r="L766" i="3" s="1"/>
  <c r="K774" i="3"/>
  <c r="L774" i="3" s="1"/>
  <c r="K782" i="3"/>
  <c r="L782" i="3" s="1"/>
  <c r="K790" i="3"/>
  <c r="L790" i="3" s="1"/>
  <c r="K685" i="3"/>
  <c r="L685" i="3" s="1"/>
  <c r="K687" i="3"/>
  <c r="L687" i="3" s="1"/>
  <c r="K689" i="3"/>
  <c r="L689" i="3" s="1"/>
  <c r="K691" i="3"/>
  <c r="L691" i="3" s="1"/>
  <c r="K693" i="3"/>
  <c r="L693" i="3" s="1"/>
  <c r="K695" i="3"/>
  <c r="L695" i="3" s="1"/>
  <c r="K697" i="3"/>
  <c r="L697" i="3" s="1"/>
  <c r="K699" i="3"/>
  <c r="L699" i="3" s="1"/>
  <c r="K701" i="3"/>
  <c r="L701" i="3" s="1"/>
  <c r="K703" i="3"/>
  <c r="L703" i="3" s="1"/>
  <c r="K705" i="3"/>
  <c r="L705" i="3" s="1"/>
  <c r="K707" i="3"/>
  <c r="L707" i="3" s="1"/>
  <c r="K709" i="3"/>
  <c r="L709" i="3" s="1"/>
  <c r="K711" i="3"/>
  <c r="L711" i="3" s="1"/>
  <c r="K713" i="3"/>
  <c r="L713" i="3" s="1"/>
  <c r="K715" i="3"/>
  <c r="L715" i="3" s="1"/>
  <c r="K717" i="3"/>
  <c r="L717" i="3" s="1"/>
  <c r="K719" i="3"/>
  <c r="L719" i="3" s="1"/>
  <c r="K721" i="3"/>
  <c r="L721" i="3" s="1"/>
  <c r="K723" i="3"/>
  <c r="L723" i="3" s="1"/>
  <c r="K724" i="3"/>
  <c r="L724" i="3" s="1"/>
  <c r="K791" i="3"/>
  <c r="L791" i="3" s="1"/>
  <c r="K787" i="3"/>
  <c r="L787" i="3" s="1"/>
  <c r="K779" i="3"/>
  <c r="L779" i="3" s="1"/>
  <c r="K771" i="3"/>
  <c r="L771" i="3" s="1"/>
  <c r="K763" i="3"/>
  <c r="L763" i="3" s="1"/>
  <c r="K755" i="3"/>
  <c r="L755" i="3" s="1"/>
  <c r="K747" i="3"/>
  <c r="L747" i="3" s="1"/>
  <c r="K739" i="3"/>
  <c r="L739" i="3" s="1"/>
  <c r="K789" i="3"/>
  <c r="L789" i="3" s="1"/>
  <c r="K781" i="3"/>
  <c r="L781" i="3" s="1"/>
  <c r="K773" i="3"/>
  <c r="L773" i="3" s="1"/>
  <c r="K765" i="3"/>
  <c r="L765" i="3" s="1"/>
  <c r="K757" i="3"/>
  <c r="L757" i="3" s="1"/>
  <c r="K749" i="3"/>
  <c r="L749" i="3" s="1"/>
  <c r="K741" i="3"/>
  <c r="L741" i="3" s="1"/>
  <c r="K725" i="3"/>
  <c r="L725" i="3" s="1"/>
  <c r="K783" i="3"/>
  <c r="L783" i="3" s="1"/>
  <c r="K775" i="3"/>
  <c r="L775" i="3" s="1"/>
  <c r="K767" i="3"/>
  <c r="L767" i="3" s="1"/>
  <c r="K759" i="3"/>
  <c r="L759" i="3" s="1"/>
  <c r="K751" i="3"/>
  <c r="L751" i="3" s="1"/>
  <c r="D181" i="4" s="1"/>
  <c r="K743" i="3"/>
  <c r="L743" i="3" s="1"/>
  <c r="K727" i="3"/>
  <c r="L727" i="3" s="1"/>
  <c r="K785" i="3"/>
  <c r="L785" i="3" s="1"/>
  <c r="K777" i="3"/>
  <c r="L777" i="3" s="1"/>
  <c r="K769" i="3"/>
  <c r="L769" i="3" s="1"/>
  <c r="K761" i="3"/>
  <c r="L761" i="3" s="1"/>
  <c r="K753" i="3"/>
  <c r="L753" i="3" s="1"/>
  <c r="K745" i="3"/>
  <c r="L745" i="3" s="1"/>
  <c r="K737" i="3"/>
  <c r="L737" i="3" s="1"/>
  <c r="K729" i="3"/>
  <c r="L729" i="3" s="1"/>
  <c r="K658" i="3"/>
  <c r="L658" i="3" s="1"/>
  <c r="K610" i="3"/>
  <c r="L610" i="3" s="1"/>
  <c r="K604" i="3"/>
  <c r="L604" i="3" s="1"/>
  <c r="K599" i="3"/>
  <c r="L599" i="3" s="1"/>
  <c r="K568" i="3"/>
  <c r="L568" i="3" s="1"/>
  <c r="K584" i="3"/>
  <c r="L584" i="3" s="1"/>
  <c r="K592" i="3"/>
  <c r="L592" i="3" s="1"/>
  <c r="K532" i="3"/>
  <c r="L532" i="3" s="1"/>
  <c r="K536" i="3"/>
  <c r="L536" i="3" s="1"/>
  <c r="K540" i="3"/>
  <c r="L540" i="3" s="1"/>
  <c r="K544" i="3"/>
  <c r="L544" i="3" s="1"/>
  <c r="K556" i="3"/>
  <c r="L556" i="3" s="1"/>
  <c r="K560" i="3"/>
  <c r="L560" i="3" s="1"/>
  <c r="K564" i="3"/>
  <c r="L564" i="3" s="1"/>
  <c r="K487" i="3"/>
  <c r="L487" i="3" s="1"/>
  <c r="K572" i="3"/>
  <c r="L572" i="3" s="1"/>
  <c r="K463" i="3"/>
  <c r="L463" i="3" s="1"/>
  <c r="K467" i="3"/>
  <c r="L467" i="3" s="1"/>
  <c r="K471" i="3"/>
  <c r="L471" i="3" s="1"/>
  <c r="K475" i="3"/>
  <c r="L475" i="3" s="1"/>
  <c r="K479" i="3"/>
  <c r="L479" i="3" s="1"/>
  <c r="K616" i="3"/>
  <c r="L616" i="3" s="1"/>
  <c r="K600" i="3"/>
  <c r="L600" i="3" s="1"/>
  <c r="K606" i="3"/>
  <c r="L606" i="3" s="1"/>
  <c r="K608" i="3"/>
  <c r="L608" i="3" s="1"/>
  <c r="K612" i="3"/>
  <c r="L612" i="3" s="1"/>
  <c r="K614" i="3"/>
  <c r="L614" i="3" s="1"/>
  <c r="K580" i="3"/>
  <c r="L580" i="3" s="1"/>
  <c r="K596" i="3"/>
  <c r="L596" i="3" s="1"/>
  <c r="K528" i="3"/>
  <c r="L528" i="3" s="1"/>
  <c r="K548" i="3"/>
  <c r="L548" i="3" s="1"/>
  <c r="K552" i="3"/>
  <c r="L552" i="3" s="1"/>
  <c r="K588" i="3"/>
  <c r="L588" i="3" s="1"/>
  <c r="K523" i="3"/>
  <c r="L523" i="3" s="1"/>
  <c r="K519" i="3"/>
  <c r="L519" i="3" s="1"/>
  <c r="K515" i="3"/>
  <c r="L515" i="3" s="1"/>
  <c r="K511" i="3"/>
  <c r="L511" i="3" s="1"/>
  <c r="K507" i="3"/>
  <c r="L507" i="3" s="1"/>
  <c r="K503" i="3"/>
  <c r="L503" i="3" s="1"/>
  <c r="K499" i="3"/>
  <c r="L499" i="3" s="1"/>
  <c r="K495" i="3"/>
  <c r="L495" i="3" s="1"/>
  <c r="K491" i="3"/>
  <c r="L491" i="3" s="1"/>
  <c r="K483" i="3"/>
  <c r="L483" i="3" s="1"/>
  <c r="K657" i="3"/>
  <c r="L657" i="3" s="1"/>
  <c r="K653" i="3"/>
  <c r="L653" i="3" s="1"/>
  <c r="K649" i="3"/>
  <c r="L649" i="3" s="1"/>
  <c r="K645" i="3"/>
  <c r="L645" i="3" s="1"/>
  <c r="K641" i="3"/>
  <c r="L641" i="3" s="1"/>
  <c r="K637" i="3"/>
  <c r="L637" i="3" s="1"/>
  <c r="K633" i="3"/>
  <c r="L633" i="3" s="1"/>
  <c r="K629" i="3"/>
  <c r="L629" i="3" s="1"/>
  <c r="K625" i="3"/>
  <c r="L625" i="3" s="1"/>
  <c r="K621" i="3"/>
  <c r="L621" i="3" s="1"/>
  <c r="K615" i="3"/>
  <c r="L615" i="3" s="1"/>
  <c r="K607" i="3"/>
  <c r="L607" i="3" s="1"/>
  <c r="K526" i="3"/>
  <c r="L526" i="3" s="1"/>
  <c r="K522" i="3"/>
  <c r="L522" i="3" s="1"/>
  <c r="K518" i="3"/>
  <c r="L518" i="3" s="1"/>
  <c r="K514" i="3"/>
  <c r="L514" i="3" s="1"/>
  <c r="K510" i="3"/>
  <c r="L510" i="3" s="1"/>
  <c r="K506" i="3"/>
  <c r="L506" i="3" s="1"/>
  <c r="K502" i="3"/>
  <c r="L502" i="3" s="1"/>
  <c r="K498" i="3"/>
  <c r="L498" i="3" s="1"/>
  <c r="K494" i="3"/>
  <c r="L494" i="3" s="1"/>
  <c r="K490" i="3"/>
  <c r="L490" i="3" s="1"/>
  <c r="K486" i="3"/>
  <c r="L486" i="3" s="1"/>
  <c r="K482" i="3"/>
  <c r="L482" i="3" s="1"/>
  <c r="K478" i="3"/>
  <c r="L478" i="3" s="1"/>
  <c r="K474" i="3"/>
  <c r="L474" i="3" s="1"/>
  <c r="K470" i="3"/>
  <c r="L470" i="3" s="1"/>
  <c r="K466" i="3"/>
  <c r="L466" i="3" s="1"/>
  <c r="K575" i="3"/>
  <c r="L575" i="3" s="1"/>
  <c r="K571" i="3"/>
  <c r="L571" i="3" s="1"/>
  <c r="K567" i="3"/>
  <c r="L567" i="3" s="1"/>
  <c r="K563" i="3"/>
  <c r="L563" i="3" s="1"/>
  <c r="K559" i="3"/>
  <c r="L559" i="3" s="1"/>
  <c r="K555" i="3"/>
  <c r="L555" i="3" s="1"/>
  <c r="K551" i="3"/>
  <c r="L551" i="3" s="1"/>
  <c r="K547" i="3"/>
  <c r="L547" i="3" s="1"/>
  <c r="K543" i="3"/>
  <c r="L543" i="3" s="1"/>
  <c r="K539" i="3"/>
  <c r="L539" i="3" s="1"/>
  <c r="K535" i="3"/>
  <c r="L535" i="3" s="1"/>
  <c r="K531" i="3"/>
  <c r="L531" i="3" s="1"/>
  <c r="K527" i="3"/>
  <c r="L527" i="3" s="1"/>
  <c r="K595" i="3"/>
  <c r="L595" i="3" s="1"/>
  <c r="K591" i="3"/>
  <c r="L591" i="3" s="1"/>
  <c r="K587" i="3"/>
  <c r="L587" i="3" s="1"/>
  <c r="K583" i="3"/>
  <c r="L583" i="3" s="1"/>
  <c r="K579" i="3"/>
  <c r="L579" i="3" s="1"/>
  <c r="K617" i="3"/>
  <c r="L617" i="3" s="1"/>
  <c r="K609" i="3"/>
  <c r="L609" i="3" s="1"/>
  <c r="K601" i="3"/>
  <c r="L601" i="3" s="1"/>
  <c r="K525" i="3"/>
  <c r="L525" i="3" s="1"/>
  <c r="K521" i="3"/>
  <c r="L521" i="3" s="1"/>
  <c r="K517" i="3"/>
  <c r="L517" i="3" s="1"/>
  <c r="K513" i="3"/>
  <c r="L513" i="3" s="1"/>
  <c r="K509" i="3"/>
  <c r="L509" i="3" s="1"/>
  <c r="K505" i="3"/>
  <c r="L505" i="3" s="1"/>
  <c r="K501" i="3"/>
  <c r="L501" i="3" s="1"/>
  <c r="K497" i="3"/>
  <c r="L497" i="3" s="1"/>
  <c r="K493" i="3"/>
  <c r="L493" i="3" s="1"/>
  <c r="K489" i="3"/>
  <c r="L489" i="3" s="1"/>
  <c r="K485" i="3"/>
  <c r="L485" i="3" s="1"/>
  <c r="K481" i="3"/>
  <c r="L481" i="3" s="1"/>
  <c r="K477" i="3"/>
  <c r="L477" i="3" s="1"/>
  <c r="K473" i="3"/>
  <c r="L473" i="3" s="1"/>
  <c r="K469" i="3"/>
  <c r="L469" i="3" s="1"/>
  <c r="K465" i="3"/>
  <c r="L465" i="3" s="1"/>
  <c r="K574" i="3"/>
  <c r="L574" i="3" s="1"/>
  <c r="K570" i="3"/>
  <c r="L570" i="3" s="1"/>
  <c r="K566" i="3"/>
  <c r="L566" i="3" s="1"/>
  <c r="K562" i="3"/>
  <c r="L562" i="3" s="1"/>
  <c r="K558" i="3"/>
  <c r="L558" i="3" s="1"/>
  <c r="K554" i="3"/>
  <c r="L554" i="3" s="1"/>
  <c r="K550" i="3"/>
  <c r="L550" i="3" s="1"/>
  <c r="K546" i="3"/>
  <c r="L546" i="3" s="1"/>
  <c r="K542" i="3"/>
  <c r="L542" i="3" s="1"/>
  <c r="K538" i="3"/>
  <c r="L538" i="3" s="1"/>
  <c r="K534" i="3"/>
  <c r="L534" i="3" s="1"/>
  <c r="K530" i="3"/>
  <c r="L530" i="3" s="1"/>
  <c r="K598" i="3"/>
  <c r="L598" i="3" s="1"/>
  <c r="D172" i="4" s="1"/>
  <c r="K594" i="3"/>
  <c r="L594" i="3" s="1"/>
  <c r="K590" i="3"/>
  <c r="L590" i="3" s="1"/>
  <c r="K586" i="3"/>
  <c r="L586" i="3" s="1"/>
  <c r="K582" i="3"/>
  <c r="L582" i="3" s="1"/>
  <c r="K578" i="3"/>
  <c r="L578" i="3" s="1"/>
  <c r="K655" i="3"/>
  <c r="L655" i="3" s="1"/>
  <c r="K651" i="3"/>
  <c r="L651" i="3" s="1"/>
  <c r="K647" i="3"/>
  <c r="L647" i="3" s="1"/>
  <c r="K643" i="3"/>
  <c r="L643" i="3" s="1"/>
  <c r="K639" i="3"/>
  <c r="L639" i="3" s="1"/>
  <c r="K635" i="3"/>
  <c r="L635" i="3" s="1"/>
  <c r="K631" i="3"/>
  <c r="L631" i="3" s="1"/>
  <c r="K627" i="3"/>
  <c r="L627" i="3" s="1"/>
  <c r="K623" i="3"/>
  <c r="L623" i="3" s="1"/>
  <c r="K619" i="3"/>
  <c r="L619" i="3" s="1"/>
  <c r="K611" i="3"/>
  <c r="L611" i="3" s="1"/>
  <c r="K603" i="3"/>
  <c r="L603" i="3" s="1"/>
  <c r="K524" i="3"/>
  <c r="L524" i="3" s="1"/>
  <c r="K520" i="3"/>
  <c r="L520" i="3" s="1"/>
  <c r="K516" i="3"/>
  <c r="L516" i="3" s="1"/>
  <c r="K512" i="3"/>
  <c r="L512" i="3" s="1"/>
  <c r="K508" i="3"/>
  <c r="L508" i="3" s="1"/>
  <c r="K504" i="3"/>
  <c r="L504" i="3" s="1"/>
  <c r="K500" i="3"/>
  <c r="L500" i="3" s="1"/>
  <c r="K496" i="3"/>
  <c r="L496" i="3" s="1"/>
  <c r="K492" i="3"/>
  <c r="L492" i="3" s="1"/>
  <c r="K488" i="3"/>
  <c r="L488" i="3" s="1"/>
  <c r="K484" i="3"/>
  <c r="L484" i="3" s="1"/>
  <c r="K480" i="3"/>
  <c r="L480" i="3" s="1"/>
  <c r="K476" i="3"/>
  <c r="L476" i="3" s="1"/>
  <c r="K472" i="3"/>
  <c r="L472" i="3" s="1"/>
  <c r="K468" i="3"/>
  <c r="L468" i="3" s="1"/>
  <c r="K464" i="3"/>
  <c r="L464" i="3" s="1"/>
  <c r="K573" i="3"/>
  <c r="L573" i="3" s="1"/>
  <c r="K569" i="3"/>
  <c r="L569" i="3" s="1"/>
  <c r="K565" i="3"/>
  <c r="L565" i="3" s="1"/>
  <c r="K561" i="3"/>
  <c r="L561" i="3" s="1"/>
  <c r="K557" i="3"/>
  <c r="L557" i="3" s="1"/>
  <c r="K553" i="3"/>
  <c r="L553" i="3" s="1"/>
  <c r="K549" i="3"/>
  <c r="L549" i="3" s="1"/>
  <c r="K545" i="3"/>
  <c r="L545" i="3" s="1"/>
  <c r="K541" i="3"/>
  <c r="L541" i="3" s="1"/>
  <c r="K537" i="3"/>
  <c r="L537" i="3" s="1"/>
  <c r="K533" i="3"/>
  <c r="L533" i="3" s="1"/>
  <c r="K529" i="3"/>
  <c r="L529" i="3" s="1"/>
  <c r="K597" i="3"/>
  <c r="L597" i="3" s="1"/>
  <c r="K593" i="3"/>
  <c r="L593" i="3" s="1"/>
  <c r="K589" i="3"/>
  <c r="L589" i="3" s="1"/>
  <c r="K585" i="3"/>
  <c r="L585" i="3" s="1"/>
  <c r="K581" i="3"/>
  <c r="L581" i="3" s="1"/>
  <c r="K577" i="3"/>
  <c r="L577" i="3" s="1"/>
  <c r="K654" i="3"/>
  <c r="L654" i="3" s="1"/>
  <c r="K650" i="3"/>
  <c r="L650" i="3" s="1"/>
  <c r="K646" i="3"/>
  <c r="L646" i="3" s="1"/>
  <c r="K642" i="3"/>
  <c r="L642" i="3" s="1"/>
  <c r="K638" i="3"/>
  <c r="L638" i="3" s="1"/>
  <c r="K634" i="3"/>
  <c r="L634" i="3" s="1"/>
  <c r="K630" i="3"/>
  <c r="L630" i="3" s="1"/>
  <c r="K626" i="3"/>
  <c r="L626" i="3" s="1"/>
  <c r="K622" i="3"/>
  <c r="L622" i="3" s="1"/>
  <c r="K613" i="3"/>
  <c r="L613" i="3" s="1"/>
  <c r="K605" i="3"/>
  <c r="L605" i="3" s="1"/>
  <c r="K576" i="3"/>
  <c r="L576" i="3" s="1"/>
  <c r="K194" i="3"/>
  <c r="L194" i="3" s="1"/>
  <c r="K190" i="3"/>
  <c r="L190" i="3" s="1"/>
  <c r="K237" i="3"/>
  <c r="L237" i="3" s="1"/>
  <c r="K181" i="3"/>
  <c r="L181" i="3" s="1"/>
  <c r="K170" i="3"/>
  <c r="L170" i="3" s="1"/>
  <c r="K166" i="3"/>
  <c r="L166" i="3" s="1"/>
  <c r="K150" i="3"/>
  <c r="K146" i="3"/>
  <c r="K142" i="3"/>
  <c r="K138" i="3"/>
  <c r="K173" i="3"/>
  <c r="L173" i="3" s="1"/>
  <c r="K145" i="3"/>
  <c r="K163" i="3"/>
  <c r="L163" i="3" s="1"/>
  <c r="K159" i="3"/>
  <c r="K147" i="3"/>
  <c r="K135" i="3"/>
  <c r="K233" i="3"/>
  <c r="L233" i="3" s="1"/>
  <c r="K217" i="3"/>
  <c r="L217" i="3" s="1"/>
  <c r="K182" i="3"/>
  <c r="L182" i="3" s="1"/>
  <c r="K215" i="3"/>
  <c r="L215" i="3" s="1"/>
  <c r="K186" i="3"/>
  <c r="L186" i="3" s="1"/>
  <c r="K178" i="3"/>
  <c r="L178" i="3" s="1"/>
  <c r="K167" i="3"/>
  <c r="L167" i="3" s="1"/>
  <c r="K148" i="3"/>
  <c r="K196" i="3"/>
  <c r="L196" i="3" s="1"/>
  <c r="K177" i="3"/>
  <c r="L177" i="3" s="1"/>
  <c r="K144" i="3"/>
  <c r="K231" i="3"/>
  <c r="L231" i="3" s="1"/>
  <c r="K168" i="3"/>
  <c r="L168" i="3" s="1"/>
  <c r="L189" i="3"/>
  <c r="K229" i="3"/>
  <c r="L229" i="3" s="1"/>
  <c r="K221" i="3"/>
  <c r="L221" i="3" s="1"/>
  <c r="K139" i="3"/>
  <c r="K136" i="3"/>
  <c r="K188" i="3"/>
  <c r="L188" i="3" s="1"/>
  <c r="K176" i="3"/>
  <c r="L176" i="3" s="1"/>
  <c r="K162" i="3"/>
  <c r="L162" i="3" s="1"/>
  <c r="K154" i="3"/>
  <c r="K239" i="3"/>
  <c r="L239" i="3" s="1"/>
  <c r="K235" i="3"/>
  <c r="L235" i="3" s="1"/>
  <c r="K210" i="3"/>
  <c r="L210" i="3" s="1"/>
  <c r="K206" i="3"/>
  <c r="L206" i="3" s="1"/>
  <c r="K202" i="3"/>
  <c r="L202" i="3" s="1"/>
  <c r="K198" i="3"/>
  <c r="L198" i="3" s="1"/>
  <c r="K183" i="3"/>
  <c r="L183" i="3" s="1"/>
  <c r="K175" i="3"/>
  <c r="L175" i="3" s="1"/>
  <c r="K172" i="3"/>
  <c r="L172" i="3" s="1"/>
  <c r="K165" i="3"/>
  <c r="L165" i="3" s="1"/>
  <c r="K157" i="3"/>
  <c r="K153" i="3"/>
  <c r="K149" i="3"/>
  <c r="K234" i="3"/>
  <c r="L234" i="3" s="1"/>
  <c r="K227" i="3"/>
  <c r="L227" i="3" s="1"/>
  <c r="K223" i="3"/>
  <c r="L223" i="3" s="1"/>
  <c r="K216" i="3"/>
  <c r="L216" i="3" s="1"/>
  <c r="K156" i="3"/>
  <c r="K219" i="3"/>
  <c r="L219" i="3" s="1"/>
  <c r="K200" i="3"/>
  <c r="L200" i="3" s="1"/>
  <c r="K179" i="3"/>
  <c r="L179" i="3" s="1"/>
  <c r="K155" i="3"/>
  <c r="K152" i="3"/>
  <c r="K208" i="3"/>
  <c r="L208" i="3" s="1"/>
  <c r="K204" i="3"/>
  <c r="L204" i="3" s="1"/>
  <c r="K160" i="3"/>
  <c r="L160" i="3" s="1"/>
  <c r="K169" i="3"/>
  <c r="L169" i="3" s="1"/>
  <c r="K151" i="3"/>
  <c r="K137" i="3"/>
  <c r="L174" i="3"/>
  <c r="K238" i="3"/>
  <c r="L238" i="3" s="1"/>
  <c r="K212" i="3"/>
  <c r="L212" i="3" s="1"/>
  <c r="K225" i="3"/>
  <c r="L225" i="3" s="1"/>
  <c r="K171" i="3"/>
  <c r="L171" i="3" s="1"/>
  <c r="K161" i="3"/>
  <c r="L161" i="3" s="1"/>
  <c r="K143" i="3"/>
  <c r="K140" i="3"/>
  <c r="K164" i="3"/>
  <c r="L164" i="3" s="1"/>
  <c r="K184" i="3"/>
  <c r="L184" i="3" s="1"/>
  <c r="K205" i="3"/>
  <c r="L205" i="3" s="1"/>
  <c r="K192" i="3"/>
  <c r="L192" i="3" s="1"/>
  <c r="K209" i="3"/>
  <c r="L209" i="3" s="1"/>
  <c r="K185" i="3"/>
  <c r="L185" i="3" s="1"/>
  <c r="K193" i="3"/>
  <c r="L193" i="3" s="1"/>
  <c r="K218" i="3"/>
  <c r="L218" i="3" s="1"/>
  <c r="K211" i="3"/>
  <c r="L211" i="3" s="1"/>
  <c r="K203" i="3"/>
  <c r="L203" i="3" s="1"/>
  <c r="K195" i="3"/>
  <c r="L195" i="3" s="1"/>
  <c r="K187" i="3"/>
  <c r="L187" i="3" s="1"/>
  <c r="K141" i="3"/>
  <c r="K228" i="3"/>
  <c r="L228" i="3" s="1"/>
  <c r="K220" i="3"/>
  <c r="L220" i="3" s="1"/>
  <c r="K213" i="3"/>
  <c r="L213" i="3" s="1"/>
  <c r="K226" i="3"/>
  <c r="L226" i="3" s="1"/>
  <c r="K197" i="3"/>
  <c r="L197" i="3" s="1"/>
  <c r="K180" i="3"/>
  <c r="L180" i="3" s="1"/>
  <c r="K201" i="3"/>
  <c r="L201" i="3" s="1"/>
  <c r="K236" i="3"/>
  <c r="L236" i="3" s="1"/>
  <c r="K232" i="3"/>
  <c r="L232" i="3" s="1"/>
  <c r="K224" i="3"/>
  <c r="L224" i="3" s="1"/>
  <c r="K230" i="3"/>
  <c r="L230" i="3" s="1"/>
  <c r="K222" i="3"/>
  <c r="L222" i="3" s="1"/>
  <c r="K214" i="3"/>
  <c r="L214" i="3" s="1"/>
  <c r="K207" i="3"/>
  <c r="L207" i="3" s="1"/>
  <c r="K199" i="3"/>
  <c r="L199" i="3" s="1"/>
  <c r="K191" i="3"/>
  <c r="L191" i="3" s="1"/>
  <c r="D31" i="4"/>
  <c r="D41" i="4"/>
  <c r="D47" i="4"/>
  <c r="D50" i="4"/>
  <c r="D57" i="4"/>
  <c r="D110" i="4"/>
  <c r="D119" i="4"/>
  <c r="D120" i="4"/>
  <c r="D125" i="4"/>
  <c r="D134" i="4"/>
  <c r="D139" i="4"/>
  <c r="D158" i="4"/>
  <c r="D160" i="4"/>
  <c r="D30" i="4"/>
  <c r="D164" i="4"/>
  <c r="D168" i="4"/>
  <c r="D58" i="4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I69" i="3"/>
  <c r="J69" i="3"/>
  <c r="I70" i="3"/>
  <c r="J70" i="3"/>
  <c r="I71" i="3"/>
  <c r="J71" i="3"/>
  <c r="I72" i="3"/>
  <c r="J72" i="3"/>
  <c r="I73" i="3"/>
  <c r="J73" i="3"/>
  <c r="I74" i="3"/>
  <c r="J74" i="3"/>
  <c r="I75" i="3"/>
  <c r="J75" i="3"/>
  <c r="I76" i="3"/>
  <c r="J76" i="3"/>
  <c r="I77" i="3"/>
  <c r="J77" i="3"/>
  <c r="I78" i="3"/>
  <c r="J78" i="3"/>
  <c r="I79" i="3"/>
  <c r="J79" i="3"/>
  <c r="I80" i="3"/>
  <c r="J80" i="3"/>
  <c r="I81" i="3"/>
  <c r="J81" i="3"/>
  <c r="I82" i="3"/>
  <c r="J82" i="3"/>
  <c r="I83" i="3"/>
  <c r="J83" i="3"/>
  <c r="I84" i="3"/>
  <c r="J84" i="3"/>
  <c r="I85" i="3"/>
  <c r="J85" i="3"/>
  <c r="I86" i="3"/>
  <c r="J86" i="3"/>
  <c r="I87" i="3"/>
  <c r="J87" i="3"/>
  <c r="I88" i="3"/>
  <c r="J88" i="3"/>
  <c r="I89" i="3"/>
  <c r="J89" i="3"/>
  <c r="I90" i="3"/>
  <c r="J90" i="3"/>
  <c r="I91" i="3"/>
  <c r="J91" i="3"/>
  <c r="I92" i="3"/>
  <c r="J92" i="3"/>
  <c r="I93" i="3"/>
  <c r="J93" i="3"/>
  <c r="I94" i="3"/>
  <c r="J94" i="3"/>
  <c r="I95" i="3"/>
  <c r="J95" i="3"/>
  <c r="I96" i="3"/>
  <c r="J96" i="3"/>
  <c r="I97" i="3"/>
  <c r="J97" i="3"/>
  <c r="I98" i="3"/>
  <c r="J98" i="3"/>
  <c r="I99" i="3"/>
  <c r="J99" i="3"/>
  <c r="I100" i="3"/>
  <c r="J100" i="3"/>
  <c r="I101" i="3"/>
  <c r="J101" i="3"/>
  <c r="I102" i="3"/>
  <c r="J102" i="3"/>
  <c r="I350" i="3"/>
  <c r="J350" i="3"/>
  <c r="I351" i="3"/>
  <c r="J351" i="3"/>
  <c r="I352" i="3"/>
  <c r="J352" i="3"/>
  <c r="I353" i="3"/>
  <c r="J353" i="3"/>
  <c r="I354" i="3"/>
  <c r="J354" i="3"/>
  <c r="I355" i="3"/>
  <c r="J355" i="3"/>
  <c r="I356" i="3"/>
  <c r="J356" i="3"/>
  <c r="I357" i="3"/>
  <c r="J357" i="3"/>
  <c r="I358" i="3"/>
  <c r="J358" i="3"/>
  <c r="I359" i="3"/>
  <c r="J359" i="3"/>
  <c r="I360" i="3"/>
  <c r="J360" i="3"/>
  <c r="I361" i="3"/>
  <c r="J361" i="3"/>
  <c r="I362" i="3"/>
  <c r="J362" i="3"/>
  <c r="I363" i="3"/>
  <c r="J363" i="3"/>
  <c r="I364" i="3"/>
  <c r="J364" i="3"/>
  <c r="I365" i="3"/>
  <c r="J365" i="3"/>
  <c r="I366" i="3"/>
  <c r="J366" i="3"/>
  <c r="I367" i="3"/>
  <c r="J367" i="3"/>
  <c r="I368" i="3"/>
  <c r="J368" i="3"/>
  <c r="I369" i="3"/>
  <c r="J369" i="3"/>
  <c r="I370" i="3"/>
  <c r="J370" i="3"/>
  <c r="I371" i="3"/>
  <c r="J371" i="3"/>
  <c r="I372" i="3"/>
  <c r="J372" i="3"/>
  <c r="I373" i="3"/>
  <c r="J373" i="3"/>
  <c r="I374" i="3"/>
  <c r="J374" i="3"/>
  <c r="I375" i="3"/>
  <c r="J375" i="3"/>
  <c r="I376" i="3"/>
  <c r="J376" i="3"/>
  <c r="I377" i="3"/>
  <c r="J377" i="3"/>
  <c r="I378" i="3"/>
  <c r="J378" i="3"/>
  <c r="I379" i="3"/>
  <c r="J379" i="3"/>
  <c r="I380" i="3"/>
  <c r="J380" i="3"/>
  <c r="I381" i="3"/>
  <c r="J381" i="3"/>
  <c r="I382" i="3"/>
  <c r="J382" i="3"/>
  <c r="I383" i="3"/>
  <c r="J383" i="3"/>
  <c r="I384" i="3"/>
  <c r="J384" i="3"/>
  <c r="I385" i="3"/>
  <c r="J385" i="3"/>
  <c r="I386" i="3"/>
  <c r="J386" i="3"/>
  <c r="I387" i="3"/>
  <c r="J387" i="3"/>
  <c r="I388" i="3"/>
  <c r="J388" i="3"/>
  <c r="I389" i="3"/>
  <c r="J389" i="3"/>
  <c r="I390" i="3"/>
  <c r="J390" i="3"/>
  <c r="I391" i="3"/>
  <c r="J391" i="3"/>
  <c r="I392" i="3"/>
  <c r="J392" i="3"/>
  <c r="I393" i="3"/>
  <c r="J393" i="3"/>
  <c r="I394" i="3"/>
  <c r="J394" i="3"/>
  <c r="I395" i="3"/>
  <c r="J395" i="3"/>
  <c r="I396" i="3"/>
  <c r="J396" i="3"/>
  <c r="I397" i="3"/>
  <c r="J397" i="3"/>
  <c r="I398" i="3"/>
  <c r="J398" i="3"/>
  <c r="I399" i="3"/>
  <c r="J399" i="3"/>
  <c r="I400" i="3"/>
  <c r="J400" i="3"/>
  <c r="I401" i="3"/>
  <c r="J401" i="3"/>
  <c r="I402" i="3"/>
  <c r="J402" i="3"/>
  <c r="I403" i="3"/>
  <c r="J403" i="3"/>
  <c r="I404" i="3"/>
  <c r="J404" i="3"/>
  <c r="I405" i="3"/>
  <c r="J405" i="3"/>
  <c r="I406" i="3"/>
  <c r="J406" i="3"/>
  <c r="I407" i="3"/>
  <c r="J407" i="3"/>
  <c r="I408" i="3"/>
  <c r="J408" i="3"/>
  <c r="I409" i="3"/>
  <c r="J409" i="3"/>
  <c r="I410" i="3"/>
  <c r="J410" i="3"/>
  <c r="I411" i="3"/>
  <c r="J411" i="3"/>
  <c r="I412" i="3"/>
  <c r="J412" i="3"/>
  <c r="I413" i="3"/>
  <c r="J413" i="3"/>
  <c r="I414" i="3"/>
  <c r="J414" i="3"/>
  <c r="I415" i="3"/>
  <c r="J415" i="3"/>
  <c r="I416" i="3"/>
  <c r="J416" i="3"/>
  <c r="I417" i="3"/>
  <c r="J417" i="3"/>
  <c r="I418" i="3"/>
  <c r="J418" i="3"/>
  <c r="I419" i="3"/>
  <c r="J419" i="3"/>
  <c r="I420" i="3"/>
  <c r="J420" i="3"/>
  <c r="I421" i="3"/>
  <c r="J421" i="3"/>
  <c r="I422" i="3"/>
  <c r="J422" i="3"/>
  <c r="I423" i="3"/>
  <c r="J423" i="3"/>
  <c r="I424" i="3"/>
  <c r="J424" i="3"/>
  <c r="I425" i="3"/>
  <c r="J425" i="3"/>
  <c r="I426" i="3"/>
  <c r="J426" i="3"/>
  <c r="I427" i="3"/>
  <c r="J427" i="3"/>
  <c r="I428" i="3"/>
  <c r="J428" i="3"/>
  <c r="I429" i="3"/>
  <c r="J429" i="3"/>
  <c r="I430" i="3"/>
  <c r="J430" i="3"/>
  <c r="I431" i="3"/>
  <c r="J431" i="3"/>
  <c r="I432" i="3"/>
  <c r="J432" i="3"/>
  <c r="I433" i="3"/>
  <c r="J433" i="3"/>
  <c r="I434" i="3"/>
  <c r="J434" i="3"/>
  <c r="I435" i="3"/>
  <c r="J435" i="3"/>
  <c r="I436" i="3"/>
  <c r="J436" i="3"/>
  <c r="I437" i="3"/>
  <c r="J437" i="3"/>
  <c r="I438" i="3"/>
  <c r="J438" i="3"/>
  <c r="I439" i="3"/>
  <c r="J439" i="3"/>
  <c r="I440" i="3"/>
  <c r="J440" i="3"/>
  <c r="I441" i="3"/>
  <c r="J441" i="3"/>
  <c r="I442" i="3"/>
  <c r="J442" i="3"/>
  <c r="I443" i="3"/>
  <c r="J443" i="3"/>
  <c r="I444" i="3"/>
  <c r="J444" i="3"/>
  <c r="I445" i="3"/>
  <c r="J445" i="3"/>
  <c r="I446" i="3"/>
  <c r="J446" i="3"/>
  <c r="I447" i="3"/>
  <c r="J447" i="3"/>
  <c r="I448" i="3"/>
  <c r="J448" i="3"/>
  <c r="I449" i="3"/>
  <c r="J449" i="3"/>
  <c r="I450" i="3"/>
  <c r="J450" i="3"/>
  <c r="I451" i="3"/>
  <c r="J451" i="3"/>
  <c r="I452" i="3"/>
  <c r="J452" i="3"/>
  <c r="I453" i="3"/>
  <c r="J453" i="3"/>
  <c r="I454" i="3"/>
  <c r="J454" i="3"/>
  <c r="I455" i="3"/>
  <c r="J455" i="3"/>
  <c r="I456" i="3"/>
  <c r="J456" i="3"/>
  <c r="I457" i="3"/>
  <c r="J457" i="3"/>
  <c r="I458" i="3"/>
  <c r="J458" i="3"/>
  <c r="I459" i="3"/>
  <c r="J459" i="3"/>
  <c r="I460" i="3"/>
  <c r="J460" i="3"/>
  <c r="I461" i="3"/>
  <c r="J461" i="3"/>
  <c r="I462" i="3"/>
  <c r="J462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H103" i="3"/>
  <c r="H104" i="3"/>
  <c r="H105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3" i="4"/>
  <c r="B3" i="4"/>
  <c r="H159" i="3"/>
  <c r="H158" i="3"/>
  <c r="L158" i="3" s="1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J134" i="3"/>
  <c r="I134" i="3"/>
  <c r="H134" i="3"/>
  <c r="J133" i="3"/>
  <c r="I133" i="3"/>
  <c r="H133" i="3"/>
  <c r="J132" i="3"/>
  <c r="I132" i="3"/>
  <c r="H132" i="3"/>
  <c r="J131" i="3"/>
  <c r="I131" i="3"/>
  <c r="H131" i="3"/>
  <c r="J130" i="3"/>
  <c r="I130" i="3"/>
  <c r="H130" i="3"/>
  <c r="J129" i="3"/>
  <c r="I129" i="3"/>
  <c r="H129" i="3"/>
  <c r="J128" i="3"/>
  <c r="I128" i="3"/>
  <c r="H128" i="3"/>
  <c r="J127" i="3"/>
  <c r="I127" i="3"/>
  <c r="H127" i="3"/>
  <c r="J126" i="3"/>
  <c r="I126" i="3"/>
  <c r="H126" i="3"/>
  <c r="J125" i="3"/>
  <c r="I125" i="3"/>
  <c r="H125" i="3"/>
  <c r="J124" i="3"/>
  <c r="I124" i="3"/>
  <c r="H124" i="3"/>
  <c r="J123" i="3"/>
  <c r="I123" i="3"/>
  <c r="H123" i="3"/>
  <c r="J122" i="3"/>
  <c r="I122" i="3"/>
  <c r="H122" i="3"/>
  <c r="J121" i="3"/>
  <c r="I121" i="3"/>
  <c r="H121" i="3"/>
  <c r="J120" i="3"/>
  <c r="I120" i="3"/>
  <c r="H120" i="3"/>
  <c r="J119" i="3"/>
  <c r="I119" i="3"/>
  <c r="H119" i="3"/>
  <c r="J118" i="3"/>
  <c r="I118" i="3"/>
  <c r="H118" i="3"/>
  <c r="J117" i="3"/>
  <c r="I117" i="3"/>
  <c r="H117" i="3"/>
  <c r="J116" i="3"/>
  <c r="I116" i="3"/>
  <c r="H116" i="3"/>
  <c r="J115" i="3"/>
  <c r="I115" i="3"/>
  <c r="H115" i="3"/>
  <c r="J114" i="3"/>
  <c r="I114" i="3"/>
  <c r="H114" i="3"/>
  <c r="J113" i="3"/>
  <c r="I113" i="3"/>
  <c r="H113" i="3"/>
  <c r="J112" i="3"/>
  <c r="I112" i="3"/>
  <c r="H112" i="3"/>
  <c r="J111" i="3"/>
  <c r="I111" i="3"/>
  <c r="H111" i="3"/>
  <c r="J110" i="3"/>
  <c r="I110" i="3"/>
  <c r="H110" i="3"/>
  <c r="J109" i="3"/>
  <c r="I109" i="3"/>
  <c r="H109" i="3"/>
  <c r="J108" i="3"/>
  <c r="I108" i="3"/>
  <c r="H108" i="3"/>
  <c r="J107" i="3"/>
  <c r="I107" i="3"/>
  <c r="H107" i="3"/>
  <c r="J106" i="3"/>
  <c r="I106" i="3"/>
  <c r="H106" i="3"/>
  <c r="J105" i="3"/>
  <c r="I105" i="3"/>
  <c r="J104" i="3"/>
  <c r="I104" i="3"/>
  <c r="J103" i="3"/>
  <c r="I103" i="3"/>
  <c r="J68" i="3"/>
  <c r="I68" i="3"/>
  <c r="J67" i="3"/>
  <c r="I67" i="3"/>
  <c r="J66" i="3"/>
  <c r="I66" i="3"/>
  <c r="J65" i="3"/>
  <c r="I65" i="3"/>
  <c r="J64" i="3"/>
  <c r="I64" i="3"/>
  <c r="J63" i="3"/>
  <c r="I63" i="3"/>
  <c r="J62" i="3"/>
  <c r="I62" i="3"/>
  <c r="J61" i="3"/>
  <c r="I61" i="3"/>
  <c r="J60" i="3"/>
  <c r="I60" i="3"/>
  <c r="J59" i="3"/>
  <c r="I59" i="3"/>
  <c r="J58" i="3"/>
  <c r="I58" i="3"/>
  <c r="J57" i="3"/>
  <c r="I57" i="3"/>
  <c r="J56" i="3"/>
  <c r="I56" i="3"/>
  <c r="J55" i="3"/>
  <c r="I55" i="3"/>
  <c r="J54" i="3"/>
  <c r="I54" i="3"/>
  <c r="J53" i="3"/>
  <c r="I53" i="3"/>
  <c r="J52" i="3"/>
  <c r="I52" i="3"/>
  <c r="J51" i="3"/>
  <c r="I51" i="3"/>
  <c r="J35" i="3"/>
  <c r="I35" i="3"/>
  <c r="J34" i="3"/>
  <c r="I34" i="3"/>
  <c r="J33" i="3"/>
  <c r="I33" i="3"/>
  <c r="J32" i="3"/>
  <c r="I32" i="3"/>
  <c r="J31" i="3"/>
  <c r="I31" i="3"/>
  <c r="J30" i="3"/>
  <c r="I30" i="3"/>
  <c r="J29" i="3"/>
  <c r="I29" i="3"/>
  <c r="J28" i="3"/>
  <c r="I28" i="3"/>
  <c r="J27" i="3"/>
  <c r="I27" i="3"/>
  <c r="J26" i="3"/>
  <c r="I26" i="3"/>
  <c r="J25" i="3"/>
  <c r="I25" i="3"/>
  <c r="J24" i="3"/>
  <c r="I24" i="3"/>
  <c r="J23" i="3"/>
  <c r="I23" i="3"/>
  <c r="J22" i="3"/>
  <c r="I22" i="3"/>
  <c r="J21" i="3"/>
  <c r="I21" i="3"/>
  <c r="J20" i="3"/>
  <c r="I20" i="3"/>
  <c r="J19" i="3"/>
  <c r="I19" i="3"/>
  <c r="J18" i="3"/>
  <c r="I18" i="3"/>
  <c r="J17" i="3"/>
  <c r="I17" i="3"/>
  <c r="J16" i="3"/>
  <c r="I16" i="3"/>
  <c r="J15" i="3"/>
  <c r="I15" i="3"/>
  <c r="J14" i="3"/>
  <c r="I14" i="3"/>
  <c r="J13" i="3"/>
  <c r="I13" i="3"/>
  <c r="J12" i="3"/>
  <c r="I12" i="3"/>
  <c r="J11" i="3"/>
  <c r="I11" i="3"/>
  <c r="J10" i="3"/>
  <c r="I10" i="3"/>
  <c r="J9" i="3"/>
  <c r="I9" i="3"/>
  <c r="J8" i="3"/>
  <c r="I8" i="3"/>
  <c r="J7" i="3"/>
  <c r="I7" i="3"/>
  <c r="J6" i="3"/>
  <c r="I6" i="3"/>
  <c r="J5" i="3"/>
  <c r="I5" i="3"/>
  <c r="J4" i="3"/>
  <c r="I4" i="3"/>
  <c r="J3" i="3"/>
  <c r="I3" i="3"/>
  <c r="J2" i="3"/>
  <c r="I2" i="3"/>
  <c r="D42" i="4" l="1"/>
  <c r="D167" i="4"/>
  <c r="D126" i="4"/>
  <c r="D148" i="4"/>
  <c r="D180" i="4"/>
  <c r="L155" i="3"/>
  <c r="L149" i="3"/>
  <c r="L157" i="3"/>
  <c r="L159" i="3"/>
  <c r="L154" i="3"/>
  <c r="L153" i="3"/>
  <c r="L152" i="3"/>
  <c r="L151" i="3"/>
  <c r="L145" i="3"/>
  <c r="L144" i="3"/>
  <c r="L143" i="3"/>
  <c r="L138" i="3"/>
  <c r="L137" i="3"/>
  <c r="L136" i="3"/>
  <c r="L150" i="3"/>
  <c r="L147" i="3"/>
  <c r="L140" i="3"/>
  <c r="L142" i="3"/>
  <c r="L139" i="3"/>
  <c r="L148" i="3"/>
  <c r="L156" i="3"/>
  <c r="L135" i="3"/>
  <c r="L146" i="3"/>
  <c r="L141" i="3"/>
  <c r="K99" i="3"/>
  <c r="L99" i="3" s="1"/>
  <c r="K82" i="3"/>
  <c r="L82" i="3" s="1"/>
  <c r="K80" i="3"/>
  <c r="L80" i="3" s="1"/>
  <c r="K73" i="3"/>
  <c r="L73" i="3" s="1"/>
  <c r="B167" i="4"/>
  <c r="C167" i="4"/>
  <c r="C171" i="4"/>
  <c r="B171" i="4"/>
  <c r="C170" i="4"/>
  <c r="B170" i="4"/>
  <c r="C169" i="4"/>
  <c r="B169" i="4"/>
  <c r="C168" i="4"/>
  <c r="B168" i="4"/>
  <c r="C123" i="4"/>
  <c r="C122" i="4"/>
  <c r="B122" i="4"/>
  <c r="B121" i="4"/>
  <c r="C120" i="4"/>
  <c r="C119" i="4"/>
  <c r="B118" i="4"/>
  <c r="B117" i="4"/>
  <c r="B116" i="4"/>
  <c r="B115" i="4"/>
  <c r="B114" i="4"/>
  <c r="B113" i="4"/>
  <c r="C111" i="4"/>
  <c r="B110" i="4"/>
  <c r="C108" i="4"/>
  <c r="B107" i="4"/>
  <c r="C105" i="4"/>
  <c r="C104" i="4"/>
  <c r="C101" i="4"/>
  <c r="B100" i="4"/>
  <c r="C98" i="4"/>
  <c r="B97" i="4"/>
  <c r="C95" i="4"/>
  <c r="C93" i="4"/>
  <c r="B92" i="4"/>
  <c r="C89" i="4"/>
  <c r="B88" i="4"/>
  <c r="B85" i="4"/>
  <c r="C83" i="4"/>
  <c r="B82" i="4"/>
  <c r="C80" i="4"/>
  <c r="B78" i="4"/>
  <c r="C76" i="4"/>
  <c r="B75" i="4"/>
  <c r="C73" i="4"/>
  <c r="B72" i="4"/>
  <c r="C70" i="4"/>
  <c r="B68" i="4"/>
  <c r="C66" i="4"/>
  <c r="B65" i="4"/>
  <c r="C63" i="4"/>
  <c r="B62" i="4"/>
  <c r="C60" i="4"/>
  <c r="B59" i="4"/>
  <c r="C57" i="4"/>
  <c r="B56" i="4"/>
  <c r="C54" i="4"/>
  <c r="C51" i="4"/>
  <c r="B50" i="4"/>
  <c r="B48" i="4"/>
  <c r="C46" i="4"/>
  <c r="B44" i="4"/>
  <c r="C42" i="4"/>
  <c r="B40" i="4"/>
  <c r="B38" i="4"/>
  <c r="C35" i="4"/>
  <c r="C34" i="4"/>
  <c r="C32" i="4"/>
  <c r="C30" i="4"/>
  <c r="B29" i="4"/>
  <c r="C27" i="4"/>
  <c r="C25" i="4"/>
  <c r="C24" i="4"/>
  <c r="B23" i="4"/>
  <c r="C21" i="4"/>
  <c r="B20" i="4"/>
  <c r="C18" i="4"/>
  <c r="B17" i="4"/>
  <c r="C15" i="4"/>
  <c r="B14" i="4"/>
  <c r="C12" i="4"/>
  <c r="B11" i="4"/>
  <c r="C9" i="4"/>
  <c r="B8" i="4"/>
  <c r="C6" i="4"/>
  <c r="C5" i="4"/>
  <c r="B4" i="4"/>
  <c r="B123" i="4"/>
  <c r="C121" i="4"/>
  <c r="B120" i="4"/>
  <c r="B119" i="4"/>
  <c r="C118" i="4"/>
  <c r="C117" i="4"/>
  <c r="C116" i="4"/>
  <c r="C115" i="4"/>
  <c r="C114" i="4"/>
  <c r="C113" i="4"/>
  <c r="B112" i="4"/>
  <c r="C110" i="4"/>
  <c r="C109" i="4"/>
  <c r="B108" i="4"/>
  <c r="C106" i="4"/>
  <c r="B105" i="4"/>
  <c r="B104" i="4"/>
  <c r="B103" i="4"/>
  <c r="B102" i="4"/>
  <c r="B101" i="4"/>
  <c r="B99" i="4"/>
  <c r="B98" i="4"/>
  <c r="C96" i="4"/>
  <c r="B95" i="4"/>
  <c r="C94" i="4"/>
  <c r="B93" i="4"/>
  <c r="C91" i="4"/>
  <c r="B90" i="4"/>
  <c r="C88" i="4"/>
  <c r="B87" i="4"/>
  <c r="C86" i="4"/>
  <c r="C85" i="4"/>
  <c r="B84" i="4"/>
  <c r="C82" i="4"/>
  <c r="B81" i="4"/>
  <c r="C79" i="4"/>
  <c r="C78" i="4"/>
  <c r="B77" i="4"/>
  <c r="B76" i="4"/>
  <c r="C74" i="4"/>
  <c r="B73" i="4"/>
  <c r="C71" i="4"/>
  <c r="B70" i="4"/>
  <c r="B69" i="4"/>
  <c r="C67" i="4"/>
  <c r="B66" i="4"/>
  <c r="C64" i="4"/>
  <c r="B63" i="4"/>
  <c r="C61" i="4"/>
  <c r="B60" i="4"/>
  <c r="C58" i="4"/>
  <c r="B57" i="4"/>
  <c r="C55" i="4"/>
  <c r="B54" i="4"/>
  <c r="B53" i="4"/>
  <c r="B52" i="4"/>
  <c r="C50" i="4"/>
  <c r="B49" i="4"/>
  <c r="C47" i="4"/>
  <c r="B46" i="4"/>
  <c r="B45" i="4"/>
  <c r="C43" i="4"/>
  <c r="C41" i="4"/>
  <c r="C40" i="4"/>
  <c r="B39" i="4"/>
  <c r="C37" i="4"/>
  <c r="C36" i="4"/>
  <c r="B35" i="4"/>
  <c r="C33" i="4"/>
  <c r="B32" i="4"/>
  <c r="B30" i="4"/>
  <c r="C28" i="4"/>
  <c r="B27" i="4"/>
  <c r="B26" i="4"/>
  <c r="B24" i="4"/>
  <c r="C22" i="4"/>
  <c r="B21" i="4"/>
  <c r="C19" i="4"/>
  <c r="C17" i="4"/>
  <c r="B16" i="4"/>
  <c r="B15" i="4"/>
  <c r="C13" i="4"/>
  <c r="B12" i="4"/>
  <c r="B10" i="4"/>
  <c r="C8" i="4"/>
  <c r="B7" i="4"/>
  <c r="C2" i="4"/>
  <c r="B2" i="4"/>
  <c r="C166" i="4"/>
  <c r="B166" i="4"/>
  <c r="C165" i="4"/>
  <c r="B165" i="4"/>
  <c r="C164" i="4"/>
  <c r="B164" i="4"/>
  <c r="C163" i="4"/>
  <c r="B163" i="4"/>
  <c r="C162" i="4"/>
  <c r="B162" i="4"/>
  <c r="C161" i="4"/>
  <c r="B161" i="4"/>
  <c r="C160" i="4"/>
  <c r="B160" i="4"/>
  <c r="C159" i="4"/>
  <c r="B159" i="4"/>
  <c r="C158" i="4"/>
  <c r="B158" i="4"/>
  <c r="C157" i="4"/>
  <c r="B157" i="4"/>
  <c r="C156" i="4"/>
  <c r="B156" i="4"/>
  <c r="C155" i="4"/>
  <c r="B155" i="4"/>
  <c r="C154" i="4"/>
  <c r="B154" i="4"/>
  <c r="C153" i="4"/>
  <c r="B153" i="4"/>
  <c r="C152" i="4"/>
  <c r="B152" i="4"/>
  <c r="C151" i="4"/>
  <c r="B151" i="4"/>
  <c r="C150" i="4"/>
  <c r="B150" i="4"/>
  <c r="C149" i="4"/>
  <c r="B149" i="4"/>
  <c r="C148" i="4"/>
  <c r="B148" i="4"/>
  <c r="C147" i="4"/>
  <c r="B147" i="4"/>
  <c r="C146" i="4"/>
  <c r="B146" i="4"/>
  <c r="C145" i="4"/>
  <c r="B145" i="4"/>
  <c r="C144" i="4"/>
  <c r="B144" i="4"/>
  <c r="C143" i="4"/>
  <c r="B143" i="4"/>
  <c r="C142" i="4"/>
  <c r="B142" i="4"/>
  <c r="C141" i="4"/>
  <c r="B141" i="4"/>
  <c r="C140" i="4"/>
  <c r="B140" i="4"/>
  <c r="C139" i="4"/>
  <c r="B139" i="4"/>
  <c r="C138" i="4"/>
  <c r="B138" i="4"/>
  <c r="C137" i="4"/>
  <c r="B137" i="4"/>
  <c r="C136" i="4"/>
  <c r="B136" i="4"/>
  <c r="C135" i="4"/>
  <c r="B135" i="4"/>
  <c r="C134" i="4"/>
  <c r="B134" i="4"/>
  <c r="C133" i="4"/>
  <c r="B133" i="4"/>
  <c r="C132" i="4"/>
  <c r="B132" i="4"/>
  <c r="C131" i="4"/>
  <c r="B131" i="4"/>
  <c r="C130" i="4"/>
  <c r="B130" i="4"/>
  <c r="C129" i="4"/>
  <c r="B129" i="4"/>
  <c r="C128" i="4"/>
  <c r="B128" i="4"/>
  <c r="C127" i="4"/>
  <c r="B127" i="4"/>
  <c r="C126" i="4"/>
  <c r="B126" i="4"/>
  <c r="C125" i="4"/>
  <c r="B125" i="4"/>
  <c r="C124" i="4"/>
  <c r="B124" i="4"/>
  <c r="C112" i="4"/>
  <c r="B111" i="4"/>
  <c r="B109" i="4"/>
  <c r="C107" i="4"/>
  <c r="B106" i="4"/>
  <c r="C103" i="4"/>
  <c r="C102" i="4"/>
  <c r="C100" i="4"/>
  <c r="C99" i="4"/>
  <c r="C97" i="4"/>
  <c r="B96" i="4"/>
  <c r="B94" i="4"/>
  <c r="C92" i="4"/>
  <c r="B91" i="4"/>
  <c r="C90" i="4"/>
  <c r="B89" i="4"/>
  <c r="C87" i="4"/>
  <c r="B86" i="4"/>
  <c r="C84" i="4"/>
  <c r="B83" i="4"/>
  <c r="C81" i="4"/>
  <c r="B80" i="4"/>
  <c r="B79" i="4"/>
  <c r="C77" i="4"/>
  <c r="C75" i="4"/>
  <c r="B74" i="4"/>
  <c r="C72" i="4"/>
  <c r="B71" i="4"/>
  <c r="C69" i="4"/>
  <c r="C68" i="4"/>
  <c r="B67" i="4"/>
  <c r="C65" i="4"/>
  <c r="B64" i="4"/>
  <c r="C62" i="4"/>
  <c r="B61" i="4"/>
  <c r="C59" i="4"/>
  <c r="B58" i="4"/>
  <c r="C56" i="4"/>
  <c r="B55" i="4"/>
  <c r="C53" i="4"/>
  <c r="C52" i="4"/>
  <c r="B51" i="4"/>
  <c r="C49" i="4"/>
  <c r="C48" i="4"/>
  <c r="B47" i="4"/>
  <c r="C45" i="4"/>
  <c r="C44" i="4"/>
  <c r="B43" i="4"/>
  <c r="B42" i="4"/>
  <c r="B41" i="4"/>
  <c r="C39" i="4"/>
  <c r="C38" i="4"/>
  <c r="B37" i="4"/>
  <c r="B36" i="4"/>
  <c r="B34" i="4"/>
  <c r="B33" i="4"/>
  <c r="C31" i="4"/>
  <c r="B31" i="4"/>
  <c r="C29" i="4"/>
  <c r="B28" i="4"/>
  <c r="C26" i="4"/>
  <c r="B25" i="4"/>
  <c r="C23" i="4"/>
  <c r="B22" i="4"/>
  <c r="C20" i="4"/>
  <c r="B19" i="4"/>
  <c r="B18" i="4"/>
  <c r="C16" i="4"/>
  <c r="C14" i="4"/>
  <c r="B13" i="4"/>
  <c r="C11" i="4"/>
  <c r="C10" i="4"/>
  <c r="B9" i="4"/>
  <c r="C7" i="4"/>
  <c r="B6" i="4"/>
  <c r="B5" i="4"/>
  <c r="C4" i="4"/>
  <c r="K85" i="3"/>
  <c r="L85" i="3" s="1"/>
  <c r="K83" i="3"/>
  <c r="L83" i="3" s="1"/>
  <c r="K79" i="3"/>
  <c r="L79" i="3" s="1"/>
  <c r="D115" i="4"/>
  <c r="K93" i="3"/>
  <c r="L93" i="3" s="1"/>
  <c r="K88" i="3"/>
  <c r="L88" i="3" s="1"/>
  <c r="K70" i="3"/>
  <c r="L70" i="3" s="1"/>
  <c r="K101" i="3"/>
  <c r="L101" i="3" s="1"/>
  <c r="K81" i="3"/>
  <c r="L81" i="3" s="1"/>
  <c r="K77" i="3"/>
  <c r="L77" i="3" s="1"/>
  <c r="K94" i="3"/>
  <c r="L94" i="3" s="1"/>
  <c r="K91" i="3"/>
  <c r="L91" i="3" s="1"/>
  <c r="K87" i="3"/>
  <c r="L87" i="3" s="1"/>
  <c r="K97" i="3"/>
  <c r="L97" i="3" s="1"/>
  <c r="K100" i="3"/>
  <c r="L100" i="3" s="1"/>
  <c r="K74" i="3"/>
  <c r="L74" i="3" s="1"/>
  <c r="K102" i="3"/>
  <c r="L102" i="3" s="1"/>
  <c r="K89" i="3"/>
  <c r="L89" i="3" s="1"/>
  <c r="K95" i="3"/>
  <c r="L95" i="3" s="1"/>
  <c r="K92" i="3"/>
  <c r="L92" i="3" s="1"/>
  <c r="K72" i="3"/>
  <c r="L72" i="3" s="1"/>
  <c r="K75" i="3"/>
  <c r="L75" i="3" s="1"/>
  <c r="K96" i="3"/>
  <c r="L96" i="3" s="1"/>
  <c r="K98" i="3"/>
  <c r="L98" i="3" s="1"/>
  <c r="K90" i="3"/>
  <c r="L90" i="3" s="1"/>
  <c r="K84" i="3"/>
  <c r="L84" i="3" s="1"/>
  <c r="K76" i="3"/>
  <c r="L76" i="3" s="1"/>
  <c r="K69" i="3"/>
  <c r="L69" i="3" s="1"/>
  <c r="K86" i="3"/>
  <c r="L86" i="3" s="1"/>
  <c r="K78" i="3"/>
  <c r="L78" i="3" s="1"/>
  <c r="K71" i="3"/>
  <c r="L71" i="3" s="1"/>
  <c r="K353" i="3"/>
  <c r="L353" i="3" s="1"/>
  <c r="K366" i="3"/>
  <c r="L366" i="3" s="1"/>
  <c r="K334" i="3"/>
  <c r="L334" i="3" s="1"/>
  <c r="K326" i="3"/>
  <c r="L326" i="3" s="1"/>
  <c r="K318" i="3"/>
  <c r="L318" i="3" s="1"/>
  <c r="K310" i="3"/>
  <c r="L310" i="3" s="1"/>
  <c r="K302" i="3"/>
  <c r="L302" i="3" s="1"/>
  <c r="K294" i="3"/>
  <c r="L294" i="3" s="1"/>
  <c r="K286" i="3"/>
  <c r="L286" i="3" s="1"/>
  <c r="K278" i="3"/>
  <c r="L278" i="3" s="1"/>
  <c r="K270" i="3"/>
  <c r="L270" i="3" s="1"/>
  <c r="K262" i="3"/>
  <c r="L262" i="3" s="1"/>
  <c r="K254" i="3"/>
  <c r="L254" i="3" s="1"/>
  <c r="K246" i="3"/>
  <c r="L246" i="3" s="1"/>
  <c r="K359" i="3"/>
  <c r="L359" i="3" s="1"/>
  <c r="K342" i="3"/>
  <c r="L342" i="3" s="1"/>
  <c r="K269" i="3"/>
  <c r="L269" i="3" s="1"/>
  <c r="K261" i="3"/>
  <c r="L261" i="3" s="1"/>
  <c r="K253" i="3"/>
  <c r="L253" i="3" s="1"/>
  <c r="D49" i="4" s="1"/>
  <c r="K245" i="3"/>
  <c r="L245" i="3" s="1"/>
  <c r="K439" i="3"/>
  <c r="L439" i="3" s="1"/>
  <c r="K415" i="3"/>
  <c r="L415" i="3" s="1"/>
  <c r="K391" i="3"/>
  <c r="L391" i="3" s="1"/>
  <c r="K43" i="3"/>
  <c r="L43" i="3" s="1"/>
  <c r="K389" i="3"/>
  <c r="L389" i="3" s="1"/>
  <c r="K385" i="3"/>
  <c r="L385" i="3" s="1"/>
  <c r="K381" i="3"/>
  <c r="L381" i="3" s="1"/>
  <c r="K377" i="3"/>
  <c r="L377" i="3" s="1"/>
  <c r="K369" i="3"/>
  <c r="L369" i="3" s="1"/>
  <c r="K365" i="3"/>
  <c r="L365" i="3" s="1"/>
  <c r="K361" i="3"/>
  <c r="L361" i="3" s="1"/>
  <c r="D169" i="4"/>
  <c r="K456" i="3"/>
  <c r="L456" i="3" s="1"/>
  <c r="K412" i="3"/>
  <c r="L412" i="3" s="1"/>
  <c r="K409" i="3"/>
  <c r="L409" i="3" s="1"/>
  <c r="K397" i="3"/>
  <c r="L397" i="3" s="1"/>
  <c r="K400" i="3"/>
  <c r="L400" i="3" s="1"/>
  <c r="K273" i="3"/>
  <c r="L273" i="3" s="1"/>
  <c r="K265" i="3"/>
  <c r="L265" i="3" s="1"/>
  <c r="K257" i="3"/>
  <c r="L257" i="3" s="1"/>
  <c r="K249" i="3"/>
  <c r="L249" i="3" s="1"/>
  <c r="K241" i="3"/>
  <c r="L241" i="3" s="1"/>
  <c r="K344" i="3"/>
  <c r="L344" i="3" s="1"/>
  <c r="D124" i="4" s="1"/>
  <c r="K336" i="3"/>
  <c r="L336" i="3" s="1"/>
  <c r="D53" i="4" s="1"/>
  <c r="K328" i="3"/>
  <c r="L328" i="3" s="1"/>
  <c r="K320" i="3"/>
  <c r="L320" i="3" s="1"/>
  <c r="K312" i="3"/>
  <c r="L312" i="3" s="1"/>
  <c r="K304" i="3"/>
  <c r="L304" i="3" s="1"/>
  <c r="K296" i="3"/>
  <c r="L296" i="3" s="1"/>
  <c r="D150" i="4" s="1"/>
  <c r="K288" i="3"/>
  <c r="L288" i="3" s="1"/>
  <c r="K280" i="3"/>
  <c r="L280" i="3" s="1"/>
  <c r="K272" i="3"/>
  <c r="L272" i="3" s="1"/>
  <c r="K264" i="3"/>
  <c r="L264" i="3" s="1"/>
  <c r="K256" i="3"/>
  <c r="L256" i="3" s="1"/>
  <c r="K248" i="3"/>
  <c r="L248" i="3" s="1"/>
  <c r="K240" i="3"/>
  <c r="L240" i="3" s="1"/>
  <c r="K442" i="3"/>
  <c r="L442" i="3" s="1"/>
  <c r="K45" i="3"/>
  <c r="L45" i="3" s="1"/>
  <c r="K37" i="3"/>
  <c r="L37" i="3" s="1"/>
  <c r="K413" i="3"/>
  <c r="L413" i="3" s="1"/>
  <c r="K406" i="3"/>
  <c r="L406" i="3" s="1"/>
  <c r="K394" i="3"/>
  <c r="L394" i="3" s="1"/>
  <c r="K421" i="3"/>
  <c r="L421" i="3" s="1"/>
  <c r="K358" i="3"/>
  <c r="L358" i="3" s="1"/>
  <c r="K354" i="3"/>
  <c r="L354" i="3" s="1"/>
  <c r="K349" i="3"/>
  <c r="L349" i="3" s="1"/>
  <c r="K341" i="3"/>
  <c r="L341" i="3" s="1"/>
  <c r="K333" i="3"/>
  <c r="L333" i="3" s="1"/>
  <c r="D94" i="4" s="1"/>
  <c r="K325" i="3"/>
  <c r="L325" i="3" s="1"/>
  <c r="D161" i="4" s="1"/>
  <c r="K317" i="3"/>
  <c r="L317" i="3" s="1"/>
  <c r="K309" i="3"/>
  <c r="L309" i="3" s="1"/>
  <c r="K301" i="3"/>
  <c r="L301" i="3" s="1"/>
  <c r="K293" i="3"/>
  <c r="L293" i="3" s="1"/>
  <c r="K285" i="3"/>
  <c r="L285" i="3" s="1"/>
  <c r="K277" i="3"/>
  <c r="L277" i="3" s="1"/>
  <c r="K441" i="3"/>
  <c r="L441" i="3" s="1"/>
  <c r="K407" i="3"/>
  <c r="L407" i="3" s="1"/>
  <c r="K399" i="3"/>
  <c r="L399" i="3" s="1"/>
  <c r="D129" i="4" s="1"/>
  <c r="K380" i="3"/>
  <c r="L380" i="3" s="1"/>
  <c r="K372" i="3"/>
  <c r="L372" i="3" s="1"/>
  <c r="K357" i="3"/>
  <c r="L357" i="3" s="1"/>
  <c r="D67" i="4" s="1"/>
  <c r="K276" i="3"/>
  <c r="L276" i="3" s="1"/>
  <c r="D176" i="4" s="1"/>
  <c r="K268" i="3"/>
  <c r="L268" i="3" s="1"/>
  <c r="K260" i="3"/>
  <c r="L260" i="3" s="1"/>
  <c r="K252" i="3"/>
  <c r="L252" i="3" s="1"/>
  <c r="K244" i="3"/>
  <c r="L244" i="3" s="1"/>
  <c r="K429" i="3"/>
  <c r="L429" i="3" s="1"/>
  <c r="K387" i="3"/>
  <c r="L387" i="3" s="1"/>
  <c r="K383" i="3"/>
  <c r="L383" i="3" s="1"/>
  <c r="K375" i="3"/>
  <c r="L375" i="3" s="1"/>
  <c r="K368" i="3"/>
  <c r="L368" i="3" s="1"/>
  <c r="K417" i="3"/>
  <c r="L417" i="3" s="1"/>
  <c r="K390" i="3"/>
  <c r="L390" i="3" s="1"/>
  <c r="K386" i="3"/>
  <c r="L386" i="3" s="1"/>
  <c r="K367" i="3"/>
  <c r="L367" i="3" s="1"/>
  <c r="K258" i="3"/>
  <c r="L258" i="3" s="1"/>
  <c r="D149" i="4" s="1"/>
  <c r="K250" i="3"/>
  <c r="L250" i="3" s="1"/>
  <c r="D175" i="4" s="1"/>
  <c r="K242" i="3"/>
  <c r="L242" i="3" s="1"/>
  <c r="K345" i="3"/>
  <c r="L345" i="3" s="1"/>
  <c r="K337" i="3"/>
  <c r="L337" i="3" s="1"/>
  <c r="K329" i="3"/>
  <c r="L329" i="3" s="1"/>
  <c r="D63" i="4" s="1"/>
  <c r="K321" i="3"/>
  <c r="L321" i="3" s="1"/>
  <c r="K313" i="3"/>
  <c r="L313" i="3" s="1"/>
  <c r="K305" i="3"/>
  <c r="L305" i="3" s="1"/>
  <c r="K297" i="3"/>
  <c r="L297" i="3" s="1"/>
  <c r="D151" i="4" s="1"/>
  <c r="K289" i="3"/>
  <c r="L289" i="3" s="1"/>
  <c r="K281" i="3"/>
  <c r="L281" i="3" s="1"/>
  <c r="K455" i="3"/>
  <c r="L455" i="3" s="1"/>
  <c r="D82" i="4" s="1"/>
  <c r="K443" i="3"/>
  <c r="L443" i="3" s="1"/>
  <c r="K432" i="3"/>
  <c r="L432" i="3" s="1"/>
  <c r="K405" i="3"/>
  <c r="L405" i="3" s="1"/>
  <c r="K401" i="3"/>
  <c r="L401" i="3" s="1"/>
  <c r="K378" i="3"/>
  <c r="L378" i="3" s="1"/>
  <c r="K355" i="3"/>
  <c r="L355" i="3" s="1"/>
  <c r="K431" i="3"/>
  <c r="L431" i="3" s="1"/>
  <c r="K457" i="3"/>
  <c r="L457" i="3" s="1"/>
  <c r="K348" i="3"/>
  <c r="L348" i="3" s="1"/>
  <c r="K340" i="3"/>
  <c r="L340" i="3" s="1"/>
  <c r="K332" i="3"/>
  <c r="L332" i="3" s="1"/>
  <c r="D178" i="4" s="1"/>
  <c r="K324" i="3"/>
  <c r="L324" i="3" s="1"/>
  <c r="K316" i="3"/>
  <c r="L316" i="3" s="1"/>
  <c r="K308" i="3"/>
  <c r="L308" i="3" s="1"/>
  <c r="D106" i="4" s="1"/>
  <c r="K300" i="3"/>
  <c r="L300" i="3" s="1"/>
  <c r="K292" i="3"/>
  <c r="L292" i="3" s="1"/>
  <c r="D105" i="4" s="1"/>
  <c r="K284" i="3"/>
  <c r="L284" i="3" s="1"/>
  <c r="K450" i="3"/>
  <c r="L450" i="3" s="1"/>
  <c r="K446" i="3"/>
  <c r="L446" i="3" s="1"/>
  <c r="K436" i="3"/>
  <c r="L436" i="3" s="1"/>
  <c r="K425" i="3"/>
  <c r="L425" i="3" s="1"/>
  <c r="K411" i="3"/>
  <c r="L411" i="3" s="1"/>
  <c r="K393" i="3"/>
  <c r="L393" i="3" s="1"/>
  <c r="K371" i="3"/>
  <c r="L371" i="3" s="1"/>
  <c r="K364" i="3"/>
  <c r="L364" i="3" s="1"/>
  <c r="K360" i="3"/>
  <c r="L360" i="3" s="1"/>
  <c r="K347" i="3"/>
  <c r="L347" i="3" s="1"/>
  <c r="K339" i="3"/>
  <c r="L339" i="3" s="1"/>
  <c r="K331" i="3"/>
  <c r="L331" i="3" s="1"/>
  <c r="K323" i="3"/>
  <c r="L323" i="3" s="1"/>
  <c r="K315" i="3"/>
  <c r="L315" i="3" s="1"/>
  <c r="K307" i="3"/>
  <c r="L307" i="3" s="1"/>
  <c r="K299" i="3"/>
  <c r="L299" i="3" s="1"/>
  <c r="K291" i="3"/>
  <c r="L291" i="3" s="1"/>
  <c r="K283" i="3"/>
  <c r="L283" i="3" s="1"/>
  <c r="K275" i="3"/>
  <c r="L275" i="3" s="1"/>
  <c r="K267" i="3"/>
  <c r="L267" i="3" s="1"/>
  <c r="K259" i="3"/>
  <c r="L259" i="3" s="1"/>
  <c r="K251" i="3"/>
  <c r="L251" i="3" s="1"/>
  <c r="K243" i="3"/>
  <c r="L243" i="3" s="1"/>
  <c r="K38" i="3"/>
  <c r="L38" i="3" s="1"/>
  <c r="K346" i="3"/>
  <c r="L346" i="3" s="1"/>
  <c r="K338" i="3"/>
  <c r="L338" i="3" s="1"/>
  <c r="K330" i="3"/>
  <c r="L330" i="3" s="1"/>
  <c r="K322" i="3"/>
  <c r="L322" i="3" s="1"/>
  <c r="K314" i="3"/>
  <c r="L314" i="3" s="1"/>
  <c r="K306" i="3"/>
  <c r="L306" i="3" s="1"/>
  <c r="K298" i="3"/>
  <c r="L298" i="3" s="1"/>
  <c r="K290" i="3"/>
  <c r="L290" i="3" s="1"/>
  <c r="K282" i="3"/>
  <c r="L282" i="3" s="1"/>
  <c r="K274" i="3"/>
  <c r="L274" i="3" s="1"/>
  <c r="K266" i="3"/>
  <c r="L266" i="3" s="1"/>
  <c r="K459" i="3"/>
  <c r="L459" i="3" s="1"/>
  <c r="K453" i="3"/>
  <c r="L453" i="3" s="1"/>
  <c r="D85" i="4" s="1"/>
  <c r="K445" i="3"/>
  <c r="L445" i="3" s="1"/>
  <c r="K435" i="3"/>
  <c r="L435" i="3" s="1"/>
  <c r="K424" i="3"/>
  <c r="L424" i="3" s="1"/>
  <c r="K403" i="3"/>
  <c r="L403" i="3" s="1"/>
  <c r="K396" i="3"/>
  <c r="L396" i="3" s="1"/>
  <c r="K392" i="3"/>
  <c r="L392" i="3" s="1"/>
  <c r="K374" i="3"/>
  <c r="L374" i="3" s="1"/>
  <c r="K363" i="3"/>
  <c r="L363" i="3" s="1"/>
  <c r="K352" i="3"/>
  <c r="L352" i="3" s="1"/>
  <c r="K438" i="3"/>
  <c r="L438" i="3" s="1"/>
  <c r="K427" i="3"/>
  <c r="L427" i="3" s="1"/>
  <c r="K423" i="3"/>
  <c r="L423" i="3" s="1"/>
  <c r="K395" i="3"/>
  <c r="L395" i="3" s="1"/>
  <c r="K384" i="3"/>
  <c r="L384" i="3" s="1"/>
  <c r="K373" i="3"/>
  <c r="L373" i="3" s="1"/>
  <c r="K362" i="3"/>
  <c r="L362" i="3" s="1"/>
  <c r="K351" i="3"/>
  <c r="L351" i="3" s="1"/>
  <c r="K343" i="3"/>
  <c r="L343" i="3" s="1"/>
  <c r="K335" i="3"/>
  <c r="L335" i="3" s="1"/>
  <c r="D142" i="4" s="1"/>
  <c r="K327" i="3"/>
  <c r="L327" i="3" s="1"/>
  <c r="D24" i="4" s="1"/>
  <c r="K319" i="3"/>
  <c r="L319" i="3" s="1"/>
  <c r="K311" i="3"/>
  <c r="L311" i="3" s="1"/>
  <c r="K303" i="3"/>
  <c r="L303" i="3" s="1"/>
  <c r="K295" i="3"/>
  <c r="L295" i="3" s="1"/>
  <c r="K287" i="3"/>
  <c r="L287" i="3" s="1"/>
  <c r="K279" i="3"/>
  <c r="L279" i="3" s="1"/>
  <c r="K271" i="3"/>
  <c r="L271" i="3" s="1"/>
  <c r="K263" i="3"/>
  <c r="L263" i="3" s="1"/>
  <c r="K255" i="3"/>
  <c r="L255" i="3" s="1"/>
  <c r="K247" i="3"/>
  <c r="L247" i="3" s="1"/>
  <c r="K461" i="3"/>
  <c r="L461" i="3" s="1"/>
  <c r="K447" i="3"/>
  <c r="L447" i="3" s="1"/>
  <c r="K437" i="3"/>
  <c r="L437" i="3" s="1"/>
  <c r="K60" i="3"/>
  <c r="L60" i="3" s="1"/>
  <c r="K50" i="3"/>
  <c r="L50" i="3" s="1"/>
  <c r="D39" i="4" s="1"/>
  <c r="K42" i="3"/>
  <c r="L42" i="3" s="1"/>
  <c r="K49" i="3"/>
  <c r="L49" i="3" s="1"/>
  <c r="K41" i="3"/>
  <c r="L41" i="3" s="1"/>
  <c r="K48" i="3"/>
  <c r="L48" i="3" s="1"/>
  <c r="K40" i="3"/>
  <c r="L40" i="3" s="1"/>
  <c r="K46" i="3"/>
  <c r="L46" i="3" s="1"/>
  <c r="K462" i="3"/>
  <c r="L462" i="3" s="1"/>
  <c r="K452" i="3"/>
  <c r="L452" i="3" s="1"/>
  <c r="K433" i="3"/>
  <c r="L433" i="3" s="1"/>
  <c r="K428" i="3"/>
  <c r="L428" i="3" s="1"/>
  <c r="K454" i="3"/>
  <c r="L454" i="3" s="1"/>
  <c r="K451" i="3"/>
  <c r="L451" i="3" s="1"/>
  <c r="K448" i="3"/>
  <c r="L448" i="3" s="1"/>
  <c r="K430" i="3"/>
  <c r="L430" i="3" s="1"/>
  <c r="K420" i="3"/>
  <c r="L420" i="3" s="1"/>
  <c r="K44" i="3"/>
  <c r="L44" i="3" s="1"/>
  <c r="K36" i="3"/>
  <c r="L36" i="3" s="1"/>
  <c r="K414" i="3"/>
  <c r="L414" i="3" s="1"/>
  <c r="K404" i="3"/>
  <c r="L404" i="3" s="1"/>
  <c r="K398" i="3"/>
  <c r="L398" i="3" s="1"/>
  <c r="K458" i="3"/>
  <c r="L458" i="3" s="1"/>
  <c r="K440" i="3"/>
  <c r="L440" i="3" s="1"/>
  <c r="K422" i="3"/>
  <c r="L422" i="3" s="1"/>
  <c r="K419" i="3"/>
  <c r="L419" i="3" s="1"/>
  <c r="K416" i="3"/>
  <c r="L416" i="3" s="1"/>
  <c r="K460" i="3"/>
  <c r="L460" i="3" s="1"/>
  <c r="K434" i="3"/>
  <c r="L434" i="3" s="1"/>
  <c r="K426" i="3"/>
  <c r="L426" i="3" s="1"/>
  <c r="K408" i="3"/>
  <c r="L408" i="3" s="1"/>
  <c r="K449" i="3"/>
  <c r="L449" i="3" s="1"/>
  <c r="K444" i="3"/>
  <c r="L444" i="3" s="1"/>
  <c r="K418" i="3"/>
  <c r="L418" i="3" s="1"/>
  <c r="K410" i="3"/>
  <c r="L410" i="3" s="1"/>
  <c r="K402" i="3"/>
  <c r="L402" i="3" s="1"/>
  <c r="K388" i="3"/>
  <c r="L388" i="3" s="1"/>
  <c r="K382" i="3"/>
  <c r="L382" i="3" s="1"/>
  <c r="K379" i="3"/>
  <c r="L379" i="3" s="1"/>
  <c r="K376" i="3"/>
  <c r="L376" i="3" s="1"/>
  <c r="K370" i="3"/>
  <c r="L370" i="3" s="1"/>
  <c r="K356" i="3"/>
  <c r="L356" i="3" s="1"/>
  <c r="K350" i="3"/>
  <c r="L350" i="3" s="1"/>
  <c r="K47" i="3"/>
  <c r="L47" i="3" s="1"/>
  <c r="K39" i="3"/>
  <c r="L39" i="3" s="1"/>
  <c r="K4" i="3"/>
  <c r="L4" i="3" s="1"/>
  <c r="K7" i="3"/>
  <c r="L7" i="3" s="1"/>
  <c r="K8" i="3"/>
  <c r="L8" i="3" s="1"/>
  <c r="K9" i="3"/>
  <c r="L9" i="3" s="1"/>
  <c r="K15" i="3"/>
  <c r="L15" i="3" s="1"/>
  <c r="K16" i="3"/>
  <c r="L16" i="3" s="1"/>
  <c r="K17" i="3"/>
  <c r="L17" i="3" s="1"/>
  <c r="K18" i="3"/>
  <c r="L18" i="3" s="1"/>
  <c r="K19" i="3"/>
  <c r="L19" i="3" s="1"/>
  <c r="K23" i="3"/>
  <c r="L23" i="3" s="1"/>
  <c r="K24" i="3"/>
  <c r="L24" i="3" s="1"/>
  <c r="K25" i="3"/>
  <c r="L25" i="3" s="1"/>
  <c r="K26" i="3"/>
  <c r="L26" i="3" s="1"/>
  <c r="K27" i="3"/>
  <c r="L27" i="3" s="1"/>
  <c r="D26" i="4" s="1"/>
  <c r="K28" i="3"/>
  <c r="L28" i="3" s="1"/>
  <c r="K31" i="3"/>
  <c r="L31" i="3" s="1"/>
  <c r="K32" i="3"/>
  <c r="L32" i="3" s="1"/>
  <c r="K33" i="3"/>
  <c r="L33" i="3" s="1"/>
  <c r="D37" i="4"/>
  <c r="K53" i="3"/>
  <c r="K54" i="3"/>
  <c r="L54" i="3" s="1"/>
  <c r="K55" i="3"/>
  <c r="L55" i="3" s="1"/>
  <c r="K61" i="3"/>
  <c r="L61" i="3" s="1"/>
  <c r="K62" i="3"/>
  <c r="L62" i="3" s="1"/>
  <c r="K63" i="3"/>
  <c r="L63" i="3" s="1"/>
  <c r="K64" i="3"/>
  <c r="L64" i="3" s="1"/>
  <c r="K65" i="3"/>
  <c r="L65" i="3" s="1"/>
  <c r="K107" i="3"/>
  <c r="L107" i="3" s="1"/>
  <c r="K108" i="3"/>
  <c r="K109" i="3"/>
  <c r="L109" i="3" s="1"/>
  <c r="K110" i="3"/>
  <c r="L110" i="3" s="1"/>
  <c r="K111" i="3"/>
  <c r="L111" i="3" s="1"/>
  <c r="K114" i="3"/>
  <c r="L114" i="3" s="1"/>
  <c r="K115" i="3"/>
  <c r="K116" i="3"/>
  <c r="L116" i="3" s="1"/>
  <c r="K117" i="3"/>
  <c r="L117" i="3" s="1"/>
  <c r="K119" i="3"/>
  <c r="K122" i="3"/>
  <c r="L122" i="3" s="1"/>
  <c r="K123" i="3"/>
  <c r="K124" i="3"/>
  <c r="L124" i="3" s="1"/>
  <c r="K125" i="3"/>
  <c r="L125" i="3" s="1"/>
  <c r="D68" i="4" s="1"/>
  <c r="K127" i="3"/>
  <c r="L127" i="3" s="1"/>
  <c r="K130" i="3"/>
  <c r="L130" i="3" s="1"/>
  <c r="K131" i="3"/>
  <c r="L131" i="3" s="1"/>
  <c r="K132" i="3"/>
  <c r="L132" i="3" s="1"/>
  <c r="K133" i="3"/>
  <c r="L133" i="3" s="1"/>
  <c r="K134" i="3"/>
  <c r="L134" i="3" s="1"/>
  <c r="D25" i="4"/>
  <c r="K68" i="3"/>
  <c r="L68" i="3" s="1"/>
  <c r="K34" i="3"/>
  <c r="L34" i="3" s="1"/>
  <c r="K112" i="3"/>
  <c r="L112" i="3" s="1"/>
  <c r="K128" i="3"/>
  <c r="L128" i="3" s="1"/>
  <c r="K3" i="3"/>
  <c r="L3" i="3" s="1"/>
  <c r="K52" i="3"/>
  <c r="K67" i="3"/>
  <c r="K129" i="3"/>
  <c r="K106" i="3"/>
  <c r="L106" i="3" s="1"/>
  <c r="K113" i="3"/>
  <c r="L113" i="3" s="1"/>
  <c r="K120" i="3"/>
  <c r="K118" i="3"/>
  <c r="L118" i="3" s="1"/>
  <c r="K6" i="3"/>
  <c r="L6" i="3" s="1"/>
  <c r="K11" i="3"/>
  <c r="L11" i="3" s="1"/>
  <c r="K21" i="3"/>
  <c r="L21" i="3" s="1"/>
  <c r="K22" i="3"/>
  <c r="L22" i="3" s="1"/>
  <c r="K29" i="3"/>
  <c r="L29" i="3" s="1"/>
  <c r="K58" i="3"/>
  <c r="L58" i="3" s="1"/>
  <c r="K5" i="3"/>
  <c r="L5" i="3" s="1"/>
  <c r="K10" i="3"/>
  <c r="L10" i="3" s="1"/>
  <c r="K13" i="3"/>
  <c r="L13" i="3" s="1"/>
  <c r="K30" i="3"/>
  <c r="L30" i="3" s="1"/>
  <c r="K59" i="3"/>
  <c r="K66" i="3"/>
  <c r="K2" i="3"/>
  <c r="L2" i="3" s="1"/>
  <c r="K12" i="3"/>
  <c r="L12" i="3" s="1"/>
  <c r="K20" i="3"/>
  <c r="L20" i="3" s="1"/>
  <c r="K35" i="3"/>
  <c r="L35" i="3" s="1"/>
  <c r="K126" i="3"/>
  <c r="K105" i="3"/>
  <c r="K56" i="3"/>
  <c r="L56" i="3" s="1"/>
  <c r="K103" i="3"/>
  <c r="L103" i="3" s="1"/>
  <c r="K121" i="3"/>
  <c r="D71" i="4"/>
  <c r="K14" i="3"/>
  <c r="L14" i="3" s="1"/>
  <c r="K51" i="3"/>
  <c r="L51" i="3" s="1"/>
  <c r="K57" i="3"/>
  <c r="K104" i="3"/>
  <c r="L104" i="3" s="1"/>
  <c r="D5" i="4" l="1"/>
  <c r="D90" i="4"/>
  <c r="D11" i="4"/>
  <c r="D104" i="4"/>
  <c r="D38" i="4"/>
  <c r="D43" i="4"/>
  <c r="D83" i="4"/>
  <c r="D61" i="4"/>
  <c r="D14" i="4"/>
  <c r="D143" i="4"/>
  <c r="D87" i="4"/>
  <c r="D33" i="4"/>
  <c r="D93" i="4"/>
  <c r="D174" i="4"/>
  <c r="D122" i="4"/>
  <c r="D4" i="4"/>
  <c r="D147" i="4"/>
  <c r="D77" i="4"/>
  <c r="D112" i="4"/>
  <c r="D9" i="4"/>
  <c r="D29" i="4"/>
  <c r="D153" i="4"/>
  <c r="D165" i="4"/>
  <c r="D128" i="4"/>
  <c r="D163" i="4"/>
  <c r="D162" i="4"/>
  <c r="D80" i="4"/>
  <c r="D51" i="4"/>
  <c r="D54" i="4"/>
  <c r="D74" i="4"/>
  <c r="D121" i="4"/>
  <c r="D138" i="4"/>
  <c r="D76" i="4"/>
  <c r="D173" i="4"/>
  <c r="D44" i="4"/>
  <c r="D46" i="4"/>
  <c r="D117" i="4"/>
  <c r="D75" i="4"/>
  <c r="D108" i="4"/>
  <c r="D64" i="4"/>
  <c r="D27" i="4"/>
  <c r="D99" i="4"/>
  <c r="D98" i="4"/>
  <c r="D135" i="4"/>
  <c r="D86" i="4"/>
  <c r="D3" i="4"/>
  <c r="D177" i="4"/>
  <c r="D21" i="4"/>
  <c r="D73" i="4"/>
  <c r="D56" i="4"/>
  <c r="D32" i="4"/>
  <c r="D111" i="4"/>
  <c r="D127" i="4"/>
  <c r="D157" i="4"/>
  <c r="D137" i="4"/>
  <c r="D69" i="4"/>
  <c r="D17" i="4"/>
  <c r="D48" i="4"/>
  <c r="D88" i="4"/>
  <c r="D45" i="4"/>
  <c r="D144" i="4"/>
  <c r="D16" i="4"/>
  <c r="D55" i="4"/>
  <c r="D166" i="4"/>
  <c r="D116" i="4"/>
  <c r="D155" i="4"/>
  <c r="D95" i="4"/>
  <c r="D20" i="4"/>
  <c r="D132" i="4"/>
  <c r="D36" i="4"/>
  <c r="D22" i="4"/>
  <c r="D103" i="4"/>
  <c r="D34" i="4"/>
  <c r="D96" i="4"/>
  <c r="D89" i="4"/>
  <c r="D136" i="4"/>
  <c r="D19" i="4"/>
  <c r="D145" i="4"/>
  <c r="D10" i="4"/>
  <c r="D18" i="4"/>
  <c r="D146" i="4"/>
  <c r="D118" i="4"/>
  <c r="D113" i="4"/>
  <c r="D130" i="4"/>
  <c r="D133" i="4"/>
  <c r="D101" i="4"/>
  <c r="D109" i="4"/>
  <c r="D72" i="4"/>
  <c r="D141" i="4"/>
  <c r="D131" i="4"/>
  <c r="D107" i="4"/>
  <c r="D140" i="4"/>
  <c r="D7" i="4"/>
  <c r="D28" i="4"/>
  <c r="D92" i="4"/>
  <c r="D12" i="4"/>
  <c r="D62" i="4"/>
  <c r="D171" i="4"/>
  <c r="D78" i="4"/>
  <c r="D13" i="4"/>
  <c r="D84" i="4"/>
  <c r="D23" i="4"/>
  <c r="D81" i="4"/>
  <c r="D6" i="4"/>
  <c r="D152" i="4"/>
  <c r="L120" i="3"/>
  <c r="D59" i="4" s="1"/>
  <c r="L67" i="3"/>
  <c r="D102" i="4" s="1"/>
  <c r="L119" i="3"/>
  <c r="D52" i="4" s="1"/>
  <c r="L53" i="3"/>
  <c r="D66" i="4" s="1"/>
  <c r="L57" i="3"/>
  <c r="D97" i="4" s="1"/>
  <c r="L105" i="3"/>
  <c r="D8" i="4" s="1"/>
  <c r="L108" i="3"/>
  <c r="D15" i="4" s="1"/>
  <c r="D159" i="4"/>
  <c r="L66" i="3"/>
  <c r="D100" i="4" s="1"/>
  <c r="D156" i="4"/>
  <c r="D114" i="4"/>
  <c r="L115" i="3"/>
  <c r="D35" i="4" s="1"/>
  <c r="D123" i="4"/>
  <c r="D170" i="4"/>
  <c r="L52" i="3"/>
  <c r="D91" i="4" s="1"/>
  <c r="L121" i="3"/>
  <c r="D60" i="4" s="1"/>
  <c r="D154" i="4"/>
  <c r="L59" i="3"/>
  <c r="D40" i="4" s="1"/>
  <c r="L129" i="3"/>
  <c r="D79" i="4" s="1"/>
  <c r="L126" i="3"/>
  <c r="D70" i="4" s="1"/>
  <c r="L123" i="3"/>
  <c r="D65" i="4" s="1"/>
  <c r="D2" i="4"/>
  <c r="C107" i="3" l="1"/>
</calcChain>
</file>

<file path=xl/sharedStrings.xml><?xml version="1.0" encoding="utf-8"?>
<sst xmlns="http://schemas.openxmlformats.org/spreadsheetml/2006/main" count="4342" uniqueCount="408">
  <si>
    <t>Employee_ID</t>
  </si>
  <si>
    <t>Employee_Name</t>
  </si>
  <si>
    <t>Department</t>
  </si>
  <si>
    <t>House</t>
  </si>
  <si>
    <t>Aarti Gupta</t>
  </si>
  <si>
    <t>QA</t>
  </si>
  <si>
    <t>Agility</t>
  </si>
  <si>
    <t>Abhinesh Pandey</t>
  </si>
  <si>
    <t>EHS</t>
  </si>
  <si>
    <t>Ankit Kumar</t>
  </si>
  <si>
    <t>Arun Lamba</t>
  </si>
  <si>
    <t>Packing</t>
  </si>
  <si>
    <t>Ashish Mishra</t>
  </si>
  <si>
    <t>Materials</t>
  </si>
  <si>
    <t>Bhavya Gupta</t>
  </si>
  <si>
    <t>Planning</t>
  </si>
  <si>
    <t xml:space="preserve">Gaurav Kumar  </t>
  </si>
  <si>
    <t>Engineering</t>
  </si>
  <si>
    <t>Gourav Rohilla</t>
  </si>
  <si>
    <t>Gurwinder Singh</t>
  </si>
  <si>
    <t>WPB</t>
  </si>
  <si>
    <t>Hemant Singh</t>
  </si>
  <si>
    <t xml:space="preserve">Inzmam Ali </t>
  </si>
  <si>
    <t xml:space="preserve">Ishi Verma </t>
  </si>
  <si>
    <t>Jyotish  Patar</t>
  </si>
  <si>
    <t>Kuldeep Singh</t>
  </si>
  <si>
    <t>Laksh</t>
  </si>
  <si>
    <t>Mohit Sahu</t>
  </si>
  <si>
    <t>Mukul Suman</t>
  </si>
  <si>
    <t>Praveen Chandel</t>
  </si>
  <si>
    <t>EB</t>
  </si>
  <si>
    <t>Rajan Gupta</t>
  </si>
  <si>
    <t>Ramesh Kumar</t>
  </si>
  <si>
    <t>Risha Bansal</t>
  </si>
  <si>
    <t>Finance &amp; Stores</t>
  </si>
  <si>
    <t>Ritik Kumar</t>
  </si>
  <si>
    <t>Ritish</t>
  </si>
  <si>
    <t>Rohan Mehra</t>
  </si>
  <si>
    <t>Rupesh Gandhi</t>
  </si>
  <si>
    <t xml:space="preserve">Sahil Thakur </t>
  </si>
  <si>
    <t>Samay Raj</t>
  </si>
  <si>
    <t>Siyaram</t>
  </si>
  <si>
    <t>Sneha .</t>
  </si>
  <si>
    <t>Tilak Raj</t>
  </si>
  <si>
    <t>Vinod Kumar</t>
  </si>
  <si>
    <t>Yatin</t>
  </si>
  <si>
    <t>Palak</t>
  </si>
  <si>
    <t>Pinki Gupta</t>
  </si>
  <si>
    <t xml:space="preserve">Abhishek savita </t>
  </si>
  <si>
    <t>Care</t>
  </si>
  <si>
    <t>Akanksha Gangwar</t>
  </si>
  <si>
    <t>Ankit</t>
  </si>
  <si>
    <t>Arjun Sharma</t>
  </si>
  <si>
    <t>Ashita Munjley</t>
  </si>
  <si>
    <t>Bhanu Sirohi</t>
  </si>
  <si>
    <t>Gurkamalpreet Singh</t>
  </si>
  <si>
    <t>Gurwant Sran</t>
  </si>
  <si>
    <t>Harmandeep</t>
  </si>
  <si>
    <t>Harshdeep Singh</t>
  </si>
  <si>
    <t>Himanshu Saini</t>
  </si>
  <si>
    <t>Himanshu Yadav</t>
  </si>
  <si>
    <t>Keshav Dev</t>
  </si>
  <si>
    <t>Lalit Nagar</t>
  </si>
  <si>
    <t>Mahi Singh</t>
  </si>
  <si>
    <t>Mehnga Singh</t>
  </si>
  <si>
    <t>Nishith Soni</t>
  </si>
  <si>
    <t>Pardeep Kumar</t>
  </si>
  <si>
    <t>Puja Bhalotia</t>
  </si>
  <si>
    <t>Rahul Kumar</t>
  </si>
  <si>
    <t>Rakesh S</t>
  </si>
  <si>
    <t>Rohit Yadav</t>
  </si>
  <si>
    <t>Sanjaya Sahoo</t>
  </si>
  <si>
    <t>Sanjeet Kumar</t>
  </si>
  <si>
    <t>Shraddha Singh</t>
  </si>
  <si>
    <t>Shubham Sharma</t>
  </si>
  <si>
    <t>Shubhanshu Pandey</t>
  </si>
  <si>
    <t>Sonam Kachhap</t>
  </si>
  <si>
    <t>Vikas Bhardwaj</t>
  </si>
  <si>
    <t>Vinay Kumar</t>
  </si>
  <si>
    <t>Vivek Kumar Yadav</t>
  </si>
  <si>
    <t>Vivek Tiwari</t>
  </si>
  <si>
    <t>Deepak Tiwari</t>
  </si>
  <si>
    <t>Simratpal Singh</t>
  </si>
  <si>
    <t>Anjali</t>
  </si>
  <si>
    <t>Monika Jain</t>
  </si>
  <si>
    <t>Akshit Sood</t>
  </si>
  <si>
    <t>Courage</t>
  </si>
  <si>
    <t>Ankit Bhatt</t>
  </si>
  <si>
    <t xml:space="preserve">Anshul Sharma </t>
  </si>
  <si>
    <t>Anuj Kumar</t>
  </si>
  <si>
    <t xml:space="preserve">Ashish Baghel </t>
  </si>
  <si>
    <t>Dinesh Kumar</t>
  </si>
  <si>
    <t>Govind Rai</t>
  </si>
  <si>
    <t>Harjot Singh</t>
  </si>
  <si>
    <t>Harpreet Kaur Malik</t>
  </si>
  <si>
    <t>Himanshu Sangar</t>
  </si>
  <si>
    <t>HR &amp; Admin</t>
  </si>
  <si>
    <t>Jyoti Chauhan</t>
  </si>
  <si>
    <t>Jyoti Saini</t>
  </si>
  <si>
    <t>Karan Singh</t>
  </si>
  <si>
    <t>Kartik Shakya</t>
  </si>
  <si>
    <t>Khushboo Yadav</t>
  </si>
  <si>
    <t xml:space="preserve">Manish bisht </t>
  </si>
  <si>
    <t>Mansi Yadav</t>
  </si>
  <si>
    <t>Mohit Kumar</t>
  </si>
  <si>
    <t>Naveen Kumar</t>
  </si>
  <si>
    <t>Nishi Singh</t>
  </si>
  <si>
    <t>Prashant Gupta</t>
  </si>
  <si>
    <t>Riya Kumari</t>
  </si>
  <si>
    <t>Rohit Sharma</t>
  </si>
  <si>
    <t xml:space="preserve">Rupesh </t>
  </si>
  <si>
    <t>Sachin Kashyap</t>
  </si>
  <si>
    <t>Sahil.</t>
  </si>
  <si>
    <t>Sandeep Sengar</t>
  </si>
  <si>
    <t xml:space="preserve">Saurabh kumar </t>
  </si>
  <si>
    <t>Sinjan Bhar</t>
  </si>
  <si>
    <t>Sunil Kr. Singh</t>
  </si>
  <si>
    <t>Tanmay Ghosal</t>
  </si>
  <si>
    <t>Varish Hussain</t>
  </si>
  <si>
    <t>Kriti</t>
  </si>
  <si>
    <t xml:space="preserve">Aashish </t>
  </si>
  <si>
    <t>Innovation</t>
  </si>
  <si>
    <t>Anjali Sundrani</t>
  </si>
  <si>
    <t>Ankit Bhardwaj</t>
  </si>
  <si>
    <t>Ankit Tiwari</t>
  </si>
  <si>
    <t>Arpanjot Singh</t>
  </si>
  <si>
    <t>Ashish Bhardwaj</t>
  </si>
  <si>
    <t>Ayush Kumar</t>
  </si>
  <si>
    <t>BHAWNA SHARMA</t>
  </si>
  <si>
    <t>Chandraprakash Nandwana</t>
  </si>
  <si>
    <t>Daljit Singh</t>
  </si>
  <si>
    <t>Gaurav Saxena</t>
  </si>
  <si>
    <t>Jasbeer Singh</t>
  </si>
  <si>
    <t>Jitender Yadav</t>
  </si>
  <si>
    <t>Kavita Rathore</t>
  </si>
  <si>
    <t>Khushbir Singh</t>
  </si>
  <si>
    <t>Madhu Aggu</t>
  </si>
  <si>
    <t>Maneesh Mohan</t>
  </si>
  <si>
    <t>Manish Kumar</t>
  </si>
  <si>
    <t>Manoj Kumar Jangra</t>
  </si>
  <si>
    <t>Manpreet Kaur</t>
  </si>
  <si>
    <t>Naresh Kumar</t>
  </si>
  <si>
    <t>Neeraj</t>
  </si>
  <si>
    <t>Parmvir Singh</t>
  </si>
  <si>
    <t>Partap</t>
  </si>
  <si>
    <t>Sagar rana</t>
  </si>
  <si>
    <t>Saurabh Kumar</t>
  </si>
  <si>
    <t>Shivam Rani</t>
  </si>
  <si>
    <t>Simranjit Singh</t>
  </si>
  <si>
    <t>Smarth</t>
  </si>
  <si>
    <t xml:space="preserve">Tinku Shekhawat </t>
  </si>
  <si>
    <t>Vivek Aswal</t>
  </si>
  <si>
    <t>Akash Kumar</t>
  </si>
  <si>
    <t>Akhil Tiwari</t>
  </si>
  <si>
    <t>Vibrancy</t>
  </si>
  <si>
    <t>Manish Kr. Singh</t>
  </si>
  <si>
    <t>Koteswara Devireddy</t>
  </si>
  <si>
    <t>Ishan Kalia</t>
  </si>
  <si>
    <t>Jaspal Singh</t>
  </si>
  <si>
    <t>Abhay Singh</t>
  </si>
  <si>
    <t xml:space="preserve">Abhishek Sharma </t>
  </si>
  <si>
    <t>Aishwarya Sharma</t>
  </si>
  <si>
    <t>Akash Deshmukh</t>
  </si>
  <si>
    <t xml:space="preserve">Amar Kumar </t>
  </si>
  <si>
    <t>Arnima Thakur</t>
  </si>
  <si>
    <t>Dalip Sharma</t>
  </si>
  <si>
    <t>Deepak Sharma</t>
  </si>
  <si>
    <t>Dileep Kumar</t>
  </si>
  <si>
    <t>Honey</t>
  </si>
  <si>
    <t>Kawaljot Kaur</t>
  </si>
  <si>
    <t>Komalpreet</t>
  </si>
  <si>
    <t>Manish Kukreti</t>
  </si>
  <si>
    <t>Manish Kumar Maury</t>
  </si>
  <si>
    <t>Mayank Arya</t>
  </si>
  <si>
    <t>Narender Kumar</t>
  </si>
  <si>
    <t>Naval Singh</t>
  </si>
  <si>
    <t>Neha Chaturvedi</t>
  </si>
  <si>
    <t>Nikita</t>
  </si>
  <si>
    <t>Parvinder</t>
  </si>
  <si>
    <t>Sneha Singh</t>
  </si>
  <si>
    <t>Subhashree Nayak</t>
  </si>
  <si>
    <t>Supravat Adhikary</t>
  </si>
  <si>
    <t>Sushma Tiwari</t>
  </si>
  <si>
    <t>Vikash Kumar</t>
  </si>
  <si>
    <t>Manoj Singh</t>
  </si>
  <si>
    <t>No House</t>
  </si>
  <si>
    <t>Vishal Jaiswal</t>
  </si>
  <si>
    <t>Event_ID</t>
  </si>
  <si>
    <t>Event_Name</t>
  </si>
  <si>
    <t>Type</t>
  </si>
  <si>
    <t>Difficulty_Level (Casual/Medium/High)</t>
  </si>
  <si>
    <t>Multiplier</t>
  </si>
  <si>
    <t>Carrom</t>
  </si>
  <si>
    <t>Indoor</t>
  </si>
  <si>
    <t>Casual</t>
  </si>
  <si>
    <t>Chess</t>
  </si>
  <si>
    <t>Medium</t>
  </si>
  <si>
    <t>Fuseball</t>
  </si>
  <si>
    <t>Air Hockey</t>
  </si>
  <si>
    <t>Table tennis</t>
  </si>
  <si>
    <t>Badminton Men singles</t>
  </si>
  <si>
    <t>Cricket</t>
  </si>
  <si>
    <t>Outdoor</t>
  </si>
  <si>
    <t>High</t>
  </si>
  <si>
    <t>Vollyball</t>
  </si>
  <si>
    <t>Basket Ball</t>
  </si>
  <si>
    <t>Walk</t>
  </si>
  <si>
    <t>Running</t>
  </si>
  <si>
    <t>Relay</t>
  </si>
  <si>
    <t>Fuseball Double</t>
  </si>
  <si>
    <t xml:space="preserve">Table tennis Double </t>
  </si>
  <si>
    <t>Badminton Men Doubles</t>
  </si>
  <si>
    <t>Skipping</t>
  </si>
  <si>
    <t>Badminton Mix Doubles</t>
  </si>
  <si>
    <t>Badminton Women singles</t>
  </si>
  <si>
    <t>Badminton</t>
  </si>
  <si>
    <t>Position</t>
  </si>
  <si>
    <t>Winner</t>
  </si>
  <si>
    <t>Runner-up</t>
  </si>
  <si>
    <t>2nd Runner-up</t>
  </si>
  <si>
    <t>Semi</t>
  </si>
  <si>
    <t>Quarter</t>
  </si>
  <si>
    <t>Date</t>
  </si>
  <si>
    <t>Event</t>
  </si>
  <si>
    <t>Registered (Yes/No)</t>
  </si>
  <si>
    <t>Participated (Yes/No)</t>
  </si>
  <si>
    <t>Position (Winner/Runner-up/2nd Runner-up/Semi/Quarter/Participant)</t>
  </si>
  <si>
    <t>Participation_Points</t>
  </si>
  <si>
    <t>Base_Points</t>
  </si>
  <si>
    <t>Game_ Points</t>
  </si>
  <si>
    <t>Final_Event_Points</t>
  </si>
  <si>
    <t>YES</t>
  </si>
  <si>
    <t>24-04-2026</t>
  </si>
  <si>
    <t xml:space="preserve">ABHISHEK SAVITA </t>
  </si>
  <si>
    <t>Wellness Session</t>
  </si>
  <si>
    <t>MANSI YADAV</t>
  </si>
  <si>
    <t>Ashita Munjely</t>
  </si>
  <si>
    <t>Naval Singh Rathore</t>
  </si>
  <si>
    <t>Gaurav Kumar</t>
  </si>
  <si>
    <t>ARJUN SHARMA</t>
  </si>
  <si>
    <t>Ashish Dutt Mishra</t>
  </si>
  <si>
    <t>Ayush Pandey</t>
  </si>
  <si>
    <t>Harpreet</t>
  </si>
  <si>
    <t>Jyoti</t>
  </si>
  <si>
    <t>LAKSH</t>
  </si>
  <si>
    <t xml:space="preserve">MANISH BISHT </t>
  </si>
  <si>
    <t>Manoj Kumar</t>
  </si>
  <si>
    <t>SACHIN KASHYAP</t>
  </si>
  <si>
    <t xml:space="preserve">ANSHUL SHARMA </t>
  </si>
  <si>
    <t>ANUJ KUMAR</t>
  </si>
  <si>
    <t>GOURAV ROHILLA</t>
  </si>
  <si>
    <t>MUKUL SUMAN</t>
  </si>
  <si>
    <t>SANJEET KUMAR</t>
  </si>
  <si>
    <t>SHUBHAM SHARMA</t>
  </si>
  <si>
    <t>SIYARAM</t>
  </si>
  <si>
    <t>SMARTH</t>
  </si>
  <si>
    <t>Sneha</t>
  </si>
  <si>
    <t>BHAVYA GUPTA</t>
  </si>
  <si>
    <t>AARTI GUPTA</t>
  </si>
  <si>
    <t>Aishwarya</t>
  </si>
  <si>
    <t>KOMALPREET</t>
  </si>
  <si>
    <t>MAHI SINGH</t>
  </si>
  <si>
    <t>MANPREET KAUR</t>
  </si>
  <si>
    <t>SHRADDHA SINGH</t>
  </si>
  <si>
    <t xml:space="preserve">AMAR KUMAR </t>
  </si>
  <si>
    <t>ANKIT BHARDWAJ</t>
  </si>
  <si>
    <t xml:space="preserve">INZMAM ALI </t>
  </si>
  <si>
    <t xml:space="preserve">ISHI VERMA </t>
  </si>
  <si>
    <t>KAWALJOT KAUR</t>
  </si>
  <si>
    <t>MANISH KUMAR MAURY</t>
  </si>
  <si>
    <t>MOHIT KUMAR</t>
  </si>
  <si>
    <t>RIYA KUMARI</t>
  </si>
  <si>
    <t>SAMAY RAJ</t>
  </si>
  <si>
    <t>Annu Devi</t>
  </si>
  <si>
    <t xml:space="preserve">SAURABH KUMAR </t>
  </si>
  <si>
    <t>AKHIL TIWARI</t>
  </si>
  <si>
    <t>ANKIT</t>
  </si>
  <si>
    <t>Anu Devi</t>
  </si>
  <si>
    <t>Bhawna Sharma</t>
  </si>
  <si>
    <t>Jyotish Kumar</t>
  </si>
  <si>
    <t>MANISH KUMAR SINGH</t>
  </si>
  <si>
    <t xml:space="preserve">RUPESH </t>
  </si>
  <si>
    <t>ABHAY SINGH</t>
  </si>
  <si>
    <t>NISHI SINGH</t>
  </si>
  <si>
    <t>Sahil</t>
  </si>
  <si>
    <t xml:space="preserve">AASHISH </t>
  </si>
  <si>
    <t>Ishan</t>
  </si>
  <si>
    <t>VARISH HUSSAIN</t>
  </si>
  <si>
    <t>SUBHASHREE PRIYADARSHINI NAYAK</t>
  </si>
  <si>
    <t xml:space="preserve">TINKU SHEKHAWAT </t>
  </si>
  <si>
    <t xml:space="preserve">ABHISHEK SHARMA </t>
  </si>
  <si>
    <t>NIKITA</t>
  </si>
  <si>
    <t>Manbir Sain</t>
  </si>
  <si>
    <t>TT</t>
  </si>
  <si>
    <t>Total_Points</t>
  </si>
  <si>
    <t>Start_Time</t>
  </si>
  <si>
    <t>Badminton Single</t>
  </si>
  <si>
    <t>2026-03-06 15:30:00</t>
  </si>
  <si>
    <t>Badminton Single Girls</t>
  </si>
  <si>
    <t>Table Tennis</t>
  </si>
  <si>
    <t>Ishi Verma</t>
  </si>
  <si>
    <t>KHUSHBIR SINGH</t>
  </si>
  <si>
    <t>Sachin kashyap</t>
  </si>
  <si>
    <t>vikash kumar</t>
  </si>
  <si>
    <t>Jitender  Yadav</t>
  </si>
  <si>
    <t>Honey Nighi</t>
  </si>
  <si>
    <t>Gurwant Singh</t>
  </si>
  <si>
    <t>Simran Jeet</t>
  </si>
  <si>
    <t>Sunil Kumar</t>
  </si>
  <si>
    <t>Akash</t>
  </si>
  <si>
    <t>MOHIT SAHU</t>
  </si>
  <si>
    <t>komal preet</t>
  </si>
  <si>
    <t>Samay Raj  Gupta</t>
  </si>
  <si>
    <t>Sanjay Kumar</t>
  </si>
  <si>
    <t>manish kumar</t>
  </si>
  <si>
    <t>Naveen Katyal</t>
  </si>
  <si>
    <t>Harpreet Malik</t>
  </si>
  <si>
    <t>ðŒð®ð¤ð®ð</t>
  </si>
  <si>
    <t>vinay kumar</t>
  </si>
  <si>
    <t>Simrat</t>
  </si>
  <si>
    <t>vivek yadav</t>
  </si>
  <si>
    <t>Manish Bisht</t>
  </si>
  <si>
    <t>Shubham</t>
  </si>
  <si>
    <t>Vishal Jaswal</t>
  </si>
  <si>
    <t>Rupesh Thakur</t>
  </si>
  <si>
    <t>Madhu Patel</t>
  </si>
  <si>
    <t>amar</t>
  </si>
  <si>
    <t>Deepak</t>
  </si>
  <si>
    <t>Keshav Dev Dev</t>
  </si>
  <si>
    <t>jasbeer</t>
  </si>
  <si>
    <t>âœ¨PALKU  GOSWAMI âœ¨</t>
  </si>
  <si>
    <t>Ashish</t>
  </si>
  <si>
    <t>Prithviraj Chauhan</t>
  </si>
  <si>
    <t>Manoj jangra</t>
  </si>
  <si>
    <t>Manpreet kaur</t>
  </si>
  <si>
    <t>shraddha singh</t>
  </si>
  <si>
    <t>Manish Singh</t>
  </si>
  <si>
    <t>Saurabh Hem</t>
  </si>
  <si>
    <t>Ishan kalia</t>
  </si>
  <si>
    <t>mayank arya</t>
  </si>
  <si>
    <t>DALJIT SINGH   @Materials</t>
  </si>
  <si>
    <t>shubhanshu pandey</t>
  </si>
  <si>
    <t>(712428)Akanksha Gangwar</t>
  </si>
  <si>
    <t>Chandra Prakash</t>
  </si>
  <si>
    <t>Ritish Kaundal</t>
  </si>
  <si>
    <t>Kawaljot  Kaur</t>
  </si>
  <si>
    <t>Kuldeep Thakur</t>
  </si>
  <si>
    <t>koteswararao devireddy</t>
  </si>
  <si>
    <t>SINJAN BHAR</t>
  </si>
  <si>
    <t>rakesh kumar</t>
  </si>
  <si>
    <t>Dr Ashita</t>
  </si>
  <si>
    <t>Partap nishad</t>
  </si>
  <si>
    <t>Nishi</t>
  </si>
  <si>
    <t>Subhashree Priyadarshini</t>
  </si>
  <si>
    <t>Manish Maurya</t>
  </si>
  <si>
    <t>Vikas Garg</t>
  </si>
  <si>
    <t>pardeep</t>
  </si>
  <si>
    <t>RAJAN GUPTA</t>
  </si>
  <si>
    <t>Mohit</t>
  </si>
  <si>
    <t>Nikita Thehare</t>
  </si>
  <si>
    <t>Mansi  Yadav</t>
  </si>
  <si>
    <t>Abhay singh</t>
  </si>
  <si>
    <t>Harman Deep</t>
  </si>
  <si>
    <t>Kriti  Yadav</t>
  </si>
  <si>
    <t>Sahil Thakur</t>
  </si>
  <si>
    <t>Simran</t>
  </si>
  <si>
    <t>Production</t>
  </si>
  <si>
    <t>Annu</t>
  </si>
  <si>
    <t>Mo. Azhar Ansari</t>
  </si>
  <si>
    <t>Abhishek Dixit</t>
  </si>
  <si>
    <t>Gursimrat Singh</t>
  </si>
  <si>
    <t>Simarpreet</t>
  </si>
  <si>
    <t>Salja</t>
  </si>
  <si>
    <t>Rohit Kumar</t>
  </si>
  <si>
    <t>Nitish kumar</t>
  </si>
  <si>
    <t>Ajay Kumar Yadav</t>
  </si>
  <si>
    <t>Ankush Jain</t>
  </si>
  <si>
    <t>Niyati Dimri</t>
  </si>
  <si>
    <t>Vikas</t>
  </si>
  <si>
    <t>Amar Kumar</t>
  </si>
  <si>
    <t>Aashish</t>
  </si>
  <si>
    <t>Rupesh</t>
  </si>
  <si>
    <t>Name</t>
  </si>
  <si>
    <t>Total Steps</t>
  </si>
  <si>
    <t>Aashish Gupta</t>
  </si>
  <si>
    <t>TINKU SHEKHAWAT</t>
  </si>
  <si>
    <t>Yatin Saini</t>
  </si>
  <si>
    <t>Siyaram ÃŸishnoi</t>
  </si>
  <si>
    <t>Abhi</t>
  </si>
  <si>
    <t>sagar rana</t>
  </si>
  <si>
    <t>G S G</t>
  </si>
  <si>
    <t>Nikita Nikita</t>
  </si>
  <si>
    <t>Mohit Sharma</t>
  </si>
  <si>
    <t>Sunny Sain</t>
  </si>
  <si>
    <t>Arun Soni</t>
  </si>
  <si>
    <t>Jyotish</t>
  </si>
  <si>
    <t>Inzmam Ali</t>
  </si>
  <si>
    <t>Gopal Kevat</t>
  </si>
  <si>
    <t>Tinku Shekhawat</t>
  </si>
  <si>
    <t>Rajesh Mandal</t>
  </si>
  <si>
    <t>Rohan Panwar</t>
  </si>
  <si>
    <t>Partap Nishad</t>
  </si>
  <si>
    <t>manoj singh</t>
  </si>
  <si>
    <t>Siya Ram</t>
  </si>
  <si>
    <t>Abhishek Sharma</t>
  </si>
  <si>
    <t>Praveen Srivastava</t>
  </si>
  <si>
    <t>Varish  Hussain</t>
  </si>
  <si>
    <t>Neeraj Roy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</si>
</sst>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;@"/>
    <numFmt numFmtId="165" formatCode="0.0"/>
    <numFmt numFmtId="166" formatCode="0.000"/>
  </numFmts>
  <fonts count="14">
    <font>
      <sz val="11"/>
      <color theme="1"/>
      <name val="Calibri"/>
      <charset val="134"/>
      <scheme val="minor"/>
    </font>
    <font>
      <sz val="11"/>
      <color theme="1"/>
      <name val="Segoe UI"/>
      <family val="2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0"/>
      <color rgb="FF000000"/>
      <name val="Segoe UI"/>
      <charset val="134"/>
    </font>
    <font>
      <sz val="11"/>
      <color theme="1"/>
      <name val="Segoe UI"/>
      <charset val="134"/>
    </font>
    <font>
      <b/>
      <sz val="11"/>
      <name val="Segoe UI"/>
      <charset val="134"/>
    </font>
    <font>
      <b/>
      <sz val="11"/>
      <color theme="1"/>
      <name val="Segoe UI"/>
      <charset val="134"/>
    </font>
    <font>
      <sz val="11"/>
      <color rgb="FF000000"/>
      <name val="Calibri"/>
      <charset val="134"/>
    </font>
    <font>
      <sz val="8"/>
      <name val="Calibri"/>
      <charset val="134"/>
      <scheme val="minor"/>
    </font>
    <font>
      <sz val="9"/>
      <color theme="1"/>
      <name val="Arial Rounded MT Bold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14" fontId="8" fillId="0" borderId="1" xfId="0" applyNumberFormat="1" applyFont="1" applyBorder="1"/>
    <xf numFmtId="0" fontId="7" fillId="0" borderId="1" xfId="0" applyFont="1" applyBorder="1" applyAlignment="1">
      <alignment horizontal="center" vertical="center"/>
    </xf>
    <xf numFmtId="0" fontId="0" fillId="0" borderId="1" xfId="0" applyBorder="1"/>
    <xf numFmtId="0" fontId="10" fillId="2" borderId="1" xfId="0" applyFont="1" applyFill="1" applyBorder="1" applyAlignment="1">
      <alignment horizontal="center" vertical="center"/>
    </xf>
    <xf numFmtId="0" fontId="8" fillId="0" borderId="1" xfId="0" applyFont="1" applyBorder="1"/>
    <xf numFmtId="166" fontId="0" fillId="0" borderId="1" xfId="0" applyNumberFormat="1" applyBorder="1" applyAlignment="1">
      <alignment horizontal="center" vertical="center"/>
    </xf>
    <xf numFmtId="0" fontId="0" fillId="2" borderId="1" xfId="0" applyFill="1" applyBorder="1"/>
    <xf numFmtId="0" fontId="1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3" fillId="0" borderId="0" xfId="0" applyFont="1"/>
    <xf numFmtId="14" fontId="8" fillId="0" borderId="1" xfId="0" applyNumberFormat="1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2" fillId="0" borderId="1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27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sbeer.singh\AppData\Local\Microsoft\Windows\INetCache\Content.Outlook\5TTBALZ8\Daily%20Attendance%201st%20June%20to%2020th%20Aug.2026.xlsx" TargetMode="External"/><Relationship Id="rId1" Type="http://schemas.openxmlformats.org/officeDocument/2006/relationships/externalLinkPath" Target="file:///C:\Users\Jasbeer.singh\AppData\Local\Microsoft\Windows\INetCache\Content.Outlook\5TTBALZ8\Daily%20Attendance%201st%20June%20to%2020th%20Aug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ttendance"/>
    </sheetNames>
    <sheetDataSet>
      <sheetData sheetId="0" refreshError="1">
        <row r="2">
          <cell r="B2">
            <v>407302</v>
          </cell>
          <cell r="C2" t="str">
            <v>Sanjaya Sahoo</v>
          </cell>
        </row>
        <row r="3">
          <cell r="B3">
            <v>408262</v>
          </cell>
          <cell r="C3" t="str">
            <v>Arpanjot Singh</v>
          </cell>
        </row>
        <row r="4">
          <cell r="B4">
            <v>408627</v>
          </cell>
          <cell r="C4" t="str">
            <v>Govind Rai</v>
          </cell>
        </row>
        <row r="5">
          <cell r="B5">
            <v>416828</v>
          </cell>
          <cell r="C5" t="str">
            <v>Keshav Dev</v>
          </cell>
        </row>
        <row r="6">
          <cell r="B6">
            <v>420109</v>
          </cell>
          <cell r="C6" t="str">
            <v>Chandraprakash Nandwana</v>
          </cell>
        </row>
        <row r="7">
          <cell r="B7">
            <v>420533</v>
          </cell>
          <cell r="C7" t="str">
            <v>Gaurav Saxena</v>
          </cell>
        </row>
        <row r="8">
          <cell r="B8">
            <v>424332</v>
          </cell>
          <cell r="C8" t="str">
            <v>Naresh Kumar</v>
          </cell>
        </row>
        <row r="9">
          <cell r="B9">
            <v>427568</v>
          </cell>
          <cell r="C9" t="str">
            <v>Anjali Sundrani</v>
          </cell>
        </row>
        <row r="10">
          <cell r="B10">
            <v>428544</v>
          </cell>
          <cell r="C10" t="str">
            <v>Harjot Singh</v>
          </cell>
        </row>
        <row r="11">
          <cell r="B11">
            <v>430977</v>
          </cell>
          <cell r="C11" t="str">
            <v>Akshit Sood</v>
          </cell>
        </row>
        <row r="12">
          <cell r="B12">
            <v>432865</v>
          </cell>
          <cell r="C12" t="str">
            <v>Rupesh Gandhi</v>
          </cell>
        </row>
        <row r="13">
          <cell r="B13">
            <v>433939</v>
          </cell>
          <cell r="C13" t="str">
            <v>Manish Kumar</v>
          </cell>
        </row>
        <row r="14">
          <cell r="B14">
            <v>434518</v>
          </cell>
          <cell r="C14" t="str">
            <v>Maneesh Mohan</v>
          </cell>
        </row>
        <row r="15">
          <cell r="B15">
            <v>435877</v>
          </cell>
          <cell r="C15" t="str">
            <v>Pardeep Kumar</v>
          </cell>
        </row>
        <row r="16">
          <cell r="B16">
            <v>437534</v>
          </cell>
          <cell r="C16" t="str">
            <v>Himanshu Sangar</v>
          </cell>
        </row>
        <row r="17">
          <cell r="B17">
            <v>438263</v>
          </cell>
          <cell r="C17" t="str">
            <v>Vikash Kumar</v>
          </cell>
        </row>
        <row r="18">
          <cell r="B18">
            <v>438679</v>
          </cell>
          <cell r="C18" t="str">
            <v>Saurabh Kumar</v>
          </cell>
        </row>
        <row r="19">
          <cell r="B19">
            <v>438864</v>
          </cell>
          <cell r="C19" t="str">
            <v>Rajan Gupta</v>
          </cell>
        </row>
        <row r="20">
          <cell r="B20">
            <v>438957</v>
          </cell>
          <cell r="C20" t="str">
            <v>Risha Bansal</v>
          </cell>
        </row>
        <row r="21">
          <cell r="B21">
            <v>440317</v>
          </cell>
          <cell r="C21" t="str">
            <v>Praveen Chandel</v>
          </cell>
        </row>
        <row r="22">
          <cell r="B22">
            <v>440620</v>
          </cell>
          <cell r="C22" t="str">
            <v>Kuldeep Singh</v>
          </cell>
        </row>
        <row r="23">
          <cell r="B23">
            <v>440774</v>
          </cell>
          <cell r="C23" t="str">
            <v>Mehnga Singh</v>
          </cell>
        </row>
        <row r="24">
          <cell r="B24">
            <v>445891</v>
          </cell>
          <cell r="C24" t="str">
            <v>Parmvir Singh</v>
          </cell>
        </row>
        <row r="25">
          <cell r="B25">
            <v>446300</v>
          </cell>
          <cell r="C25" t="str">
            <v>Simranjit Singh</v>
          </cell>
        </row>
        <row r="26">
          <cell r="B26">
            <v>447096</v>
          </cell>
          <cell r="C26" t="str">
            <v>Deepak Tiwari</v>
          </cell>
        </row>
        <row r="27">
          <cell r="B27">
            <v>447836</v>
          </cell>
          <cell r="C27" t="str">
            <v>Rakesh S</v>
          </cell>
        </row>
        <row r="28">
          <cell r="B28">
            <v>448882</v>
          </cell>
          <cell r="C28" t="str">
            <v>Gurwinder Singh</v>
          </cell>
        </row>
        <row r="29">
          <cell r="B29">
            <v>449551</v>
          </cell>
          <cell r="C29" t="str">
            <v>Ramesh Kumar</v>
          </cell>
        </row>
        <row r="30">
          <cell r="B30">
            <v>449635</v>
          </cell>
          <cell r="C30" t="str">
            <v>Sushma Tiwari</v>
          </cell>
        </row>
        <row r="31">
          <cell r="B31">
            <v>449890</v>
          </cell>
          <cell r="C31" t="str">
            <v xml:space="preserve">ASHISH BAGHEL </v>
          </cell>
        </row>
        <row r="32">
          <cell r="B32">
            <v>449891</v>
          </cell>
          <cell r="C32" t="str">
            <v>KOMALPREET</v>
          </cell>
        </row>
        <row r="33">
          <cell r="B33">
            <v>450030</v>
          </cell>
          <cell r="C33" t="str">
            <v xml:space="preserve">MANISH BISHT </v>
          </cell>
        </row>
        <row r="34">
          <cell r="B34">
            <v>450171</v>
          </cell>
          <cell r="C34" t="str">
            <v>MANPREET KAUR</v>
          </cell>
        </row>
        <row r="35">
          <cell r="B35">
            <v>450224</v>
          </cell>
          <cell r="C35" t="str">
            <v>LALIT NAGAR</v>
          </cell>
        </row>
        <row r="36">
          <cell r="B36">
            <v>450225</v>
          </cell>
          <cell r="C36" t="str">
            <v>NIKITA</v>
          </cell>
        </row>
        <row r="37">
          <cell r="B37">
            <v>450228</v>
          </cell>
          <cell r="C37" t="str">
            <v>SHUBHAM SHARMA</v>
          </cell>
        </row>
        <row r="38">
          <cell r="B38">
            <v>450230</v>
          </cell>
          <cell r="C38" t="str">
            <v>AARTI GUPTA</v>
          </cell>
        </row>
        <row r="39">
          <cell r="B39">
            <v>450256</v>
          </cell>
          <cell r="C39" t="str">
            <v>Jyotish Kumar</v>
          </cell>
        </row>
        <row r="40">
          <cell r="B40">
            <v>450325</v>
          </cell>
          <cell r="C40" t="str">
            <v>SIMRATPAL SINGH</v>
          </cell>
        </row>
        <row r="41">
          <cell r="B41">
            <v>450437</v>
          </cell>
          <cell r="C41" t="str">
            <v xml:space="preserve">TINKU SHEKHAWAT </v>
          </cell>
        </row>
        <row r="42">
          <cell r="B42">
            <v>450693</v>
          </cell>
          <cell r="C42" t="str">
            <v>SAGAR RANA</v>
          </cell>
        </row>
        <row r="43">
          <cell r="B43">
            <v>450694</v>
          </cell>
          <cell r="C43" t="str">
            <v>KAWALJOT KAUR</v>
          </cell>
        </row>
        <row r="44">
          <cell r="B44">
            <v>451509</v>
          </cell>
          <cell r="C44" t="str">
            <v>Vivek Aswal</v>
          </cell>
        </row>
        <row r="45">
          <cell r="B45">
            <v>451567</v>
          </cell>
          <cell r="C45" t="str">
            <v>Gaurav Kumar</v>
          </cell>
        </row>
        <row r="46">
          <cell r="B46">
            <v>451609</v>
          </cell>
          <cell r="C46" t="str">
            <v>Vivek Kumar Yadav</v>
          </cell>
        </row>
        <row r="47">
          <cell r="B47">
            <v>451857</v>
          </cell>
          <cell r="C47" t="str">
            <v xml:space="preserve">AMAR KUMAR </v>
          </cell>
        </row>
        <row r="48">
          <cell r="B48">
            <v>451858</v>
          </cell>
          <cell r="C48" t="str">
            <v>ANKIT BHARDWAJ</v>
          </cell>
        </row>
        <row r="49">
          <cell r="B49">
            <v>452056</v>
          </cell>
          <cell r="C49" t="str">
            <v xml:space="preserve">RUPESH </v>
          </cell>
        </row>
        <row r="50">
          <cell r="B50">
            <v>452057</v>
          </cell>
          <cell r="C50" t="str">
            <v xml:space="preserve">SAHIL THAKUR </v>
          </cell>
        </row>
        <row r="51">
          <cell r="B51">
            <v>452058</v>
          </cell>
          <cell r="C51" t="str">
            <v>BHAVYA GUPTA</v>
          </cell>
        </row>
        <row r="52">
          <cell r="B52">
            <v>452059</v>
          </cell>
          <cell r="C52" t="str">
            <v>MAHI SINGH</v>
          </cell>
        </row>
        <row r="53">
          <cell r="B53">
            <v>452073</v>
          </cell>
          <cell r="C53" t="str">
            <v xml:space="preserve">AASHISH </v>
          </cell>
        </row>
        <row r="54">
          <cell r="B54">
            <v>452074</v>
          </cell>
          <cell r="C54" t="str">
            <v>SNEHA SINGH</v>
          </cell>
        </row>
        <row r="55">
          <cell r="B55">
            <v>452075</v>
          </cell>
          <cell r="C55" t="str">
            <v>MANSI YADAV</v>
          </cell>
        </row>
        <row r="56">
          <cell r="B56">
            <v>452076</v>
          </cell>
          <cell r="C56" t="str">
            <v>SHRADDHA SINGH</v>
          </cell>
        </row>
        <row r="57">
          <cell r="B57">
            <v>452115</v>
          </cell>
          <cell r="C57" t="str">
            <v xml:space="preserve">ANSHUL SHARMA </v>
          </cell>
        </row>
        <row r="58">
          <cell r="B58">
            <v>452118</v>
          </cell>
          <cell r="C58" t="str">
            <v>RIYA KUMARI</v>
          </cell>
        </row>
        <row r="59">
          <cell r="B59">
            <v>452119</v>
          </cell>
          <cell r="C59" t="str">
            <v>AKHIL TIWARI</v>
          </cell>
        </row>
        <row r="60">
          <cell r="B60">
            <v>452121</v>
          </cell>
          <cell r="C60" t="str">
            <v>NISHI SINGH</v>
          </cell>
        </row>
        <row r="61">
          <cell r="B61">
            <v>452799</v>
          </cell>
          <cell r="C61" t="str">
            <v>Manish Kukreti</v>
          </cell>
        </row>
        <row r="62">
          <cell r="B62">
            <v>452991</v>
          </cell>
          <cell r="C62" t="str">
            <v>GOURAV ROHILLA</v>
          </cell>
        </row>
        <row r="63">
          <cell r="B63">
            <v>453089</v>
          </cell>
          <cell r="C63" t="str">
            <v>ARUN LAMBA</v>
          </cell>
        </row>
        <row r="64">
          <cell r="B64">
            <v>453949</v>
          </cell>
          <cell r="C64" t="str">
            <v>Naveen Kumar</v>
          </cell>
        </row>
        <row r="65">
          <cell r="B65">
            <v>454456</v>
          </cell>
          <cell r="C65" t="str">
            <v>Akash Deshmukh</v>
          </cell>
        </row>
        <row r="66">
          <cell r="B66">
            <v>455024</v>
          </cell>
          <cell r="C66" t="str">
            <v>Dileep Kumar</v>
          </cell>
        </row>
        <row r="67">
          <cell r="B67">
            <v>456091</v>
          </cell>
          <cell r="C67" t="str">
            <v>Abhinesh Pandey</v>
          </cell>
        </row>
        <row r="68">
          <cell r="B68">
            <v>456706</v>
          </cell>
          <cell r="C68" t="str">
            <v>DALJIT SINGH</v>
          </cell>
        </row>
        <row r="69">
          <cell r="B69">
            <v>457157</v>
          </cell>
          <cell r="C69" t="str">
            <v>SACHIN KASHYAP</v>
          </cell>
        </row>
        <row r="70">
          <cell r="B70">
            <v>457430</v>
          </cell>
          <cell r="C70" t="str">
            <v>MANISH KUMAR</v>
          </cell>
        </row>
        <row r="71">
          <cell r="B71">
            <v>458702</v>
          </cell>
          <cell r="C71" t="str">
            <v>Jasbeer Singh</v>
          </cell>
        </row>
        <row r="72">
          <cell r="B72">
            <v>458749</v>
          </cell>
          <cell r="C72" t="str">
            <v>Manoj Kumar</v>
          </cell>
        </row>
        <row r="73">
          <cell r="B73">
            <v>459464</v>
          </cell>
          <cell r="C73" t="str">
            <v>MANISH KUMAR MAURY</v>
          </cell>
        </row>
        <row r="74">
          <cell r="B74">
            <v>460513</v>
          </cell>
          <cell r="C74" t="str">
            <v>Dinesh Kumar</v>
          </cell>
        </row>
        <row r="75">
          <cell r="B75">
            <v>460628</v>
          </cell>
          <cell r="C75" t="str">
            <v>SMARTH</v>
          </cell>
        </row>
        <row r="76">
          <cell r="B76">
            <v>460692</v>
          </cell>
          <cell r="C76" t="str">
            <v>Mayank Arya</v>
          </cell>
        </row>
        <row r="77">
          <cell r="B77">
            <v>460812</v>
          </cell>
          <cell r="C77" t="str">
            <v>Deepak Sharma</v>
          </cell>
        </row>
        <row r="78">
          <cell r="B78">
            <v>460888</v>
          </cell>
          <cell r="C78" t="str">
            <v>YATIN</v>
          </cell>
        </row>
        <row r="79">
          <cell r="B79">
            <v>463059</v>
          </cell>
          <cell r="C79" t="str">
            <v>Parvinder</v>
          </cell>
        </row>
        <row r="80">
          <cell r="B80">
            <v>463097</v>
          </cell>
          <cell r="C80" t="str">
            <v>Gurkamalpreet Singh</v>
          </cell>
        </row>
        <row r="81">
          <cell r="B81">
            <v>463660</v>
          </cell>
          <cell r="C81" t="str">
            <v>Rohit Sharma</v>
          </cell>
        </row>
        <row r="82">
          <cell r="B82">
            <v>463833</v>
          </cell>
          <cell r="C82" t="str">
            <v>Kartik Shakya</v>
          </cell>
        </row>
        <row r="83">
          <cell r="B83">
            <v>464188</v>
          </cell>
          <cell r="C83" t="str">
            <v>Himanshu Saini</v>
          </cell>
        </row>
        <row r="84">
          <cell r="B84">
            <v>464193</v>
          </cell>
          <cell r="C84" t="str">
            <v>Hemant Singh</v>
          </cell>
        </row>
        <row r="85">
          <cell r="B85">
            <v>464500</v>
          </cell>
          <cell r="C85" t="str">
            <v>Dalip Sharma</v>
          </cell>
        </row>
        <row r="86">
          <cell r="B86">
            <v>464871</v>
          </cell>
          <cell r="C86" t="str">
            <v>Mohit Sahu</v>
          </cell>
        </row>
        <row r="87">
          <cell r="B87">
            <v>465254</v>
          </cell>
          <cell r="C87" t="str">
            <v>NARENDER KUMAR</v>
          </cell>
        </row>
        <row r="88">
          <cell r="B88">
            <v>465255</v>
          </cell>
          <cell r="C88" t="str">
            <v>MUKUL SUMAN</v>
          </cell>
        </row>
        <row r="89">
          <cell r="B89">
            <v>466167</v>
          </cell>
          <cell r="C89" t="str">
            <v>Aishwarya</v>
          </cell>
        </row>
        <row r="90">
          <cell r="B90">
            <v>466562</v>
          </cell>
          <cell r="C90" t="str">
            <v>VIKAS BHARDWAJ</v>
          </cell>
        </row>
        <row r="91">
          <cell r="B91">
            <v>467068</v>
          </cell>
          <cell r="C91" t="str">
            <v>ANUJ KUMAR</v>
          </cell>
        </row>
        <row r="92">
          <cell r="B92">
            <v>467075</v>
          </cell>
          <cell r="C92" t="str">
            <v>Ritish</v>
          </cell>
        </row>
        <row r="93">
          <cell r="B93">
            <v>467519</v>
          </cell>
          <cell r="C93" t="str">
            <v>Vivek Tiwari</v>
          </cell>
        </row>
        <row r="94">
          <cell r="B94">
            <v>467544</v>
          </cell>
          <cell r="C94" t="str">
            <v>Vinay Kumar</v>
          </cell>
        </row>
        <row r="95">
          <cell r="B95">
            <v>468157</v>
          </cell>
          <cell r="C95" t="str">
            <v>Ankit Tiwari</v>
          </cell>
        </row>
        <row r="96">
          <cell r="B96">
            <v>468224</v>
          </cell>
          <cell r="C96" t="str">
            <v>MOHIT KUMAR</v>
          </cell>
        </row>
        <row r="97">
          <cell r="B97">
            <v>468536</v>
          </cell>
          <cell r="C97" t="str">
            <v>Vinod Kumar</v>
          </cell>
        </row>
        <row r="98">
          <cell r="B98">
            <v>468660</v>
          </cell>
          <cell r="C98" t="str">
            <v>SAMAY RAJ</v>
          </cell>
        </row>
        <row r="99">
          <cell r="B99">
            <v>469617</v>
          </cell>
          <cell r="C99" t="str">
            <v>SIYARAM</v>
          </cell>
        </row>
        <row r="100">
          <cell r="B100">
            <v>469627</v>
          </cell>
          <cell r="C100" t="str">
            <v>RAHUL KUMAR</v>
          </cell>
        </row>
        <row r="101">
          <cell r="B101">
            <v>469899</v>
          </cell>
          <cell r="C101" t="str">
            <v>ANKIT</v>
          </cell>
        </row>
        <row r="102">
          <cell r="B102">
            <v>470301</v>
          </cell>
          <cell r="C102" t="str">
            <v>Ankit Kumar</v>
          </cell>
        </row>
        <row r="103">
          <cell r="B103">
            <v>471387</v>
          </cell>
          <cell r="C103" t="str">
            <v>Neeraj</v>
          </cell>
        </row>
        <row r="104">
          <cell r="B104">
            <v>472322</v>
          </cell>
          <cell r="C104" t="str">
            <v>SANJEET KUMAR</v>
          </cell>
        </row>
        <row r="105">
          <cell r="B105">
            <v>472840</v>
          </cell>
          <cell r="C105" t="str">
            <v>Supravat Adhikary</v>
          </cell>
        </row>
        <row r="106">
          <cell r="B106">
            <v>473015</v>
          </cell>
          <cell r="C106" t="str">
            <v>Partap</v>
          </cell>
        </row>
        <row r="107">
          <cell r="B107">
            <v>473266</v>
          </cell>
          <cell r="C107" t="str">
            <v>Jitender Yadav</v>
          </cell>
        </row>
        <row r="108">
          <cell r="B108">
            <v>474194</v>
          </cell>
          <cell r="C108" t="str">
            <v>Rohit Yadav</v>
          </cell>
        </row>
        <row r="109">
          <cell r="B109">
            <v>476372</v>
          </cell>
          <cell r="C109" t="str">
            <v>LAKSH</v>
          </cell>
        </row>
        <row r="110">
          <cell r="B110">
            <v>478084</v>
          </cell>
          <cell r="C110" t="str">
            <v>Ashish Dutt Mishra</v>
          </cell>
        </row>
        <row r="111">
          <cell r="B111">
            <v>478266</v>
          </cell>
          <cell r="C111" t="str">
            <v xml:space="preserve">ABHISHEK SHARMA </v>
          </cell>
        </row>
        <row r="112">
          <cell r="B112">
            <v>478269</v>
          </cell>
          <cell r="C112" t="str">
            <v xml:space="preserve">SAURABH KUMAR </v>
          </cell>
        </row>
        <row r="113">
          <cell r="B113">
            <v>478270</v>
          </cell>
          <cell r="C113" t="str">
            <v xml:space="preserve">INZMAM ALI </v>
          </cell>
        </row>
        <row r="114">
          <cell r="B114">
            <v>478308</v>
          </cell>
          <cell r="C114" t="str">
            <v xml:space="preserve">ABHISHEK SAVITA </v>
          </cell>
        </row>
        <row r="115">
          <cell r="B115">
            <v>478377</v>
          </cell>
          <cell r="C115" t="str">
            <v xml:space="preserve">ISHI VERMA </v>
          </cell>
        </row>
        <row r="116">
          <cell r="B116">
            <v>479348</v>
          </cell>
          <cell r="C116" t="str">
            <v>Harmandeep</v>
          </cell>
        </row>
        <row r="117">
          <cell r="B117">
            <v>479724</v>
          </cell>
          <cell r="C117" t="str">
            <v>Honey</v>
          </cell>
        </row>
        <row r="118">
          <cell r="B118">
            <v>479827</v>
          </cell>
          <cell r="C118" t="str">
            <v>Sunil Kumar Sharma</v>
          </cell>
        </row>
        <row r="119">
          <cell r="B119">
            <v>484877</v>
          </cell>
          <cell r="C119" t="str">
            <v>Prashant Gupta</v>
          </cell>
        </row>
        <row r="120">
          <cell r="B120">
            <v>486309</v>
          </cell>
          <cell r="C120" t="str">
            <v>Ankit Bhatt</v>
          </cell>
        </row>
        <row r="121">
          <cell r="B121">
            <v>487107</v>
          </cell>
          <cell r="C121" t="str">
            <v>MANISH KUMAR SINGH</v>
          </cell>
        </row>
        <row r="122">
          <cell r="B122">
            <v>487476</v>
          </cell>
          <cell r="C122" t="str">
            <v>Harshdeep Singh</v>
          </cell>
        </row>
        <row r="123">
          <cell r="B123">
            <v>492857</v>
          </cell>
          <cell r="C123" t="str">
            <v>Arnima Thakur</v>
          </cell>
        </row>
        <row r="124">
          <cell r="B124">
            <v>700216</v>
          </cell>
          <cell r="C124" t="str">
            <v>Shivam Rani</v>
          </cell>
        </row>
        <row r="125">
          <cell r="B125">
            <v>705995</v>
          </cell>
          <cell r="C125" t="str">
            <v>Sahil</v>
          </cell>
        </row>
        <row r="126">
          <cell r="B126">
            <v>706181</v>
          </cell>
          <cell r="C126" t="str">
            <v>Sonam Kachhap</v>
          </cell>
        </row>
        <row r="127">
          <cell r="B127">
            <v>706306</v>
          </cell>
          <cell r="C127" t="str">
            <v>SUBHASHREE PRIYADARSHINI NAYAK</v>
          </cell>
        </row>
        <row r="128">
          <cell r="B128">
            <v>707131</v>
          </cell>
          <cell r="C128" t="str">
            <v>Puja Bhalotia</v>
          </cell>
        </row>
        <row r="129">
          <cell r="B129">
            <v>708792</v>
          </cell>
          <cell r="C129" t="str">
            <v>Shubhanshu Pandey</v>
          </cell>
        </row>
        <row r="130">
          <cell r="B130">
            <v>709664</v>
          </cell>
          <cell r="C130" t="str">
            <v>Kavita Rathore</v>
          </cell>
        </row>
        <row r="131">
          <cell r="B131">
            <v>710013</v>
          </cell>
          <cell r="C131" t="str">
            <v>Jyoti</v>
          </cell>
        </row>
        <row r="132">
          <cell r="B132">
            <v>426232</v>
          </cell>
          <cell r="C132" t="str">
            <v>VARISH HUSSAIN</v>
          </cell>
        </row>
        <row r="133">
          <cell r="B133">
            <v>710555</v>
          </cell>
          <cell r="C133" t="str">
            <v>Jyoti Chauhan</v>
          </cell>
        </row>
        <row r="134">
          <cell r="B134">
            <v>712428</v>
          </cell>
          <cell r="C134" t="str">
            <v>Akanksha Gangwar</v>
          </cell>
        </row>
        <row r="135">
          <cell r="B135">
            <v>435548</v>
          </cell>
          <cell r="C135" t="str">
            <v>Gurwant Singh Sran</v>
          </cell>
        </row>
        <row r="136">
          <cell r="B136">
            <v>716610</v>
          </cell>
          <cell r="C136" t="str">
            <v>Naval Singh Rathore</v>
          </cell>
        </row>
        <row r="137">
          <cell r="B137">
            <v>721765</v>
          </cell>
          <cell r="C137" t="str">
            <v>Sneha</v>
          </cell>
        </row>
        <row r="138">
          <cell r="B138">
            <v>721766</v>
          </cell>
          <cell r="C138" t="str">
            <v>Bhawna Sharma</v>
          </cell>
        </row>
        <row r="139">
          <cell r="B139">
            <v>721899</v>
          </cell>
          <cell r="C139" t="str">
            <v>Khushboo Yadav</v>
          </cell>
        </row>
        <row r="140">
          <cell r="B140">
            <v>722356</v>
          </cell>
          <cell r="C140" t="str">
            <v>Ashita Munjely</v>
          </cell>
        </row>
        <row r="141">
          <cell r="B141">
            <v>722183</v>
          </cell>
          <cell r="C141" t="str">
            <v>Harpreet Kaur</v>
          </cell>
        </row>
        <row r="142">
          <cell r="B142">
            <v>722393</v>
          </cell>
          <cell r="C142" t="str">
            <v>Koteswara Devireddy</v>
          </cell>
        </row>
        <row r="143">
          <cell r="B143">
            <v>722751</v>
          </cell>
          <cell r="C143" t="str">
            <v>Palak</v>
          </cell>
        </row>
        <row r="144">
          <cell r="B144">
            <v>722752</v>
          </cell>
          <cell r="C144" t="str">
            <v>Monika Jain</v>
          </cell>
        </row>
        <row r="145">
          <cell r="B145">
            <v>722782</v>
          </cell>
          <cell r="C145" t="str">
            <v>Kriti</v>
          </cell>
        </row>
        <row r="146">
          <cell r="B146">
            <v>722783</v>
          </cell>
          <cell r="C146" t="str">
            <v>Anjali</v>
          </cell>
        </row>
        <row r="147">
          <cell r="B147">
            <v>726299</v>
          </cell>
          <cell r="C147" t="str">
            <v>Anu Devi</v>
          </cell>
        </row>
        <row r="148">
          <cell r="B148">
            <v>723888</v>
          </cell>
          <cell r="C148" t="str">
            <v>Deepak Tiwari</v>
          </cell>
        </row>
        <row r="149">
          <cell r="B149">
            <v>725073</v>
          </cell>
          <cell r="C149" t="str">
            <v>Pinki Gupta</v>
          </cell>
        </row>
        <row r="150">
          <cell r="B150">
            <v>725373</v>
          </cell>
          <cell r="C150" t="str">
            <v>Ishan Kalia</v>
          </cell>
        </row>
        <row r="151">
          <cell r="B151">
            <v>724729</v>
          </cell>
          <cell r="C151" t="str">
            <v>Akash Kumar</v>
          </cell>
        </row>
        <row r="152">
          <cell r="B152">
            <v>726234</v>
          </cell>
          <cell r="C152" t="str">
            <v>Jaspal Singh</v>
          </cell>
        </row>
        <row r="153">
          <cell r="B153">
            <v>727595</v>
          </cell>
          <cell r="C153" t="str">
            <v>Vishal Kumar</v>
          </cell>
        </row>
        <row r="154">
          <cell r="B154">
            <v>728885</v>
          </cell>
          <cell r="C154" t="str">
            <v>Simran</v>
          </cell>
        </row>
        <row r="155">
          <cell r="B155">
            <v>728886</v>
          </cell>
          <cell r="C155" t="str">
            <v>Annu</v>
          </cell>
        </row>
        <row r="156">
          <cell r="B156">
            <v>728833</v>
          </cell>
          <cell r="C156" t="str">
            <v>Mo. Azhar Ansari</v>
          </cell>
        </row>
        <row r="157">
          <cell r="B157">
            <v>728772</v>
          </cell>
          <cell r="C157" t="str">
            <v>Abhishek Dixit</v>
          </cell>
        </row>
        <row r="158">
          <cell r="B158">
            <v>729134</v>
          </cell>
          <cell r="C158" t="str">
            <v>Gursimrat</v>
          </cell>
        </row>
        <row r="159">
          <cell r="B159">
            <v>728844</v>
          </cell>
          <cell r="C159" t="str">
            <v>Simarpreet</v>
          </cell>
        </row>
        <row r="160">
          <cell r="B160">
            <v>728947</v>
          </cell>
          <cell r="C160" t="str">
            <v>Salja</v>
          </cell>
        </row>
        <row r="161">
          <cell r="B161">
            <v>728849</v>
          </cell>
          <cell r="C161" t="str">
            <v>Rohit Kumar</v>
          </cell>
        </row>
        <row r="162">
          <cell r="B162">
            <v>729000</v>
          </cell>
          <cell r="C162" t="str">
            <v>Nitish Kumar</v>
          </cell>
        </row>
        <row r="163">
          <cell r="B163">
            <v>729581</v>
          </cell>
          <cell r="C163" t="str">
            <v>Ajay Kumar Yadav</v>
          </cell>
        </row>
        <row r="164">
          <cell r="B164">
            <v>730033</v>
          </cell>
          <cell r="C164" t="str">
            <v>Ankush Jain</v>
          </cell>
        </row>
        <row r="165">
          <cell r="B165">
            <v>732529</v>
          </cell>
          <cell r="C165" t="str">
            <v>Niyati Dimri</v>
          </cell>
        </row>
        <row r="166">
          <cell r="B166">
            <v>733893</v>
          </cell>
          <cell r="C166" t="str">
            <v>Gaurav Kumar</v>
          </cell>
        </row>
        <row r="167">
          <cell r="B167">
            <v>733466</v>
          </cell>
          <cell r="C167" t="str">
            <v>Vikas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22"/>
  <sheetViews>
    <sheetView workbookViewId="0">
      <pane ySplit="1" topLeftCell="A2" activePane="bottomLeft" state="frozen"/>
      <selection pane="bottomLeft" activeCell="A14" sqref="A14"/>
    </sheetView>
  </sheetViews>
  <sheetFormatPr defaultColWidth="9" defaultRowHeight="16.5"/>
  <cols>
    <col min="1" max="1" width="17.140625" style="9" customWidth="1"/>
    <col min="2" max="2" width="25.5703125" style="9" bestFit="1" customWidth="1"/>
    <col min="3" max="3" width="17.140625" style="12" customWidth="1"/>
    <col min="4" max="5" width="17.140625" style="9" customWidth="1"/>
    <col min="6" max="6" width="12.7109375" bestFit="1" customWidth="1"/>
  </cols>
  <sheetData>
    <row r="1" spans="1:5">
      <c r="A1" s="21" t="s">
        <v>0</v>
      </c>
      <c r="B1" s="13" t="s">
        <v>1</v>
      </c>
      <c r="C1" s="13" t="s">
        <v>2</v>
      </c>
      <c r="D1" s="13" t="s">
        <v>3</v>
      </c>
      <c r="E1" s="21" t="s">
        <v>0</v>
      </c>
    </row>
    <row r="2" spans="1:5">
      <c r="A2" s="6">
        <v>450230</v>
      </c>
      <c r="B2" s="6" t="s">
        <v>4</v>
      </c>
      <c r="C2" s="12" t="s">
        <v>5</v>
      </c>
      <c r="D2" s="22" t="s">
        <v>6</v>
      </c>
      <c r="E2" s="6">
        <v>450230</v>
      </c>
    </row>
    <row r="3" spans="1:5">
      <c r="A3" s="6">
        <v>452073</v>
      </c>
      <c r="B3" s="6" t="s">
        <v>120</v>
      </c>
      <c r="C3" s="12" t="s">
        <v>30</v>
      </c>
      <c r="D3" s="22" t="s">
        <v>121</v>
      </c>
      <c r="E3" s="6">
        <v>452073</v>
      </c>
    </row>
    <row r="4" spans="1:5">
      <c r="A4" s="6">
        <v>461161</v>
      </c>
      <c r="B4" s="6" t="s">
        <v>159</v>
      </c>
      <c r="C4" s="12" t="s">
        <v>11</v>
      </c>
      <c r="D4" s="22" t="s">
        <v>154</v>
      </c>
      <c r="E4" s="6">
        <v>461161</v>
      </c>
    </row>
    <row r="5" spans="1:5">
      <c r="A5" s="6">
        <v>456091</v>
      </c>
      <c r="B5" s="6" t="s">
        <v>7</v>
      </c>
      <c r="C5" s="12" t="s">
        <v>8</v>
      </c>
      <c r="D5" s="22" t="s">
        <v>6</v>
      </c>
      <c r="E5" s="6">
        <v>456091</v>
      </c>
    </row>
    <row r="6" spans="1:5">
      <c r="A6" s="6">
        <v>478308</v>
      </c>
      <c r="B6" s="6" t="s">
        <v>48</v>
      </c>
      <c r="C6" s="12" t="s">
        <v>30</v>
      </c>
      <c r="D6" s="22" t="s">
        <v>49</v>
      </c>
      <c r="E6" s="6">
        <v>478308</v>
      </c>
    </row>
    <row r="7" spans="1:5">
      <c r="A7" s="6">
        <v>478266</v>
      </c>
      <c r="B7" s="6" t="s">
        <v>160</v>
      </c>
      <c r="C7" s="12" t="s">
        <v>5</v>
      </c>
      <c r="D7" s="22" t="s">
        <v>154</v>
      </c>
      <c r="E7" s="6">
        <v>478266</v>
      </c>
    </row>
    <row r="8" spans="1:5">
      <c r="A8" s="6">
        <v>466167</v>
      </c>
      <c r="B8" s="6" t="s">
        <v>161</v>
      </c>
      <c r="C8" s="12" t="s">
        <v>5</v>
      </c>
      <c r="D8" s="22" t="s">
        <v>154</v>
      </c>
      <c r="E8" s="6">
        <v>466167</v>
      </c>
    </row>
    <row r="9" spans="1:5">
      <c r="A9" s="6">
        <v>712428</v>
      </c>
      <c r="B9" s="6" t="s">
        <v>50</v>
      </c>
      <c r="C9" s="12" t="s">
        <v>17</v>
      </c>
      <c r="D9" s="22" t="s">
        <v>49</v>
      </c>
      <c r="E9" s="6">
        <v>712428</v>
      </c>
    </row>
    <row r="10" spans="1:5">
      <c r="A10" s="6">
        <v>454456</v>
      </c>
      <c r="B10" s="6" t="s">
        <v>162</v>
      </c>
      <c r="C10" s="12" t="s">
        <v>20</v>
      </c>
      <c r="D10" s="22" t="s">
        <v>154</v>
      </c>
      <c r="E10" s="6">
        <v>454456</v>
      </c>
    </row>
    <row r="11" spans="1:5">
      <c r="A11" s="6">
        <v>724729</v>
      </c>
      <c r="B11" s="14" t="s">
        <v>152</v>
      </c>
      <c r="C11" s="12" t="s">
        <v>17</v>
      </c>
      <c r="D11" s="22" t="s">
        <v>121</v>
      </c>
      <c r="E11" s="6">
        <v>724729</v>
      </c>
    </row>
    <row r="12" spans="1:5">
      <c r="A12" s="6">
        <v>452119</v>
      </c>
      <c r="B12" s="6" t="s">
        <v>153</v>
      </c>
      <c r="C12" s="12" t="s">
        <v>30</v>
      </c>
      <c r="D12" s="22" t="s">
        <v>154</v>
      </c>
      <c r="E12" s="6">
        <v>452119</v>
      </c>
    </row>
    <row r="13" spans="1:5">
      <c r="A13" s="6">
        <v>430977</v>
      </c>
      <c r="B13" s="6" t="s">
        <v>85</v>
      </c>
      <c r="C13" s="12" t="s">
        <v>34</v>
      </c>
      <c r="D13" s="22" t="s">
        <v>86</v>
      </c>
      <c r="E13" s="6">
        <v>430977</v>
      </c>
    </row>
    <row r="14" spans="1:5">
      <c r="A14" s="6">
        <v>451857</v>
      </c>
      <c r="B14" s="6" t="s">
        <v>163</v>
      </c>
      <c r="C14" s="12" t="s">
        <v>20</v>
      </c>
      <c r="D14" s="22" t="s">
        <v>154</v>
      </c>
      <c r="E14" s="6">
        <v>451857</v>
      </c>
    </row>
    <row r="15" spans="1:5">
      <c r="A15" s="6">
        <v>722783</v>
      </c>
      <c r="B15" s="14" t="s">
        <v>83</v>
      </c>
      <c r="C15" s="12" t="s">
        <v>11</v>
      </c>
      <c r="D15" s="22" t="s">
        <v>49</v>
      </c>
      <c r="E15" s="6">
        <v>722783</v>
      </c>
    </row>
    <row r="16" spans="1:5">
      <c r="A16" s="6">
        <v>427568</v>
      </c>
      <c r="B16" s="6" t="s">
        <v>122</v>
      </c>
      <c r="C16" s="12" t="s">
        <v>17</v>
      </c>
      <c r="D16" s="22" t="s">
        <v>121</v>
      </c>
      <c r="E16" s="6">
        <v>427568</v>
      </c>
    </row>
    <row r="17" spans="1:5">
      <c r="A17" s="6">
        <v>469899</v>
      </c>
      <c r="B17" s="6" t="s">
        <v>51</v>
      </c>
      <c r="C17" s="12" t="s">
        <v>11</v>
      </c>
      <c r="D17" s="22" t="s">
        <v>49</v>
      </c>
      <c r="E17" s="6">
        <v>469899</v>
      </c>
    </row>
    <row r="18" spans="1:5">
      <c r="A18" s="6">
        <v>451858</v>
      </c>
      <c r="B18" s="6" t="s">
        <v>123</v>
      </c>
      <c r="C18" s="12" t="s">
        <v>20</v>
      </c>
      <c r="D18" s="22" t="s">
        <v>121</v>
      </c>
      <c r="E18" s="6">
        <v>451858</v>
      </c>
    </row>
    <row r="19" spans="1:5">
      <c r="A19" s="6">
        <v>486309</v>
      </c>
      <c r="B19" s="6" t="s">
        <v>87</v>
      </c>
      <c r="C19" s="12" t="s">
        <v>30</v>
      </c>
      <c r="D19" s="22" t="s">
        <v>86</v>
      </c>
      <c r="E19" s="6">
        <v>486309</v>
      </c>
    </row>
    <row r="20" spans="1:5">
      <c r="A20" s="6">
        <v>470301</v>
      </c>
      <c r="B20" s="6" t="s">
        <v>9</v>
      </c>
      <c r="C20" s="12" t="s">
        <v>5</v>
      </c>
      <c r="D20" s="22" t="s">
        <v>6</v>
      </c>
      <c r="E20" s="6">
        <v>470301</v>
      </c>
    </row>
    <row r="21" spans="1:5">
      <c r="A21" s="6">
        <v>468157</v>
      </c>
      <c r="B21" s="6" t="s">
        <v>124</v>
      </c>
      <c r="C21" s="12" t="s">
        <v>13</v>
      </c>
      <c r="D21" s="22" t="s">
        <v>121</v>
      </c>
      <c r="E21" s="6">
        <v>468157</v>
      </c>
    </row>
    <row r="22" spans="1:5">
      <c r="A22" s="6">
        <v>452115</v>
      </c>
      <c r="B22" s="6" t="s">
        <v>88</v>
      </c>
      <c r="C22" s="12" t="s">
        <v>11</v>
      </c>
      <c r="D22" s="22" t="s">
        <v>86</v>
      </c>
      <c r="E22" s="6">
        <v>452115</v>
      </c>
    </row>
    <row r="23" spans="1:5">
      <c r="A23" s="6">
        <v>467068</v>
      </c>
      <c r="B23" s="6" t="s">
        <v>89</v>
      </c>
      <c r="C23" s="12" t="s">
        <v>11</v>
      </c>
      <c r="D23" s="22" t="s">
        <v>86</v>
      </c>
      <c r="E23" s="6">
        <v>467068</v>
      </c>
    </row>
    <row r="24" spans="1:5">
      <c r="A24" s="6">
        <v>466367</v>
      </c>
      <c r="B24" s="6" t="s">
        <v>52</v>
      </c>
      <c r="C24" s="12" t="s">
        <v>13</v>
      </c>
      <c r="D24" s="22" t="s">
        <v>49</v>
      </c>
      <c r="E24" s="6">
        <v>466367</v>
      </c>
    </row>
    <row r="25" spans="1:5">
      <c r="A25" s="6">
        <v>492857</v>
      </c>
      <c r="B25" s="6" t="s">
        <v>164</v>
      </c>
      <c r="C25" s="12" t="s">
        <v>96</v>
      </c>
      <c r="D25" s="22" t="s">
        <v>154</v>
      </c>
      <c r="E25" s="6">
        <v>492857</v>
      </c>
    </row>
    <row r="26" spans="1:5">
      <c r="A26" s="6">
        <v>408262</v>
      </c>
      <c r="B26" s="6" t="s">
        <v>125</v>
      </c>
      <c r="C26" s="12" t="s">
        <v>17</v>
      </c>
      <c r="D26" s="22" t="s">
        <v>121</v>
      </c>
      <c r="E26" s="6">
        <v>408262</v>
      </c>
    </row>
    <row r="27" spans="1:5">
      <c r="A27" s="6">
        <v>453089</v>
      </c>
      <c r="B27" s="6" t="s">
        <v>10</v>
      </c>
      <c r="C27" s="12" t="s">
        <v>11</v>
      </c>
      <c r="D27" s="22" t="s">
        <v>6</v>
      </c>
      <c r="E27" s="6">
        <v>453089</v>
      </c>
    </row>
    <row r="28" spans="1:5">
      <c r="A28" s="6">
        <v>449890</v>
      </c>
      <c r="B28" s="6" t="s">
        <v>90</v>
      </c>
      <c r="C28" s="12" t="s">
        <v>13</v>
      </c>
      <c r="D28" s="22" t="s">
        <v>86</v>
      </c>
      <c r="E28" s="6">
        <v>449890</v>
      </c>
    </row>
    <row r="29" spans="1:5">
      <c r="A29" s="6">
        <v>453948</v>
      </c>
      <c r="B29" s="6" t="s">
        <v>126</v>
      </c>
      <c r="C29" s="12" t="s">
        <v>5</v>
      </c>
      <c r="D29" s="22" t="s">
        <v>121</v>
      </c>
      <c r="E29" s="6">
        <v>453948</v>
      </c>
    </row>
    <row r="30" spans="1:5">
      <c r="A30" s="6">
        <v>478084</v>
      </c>
      <c r="B30" s="6" t="s">
        <v>12</v>
      </c>
      <c r="C30" s="12" t="s">
        <v>13</v>
      </c>
      <c r="D30" s="22" t="s">
        <v>6</v>
      </c>
      <c r="E30" s="6">
        <v>478084</v>
      </c>
    </row>
    <row r="31" spans="1:5">
      <c r="A31" s="6">
        <v>722356</v>
      </c>
      <c r="B31" s="6" t="s">
        <v>53</v>
      </c>
      <c r="C31" s="12" t="s">
        <v>8</v>
      </c>
      <c r="D31" s="22" t="s">
        <v>49</v>
      </c>
      <c r="E31" s="6">
        <v>722356</v>
      </c>
    </row>
    <row r="32" spans="1:5">
      <c r="A32" s="6">
        <v>466445</v>
      </c>
      <c r="B32" s="14" t="s">
        <v>127</v>
      </c>
      <c r="C32" s="12" t="s">
        <v>13</v>
      </c>
      <c r="D32" s="22" t="s">
        <v>121</v>
      </c>
      <c r="E32" s="6">
        <v>466445</v>
      </c>
    </row>
    <row r="33" spans="1:5">
      <c r="A33" s="6">
        <v>365114</v>
      </c>
      <c r="B33" s="14" t="s">
        <v>54</v>
      </c>
      <c r="C33" s="12" t="s">
        <v>17</v>
      </c>
      <c r="D33" s="22" t="s">
        <v>49</v>
      </c>
      <c r="E33" s="6">
        <v>365114</v>
      </c>
    </row>
    <row r="34" spans="1:5">
      <c r="A34" s="6">
        <v>452058</v>
      </c>
      <c r="B34" s="6" t="s">
        <v>14</v>
      </c>
      <c r="C34" s="12" t="s">
        <v>15</v>
      </c>
      <c r="D34" s="22" t="s">
        <v>6</v>
      </c>
      <c r="E34" s="6">
        <v>452058</v>
      </c>
    </row>
    <row r="35" spans="1:5">
      <c r="A35" s="6">
        <v>721766</v>
      </c>
      <c r="B35" s="6" t="s">
        <v>128</v>
      </c>
      <c r="C35" s="12" t="s">
        <v>11</v>
      </c>
      <c r="D35" s="22" t="s">
        <v>121</v>
      </c>
      <c r="E35" s="6">
        <v>721766</v>
      </c>
    </row>
    <row r="36" spans="1:5">
      <c r="A36" s="6">
        <v>420109</v>
      </c>
      <c r="B36" s="14" t="s">
        <v>129</v>
      </c>
      <c r="C36" s="12" t="s">
        <v>17</v>
      </c>
      <c r="D36" s="22" t="s">
        <v>121</v>
      </c>
      <c r="E36" s="6">
        <v>420109</v>
      </c>
    </row>
    <row r="37" spans="1:5">
      <c r="A37" s="6">
        <v>464500</v>
      </c>
      <c r="B37" s="6" t="s">
        <v>165</v>
      </c>
      <c r="C37" s="12" t="s">
        <v>96</v>
      </c>
      <c r="D37" s="22" t="s">
        <v>154</v>
      </c>
      <c r="E37" s="6">
        <v>464500</v>
      </c>
    </row>
    <row r="38" spans="1:5">
      <c r="A38" s="6">
        <v>456706</v>
      </c>
      <c r="B38" s="6" t="s">
        <v>130</v>
      </c>
      <c r="C38" s="12" t="s">
        <v>13</v>
      </c>
      <c r="D38" s="22" t="s">
        <v>121</v>
      </c>
      <c r="E38" s="6">
        <v>456706</v>
      </c>
    </row>
    <row r="39" spans="1:5">
      <c r="A39" s="6">
        <v>460812</v>
      </c>
      <c r="B39" s="14" t="s">
        <v>166</v>
      </c>
      <c r="C39" s="12" t="s">
        <v>17</v>
      </c>
      <c r="D39" s="22" t="s">
        <v>154</v>
      </c>
      <c r="E39" s="6">
        <v>460812</v>
      </c>
    </row>
    <row r="40" spans="1:5">
      <c r="A40" s="6">
        <v>447096</v>
      </c>
      <c r="B40" s="6" t="s">
        <v>81</v>
      </c>
      <c r="C40" s="12" t="s">
        <v>17</v>
      </c>
      <c r="D40" s="22" t="s">
        <v>49</v>
      </c>
      <c r="E40" s="6">
        <v>447096</v>
      </c>
    </row>
    <row r="41" spans="1:5">
      <c r="A41" s="6">
        <v>723888</v>
      </c>
      <c r="B41" s="14" t="s">
        <v>81</v>
      </c>
      <c r="C41" s="12" t="s">
        <v>17</v>
      </c>
      <c r="D41" s="22" t="s">
        <v>154</v>
      </c>
      <c r="E41" s="6">
        <v>723888</v>
      </c>
    </row>
    <row r="42" spans="1:5">
      <c r="A42" s="6">
        <v>455024</v>
      </c>
      <c r="B42" s="6" t="s">
        <v>167</v>
      </c>
      <c r="C42" s="12" t="s">
        <v>30</v>
      </c>
      <c r="D42" s="22" t="s">
        <v>154</v>
      </c>
      <c r="E42" s="6">
        <v>455024</v>
      </c>
    </row>
    <row r="43" spans="1:5">
      <c r="A43" s="6">
        <v>460513</v>
      </c>
      <c r="B43" s="6" t="s">
        <v>91</v>
      </c>
      <c r="C43" s="12" t="s">
        <v>13</v>
      </c>
      <c r="D43" s="22" t="s">
        <v>86</v>
      </c>
      <c r="E43" s="6">
        <v>460513</v>
      </c>
    </row>
    <row r="44" spans="1:5">
      <c r="A44" s="6">
        <v>451567</v>
      </c>
      <c r="B44" s="6" t="s">
        <v>16</v>
      </c>
      <c r="C44" s="12" t="s">
        <v>17</v>
      </c>
      <c r="D44" s="22" t="s">
        <v>6</v>
      </c>
      <c r="E44" s="6">
        <v>451567</v>
      </c>
    </row>
    <row r="45" spans="1:5">
      <c r="A45" s="6">
        <v>420533</v>
      </c>
      <c r="B45" s="6" t="s">
        <v>131</v>
      </c>
      <c r="C45" s="12" t="s">
        <v>17</v>
      </c>
      <c r="D45" s="22" t="s">
        <v>121</v>
      </c>
      <c r="E45" s="6">
        <v>420533</v>
      </c>
    </row>
    <row r="46" spans="1:5">
      <c r="A46" s="6">
        <v>452991</v>
      </c>
      <c r="B46" s="6" t="s">
        <v>18</v>
      </c>
      <c r="C46" s="12" t="s">
        <v>11</v>
      </c>
      <c r="D46" s="22" t="s">
        <v>6</v>
      </c>
      <c r="E46" s="6">
        <v>452991</v>
      </c>
    </row>
    <row r="47" spans="1:5">
      <c r="A47" s="6">
        <v>408627</v>
      </c>
      <c r="B47" s="6" t="s">
        <v>92</v>
      </c>
      <c r="C47" s="12" t="s">
        <v>17</v>
      </c>
      <c r="D47" s="22" t="s">
        <v>86</v>
      </c>
      <c r="E47" s="6">
        <v>408627</v>
      </c>
    </row>
    <row r="48" spans="1:5">
      <c r="A48" s="6">
        <v>463097</v>
      </c>
      <c r="B48" s="6" t="s">
        <v>55</v>
      </c>
      <c r="C48" s="12" t="s">
        <v>11</v>
      </c>
      <c r="D48" s="22" t="s">
        <v>49</v>
      </c>
      <c r="E48" s="6">
        <v>463097</v>
      </c>
    </row>
    <row r="49" spans="1:5">
      <c r="A49" s="6">
        <v>435548</v>
      </c>
      <c r="B49" s="6" t="s">
        <v>56</v>
      </c>
      <c r="C49" s="12" t="s">
        <v>17</v>
      </c>
      <c r="D49" s="22" t="s">
        <v>49</v>
      </c>
      <c r="E49" s="6">
        <v>435548</v>
      </c>
    </row>
    <row r="50" spans="1:5">
      <c r="A50" s="6">
        <v>448882</v>
      </c>
      <c r="B50" s="6" t="s">
        <v>19</v>
      </c>
      <c r="C50" s="12" t="s">
        <v>20</v>
      </c>
      <c r="D50" s="22" t="s">
        <v>6</v>
      </c>
      <c r="E50" s="6">
        <v>448882</v>
      </c>
    </row>
    <row r="51" spans="1:5">
      <c r="A51" s="6">
        <v>428544</v>
      </c>
      <c r="B51" s="6" t="s">
        <v>93</v>
      </c>
      <c r="C51" s="12" t="s">
        <v>34</v>
      </c>
      <c r="D51" s="22" t="s">
        <v>86</v>
      </c>
      <c r="E51" s="6">
        <v>428544</v>
      </c>
    </row>
    <row r="52" spans="1:5">
      <c r="A52" s="6">
        <v>479348</v>
      </c>
      <c r="B52" s="6" t="s">
        <v>57</v>
      </c>
      <c r="C52" s="12" t="s">
        <v>11</v>
      </c>
      <c r="D52" s="22" t="s">
        <v>49</v>
      </c>
      <c r="E52" s="6">
        <v>479348</v>
      </c>
    </row>
    <row r="53" spans="1:5">
      <c r="A53" s="6">
        <v>722183</v>
      </c>
      <c r="B53" s="6" t="s">
        <v>94</v>
      </c>
      <c r="C53" s="12" t="s">
        <v>13</v>
      </c>
      <c r="D53" s="22" t="s">
        <v>86</v>
      </c>
      <c r="E53" s="6">
        <v>722183</v>
      </c>
    </row>
    <row r="54" spans="1:5">
      <c r="A54" s="6">
        <v>487476</v>
      </c>
      <c r="B54" s="6" t="s">
        <v>58</v>
      </c>
      <c r="C54" s="12" t="s">
        <v>11</v>
      </c>
      <c r="D54" s="22" t="s">
        <v>49</v>
      </c>
      <c r="E54" s="6">
        <v>487476</v>
      </c>
    </row>
    <row r="55" spans="1:5">
      <c r="A55" s="6">
        <v>464193</v>
      </c>
      <c r="B55" s="6" t="s">
        <v>21</v>
      </c>
      <c r="C55" s="12" t="s">
        <v>11</v>
      </c>
      <c r="D55" s="22" t="s">
        <v>6</v>
      </c>
      <c r="E55" s="6">
        <v>464193</v>
      </c>
    </row>
    <row r="56" spans="1:5">
      <c r="A56" s="6">
        <v>464188</v>
      </c>
      <c r="B56" s="6" t="s">
        <v>59</v>
      </c>
      <c r="C56" s="12" t="s">
        <v>17</v>
      </c>
      <c r="D56" s="22" t="s">
        <v>49</v>
      </c>
      <c r="E56" s="6">
        <v>464188</v>
      </c>
    </row>
    <row r="57" spans="1:5">
      <c r="A57" s="6">
        <v>437534</v>
      </c>
      <c r="B57" s="6" t="s">
        <v>95</v>
      </c>
      <c r="C57" s="12" t="s">
        <v>96</v>
      </c>
      <c r="D57" s="22" t="s">
        <v>86</v>
      </c>
      <c r="E57" s="6">
        <v>437534</v>
      </c>
    </row>
    <row r="58" spans="1:5">
      <c r="A58" s="6">
        <v>460764</v>
      </c>
      <c r="B58" s="6" t="s">
        <v>60</v>
      </c>
      <c r="C58" s="12" t="s">
        <v>13</v>
      </c>
      <c r="D58" s="22" t="s">
        <v>49</v>
      </c>
      <c r="E58" s="6">
        <v>460764</v>
      </c>
    </row>
    <row r="59" spans="1:5">
      <c r="A59" s="6">
        <v>479724</v>
      </c>
      <c r="B59" s="6" t="s">
        <v>168</v>
      </c>
      <c r="C59" s="12" t="s">
        <v>11</v>
      </c>
      <c r="D59" s="22" t="s">
        <v>154</v>
      </c>
      <c r="E59" s="6">
        <v>479724</v>
      </c>
    </row>
    <row r="60" spans="1:5">
      <c r="A60" s="6">
        <v>478270</v>
      </c>
      <c r="B60" s="6" t="s">
        <v>22</v>
      </c>
      <c r="C60" s="12" t="s">
        <v>20</v>
      </c>
      <c r="D60" s="22" t="s">
        <v>6</v>
      </c>
      <c r="E60" s="6">
        <v>478270</v>
      </c>
    </row>
    <row r="61" spans="1:5">
      <c r="A61" s="6">
        <v>725373</v>
      </c>
      <c r="B61" s="14" t="s">
        <v>157</v>
      </c>
      <c r="C61" s="12" t="s">
        <v>17</v>
      </c>
      <c r="D61" s="22" t="s">
        <v>154</v>
      </c>
      <c r="E61" s="6">
        <v>725373</v>
      </c>
    </row>
    <row r="62" spans="1:5">
      <c r="A62" s="6">
        <v>478377</v>
      </c>
      <c r="B62" s="6" t="s">
        <v>23</v>
      </c>
      <c r="C62" s="12" t="s">
        <v>20</v>
      </c>
      <c r="D62" s="22" t="s">
        <v>6</v>
      </c>
      <c r="E62" s="6">
        <v>478377</v>
      </c>
    </row>
    <row r="63" spans="1:5">
      <c r="A63" s="6">
        <v>458702</v>
      </c>
      <c r="B63" s="6" t="s">
        <v>132</v>
      </c>
      <c r="C63" s="12" t="s">
        <v>13</v>
      </c>
      <c r="D63" s="22" t="s">
        <v>121</v>
      </c>
      <c r="E63" s="6">
        <v>458702</v>
      </c>
    </row>
    <row r="64" spans="1:5">
      <c r="A64" s="6">
        <v>726234</v>
      </c>
      <c r="B64" s="14" t="s">
        <v>158</v>
      </c>
      <c r="C64" s="12" t="s">
        <v>17</v>
      </c>
      <c r="D64" s="22" t="s">
        <v>154</v>
      </c>
      <c r="E64" s="6">
        <v>726234</v>
      </c>
    </row>
    <row r="65" spans="1:5">
      <c r="A65" s="6">
        <v>473266</v>
      </c>
      <c r="B65" s="6" t="s">
        <v>133</v>
      </c>
      <c r="C65" s="12" t="s">
        <v>17</v>
      </c>
      <c r="D65" s="22" t="s">
        <v>121</v>
      </c>
      <c r="E65" s="6">
        <v>473266</v>
      </c>
    </row>
    <row r="66" spans="1:5">
      <c r="A66" s="6">
        <v>710555</v>
      </c>
      <c r="B66" s="6" t="s">
        <v>97</v>
      </c>
      <c r="C66" s="12" t="s">
        <v>8</v>
      </c>
      <c r="D66" s="22" t="s">
        <v>86</v>
      </c>
      <c r="E66" s="6">
        <v>710555</v>
      </c>
    </row>
    <row r="67" spans="1:5">
      <c r="A67" s="6">
        <v>710013</v>
      </c>
      <c r="B67" s="6" t="s">
        <v>98</v>
      </c>
      <c r="C67" s="12" t="s">
        <v>13</v>
      </c>
      <c r="D67" s="22" t="s">
        <v>86</v>
      </c>
      <c r="E67" s="6">
        <v>710013</v>
      </c>
    </row>
    <row r="68" spans="1:5">
      <c r="A68" s="6">
        <v>450256</v>
      </c>
      <c r="B68" s="6" t="s">
        <v>24</v>
      </c>
      <c r="C68" s="12" t="s">
        <v>15</v>
      </c>
      <c r="D68" s="22" t="s">
        <v>6</v>
      </c>
      <c r="E68" s="6">
        <v>450256</v>
      </c>
    </row>
    <row r="69" spans="1:5">
      <c r="A69" s="6">
        <v>436468</v>
      </c>
      <c r="B69" s="6" t="s">
        <v>99</v>
      </c>
      <c r="C69" s="12" t="s">
        <v>34</v>
      </c>
      <c r="D69" s="22" t="s">
        <v>86</v>
      </c>
      <c r="E69" s="6">
        <v>436468</v>
      </c>
    </row>
    <row r="70" spans="1:5">
      <c r="A70" s="6">
        <v>463833</v>
      </c>
      <c r="B70" s="6" t="s">
        <v>100</v>
      </c>
      <c r="C70" s="12" t="s">
        <v>11</v>
      </c>
      <c r="D70" s="22" t="s">
        <v>86</v>
      </c>
      <c r="E70" s="6">
        <v>463833</v>
      </c>
    </row>
    <row r="71" spans="1:5">
      <c r="A71" s="6">
        <v>709664</v>
      </c>
      <c r="B71" s="6" t="s">
        <v>134</v>
      </c>
      <c r="C71" s="12" t="s">
        <v>8</v>
      </c>
      <c r="D71" s="22" t="s">
        <v>121</v>
      </c>
      <c r="E71" s="6">
        <v>709664</v>
      </c>
    </row>
    <row r="72" spans="1:5">
      <c r="A72" s="6">
        <v>450694</v>
      </c>
      <c r="B72" s="6" t="s">
        <v>169</v>
      </c>
      <c r="C72" s="12" t="s">
        <v>20</v>
      </c>
      <c r="D72" s="22" t="s">
        <v>154</v>
      </c>
      <c r="E72" s="6">
        <v>450694</v>
      </c>
    </row>
    <row r="73" spans="1:5">
      <c r="A73" s="6">
        <v>416828</v>
      </c>
      <c r="B73" s="6" t="s">
        <v>61</v>
      </c>
      <c r="C73" s="12" t="s">
        <v>34</v>
      </c>
      <c r="D73" s="22" t="s">
        <v>49</v>
      </c>
      <c r="E73" s="6">
        <v>416828</v>
      </c>
    </row>
    <row r="74" spans="1:5">
      <c r="A74" s="6">
        <v>396485</v>
      </c>
      <c r="B74" s="14" t="s">
        <v>135</v>
      </c>
      <c r="C74" s="12" t="s">
        <v>13</v>
      </c>
      <c r="D74" s="22" t="s">
        <v>121</v>
      </c>
      <c r="E74" s="6">
        <v>396485</v>
      </c>
    </row>
    <row r="75" spans="1:5">
      <c r="A75" s="6">
        <v>721899</v>
      </c>
      <c r="B75" s="6" t="s">
        <v>101</v>
      </c>
      <c r="C75" s="12" t="s">
        <v>11</v>
      </c>
      <c r="D75" s="22" t="s">
        <v>86</v>
      </c>
      <c r="E75" s="6">
        <v>721899</v>
      </c>
    </row>
    <row r="76" spans="1:5">
      <c r="A76" s="6">
        <v>449891</v>
      </c>
      <c r="B76" s="6" t="s">
        <v>170</v>
      </c>
      <c r="C76" s="12" t="s">
        <v>5</v>
      </c>
      <c r="D76" s="22" t="s">
        <v>154</v>
      </c>
      <c r="E76" s="6">
        <v>449891</v>
      </c>
    </row>
    <row r="77" spans="1:5">
      <c r="A77" s="6">
        <v>722393</v>
      </c>
      <c r="B77" s="6" t="s">
        <v>156</v>
      </c>
      <c r="C77" s="12" t="s">
        <v>96</v>
      </c>
      <c r="D77" s="22" t="s">
        <v>154</v>
      </c>
      <c r="E77" s="6">
        <v>722393</v>
      </c>
    </row>
    <row r="78" spans="1:5">
      <c r="A78" s="6">
        <v>722782</v>
      </c>
      <c r="B78" s="14" t="s">
        <v>119</v>
      </c>
      <c r="C78" s="12" t="s">
        <v>11</v>
      </c>
      <c r="D78" s="22" t="s">
        <v>86</v>
      </c>
      <c r="E78" s="6">
        <v>722782</v>
      </c>
    </row>
    <row r="79" spans="1:5">
      <c r="A79" s="6">
        <v>440620</v>
      </c>
      <c r="B79" s="6" t="s">
        <v>25</v>
      </c>
      <c r="C79" s="12" t="s">
        <v>20</v>
      </c>
      <c r="D79" s="22" t="s">
        <v>6</v>
      </c>
      <c r="E79" s="6">
        <v>440620</v>
      </c>
    </row>
    <row r="80" spans="1:5">
      <c r="A80" s="6">
        <v>476372</v>
      </c>
      <c r="B80" s="6" t="s">
        <v>26</v>
      </c>
      <c r="C80" s="12" t="s">
        <v>13</v>
      </c>
      <c r="D80" s="22" t="s">
        <v>6</v>
      </c>
      <c r="E80" s="6">
        <v>476372</v>
      </c>
    </row>
    <row r="81" spans="1:5">
      <c r="A81" s="6">
        <v>450224</v>
      </c>
      <c r="B81" s="6" t="s">
        <v>62</v>
      </c>
      <c r="C81" s="12" t="s">
        <v>5</v>
      </c>
      <c r="D81" s="22" t="s">
        <v>49</v>
      </c>
      <c r="E81" s="6">
        <v>450224</v>
      </c>
    </row>
    <row r="82" spans="1:5">
      <c r="A82" s="6">
        <v>460284</v>
      </c>
      <c r="B82" s="6" t="s">
        <v>136</v>
      </c>
      <c r="C82" s="12" t="s">
        <v>17</v>
      </c>
      <c r="D82" s="22" t="s">
        <v>121</v>
      </c>
      <c r="E82" s="6">
        <v>460284</v>
      </c>
    </row>
    <row r="83" spans="1:5">
      <c r="A83" s="6">
        <v>452059</v>
      </c>
      <c r="B83" s="6" t="s">
        <v>63</v>
      </c>
      <c r="C83" s="12" t="s">
        <v>5</v>
      </c>
      <c r="D83" s="22" t="s">
        <v>49</v>
      </c>
      <c r="E83" s="6">
        <v>452059</v>
      </c>
    </row>
    <row r="84" spans="1:5">
      <c r="A84" s="6">
        <v>434518</v>
      </c>
      <c r="B84" s="6" t="s">
        <v>137</v>
      </c>
      <c r="C84" s="12" t="s">
        <v>17</v>
      </c>
      <c r="D84" s="22" t="s">
        <v>121</v>
      </c>
      <c r="E84" s="6">
        <v>434518</v>
      </c>
    </row>
    <row r="85" spans="1:5">
      <c r="A85" s="6">
        <v>450030</v>
      </c>
      <c r="B85" s="6" t="s">
        <v>102</v>
      </c>
      <c r="C85" s="12" t="s">
        <v>13</v>
      </c>
      <c r="D85" s="22" t="s">
        <v>86</v>
      </c>
      <c r="E85" s="6">
        <v>450030</v>
      </c>
    </row>
    <row r="86" spans="1:5">
      <c r="A86" s="6">
        <v>487107</v>
      </c>
      <c r="B86" s="6" t="s">
        <v>155</v>
      </c>
      <c r="C86" s="12" t="s">
        <v>34</v>
      </c>
      <c r="D86" s="22" t="s">
        <v>154</v>
      </c>
      <c r="E86" s="6">
        <v>487107</v>
      </c>
    </row>
    <row r="87" spans="1:5">
      <c r="A87" s="6">
        <v>452799</v>
      </c>
      <c r="B87" s="6" t="s">
        <v>171</v>
      </c>
      <c r="C87" s="12" t="s">
        <v>5</v>
      </c>
      <c r="D87" s="22" t="s">
        <v>154</v>
      </c>
      <c r="E87" s="6">
        <v>452799</v>
      </c>
    </row>
    <row r="88" spans="1:5">
      <c r="A88" s="6">
        <v>433939</v>
      </c>
      <c r="B88" s="6" t="s">
        <v>138</v>
      </c>
      <c r="C88" s="12" t="s">
        <v>17</v>
      </c>
      <c r="D88" s="22" t="s">
        <v>121</v>
      </c>
      <c r="E88" s="6">
        <v>433939</v>
      </c>
    </row>
    <row r="89" spans="1:5">
      <c r="A89" s="6">
        <v>457430</v>
      </c>
      <c r="B89" s="6" t="s">
        <v>138</v>
      </c>
      <c r="C89" s="12" t="s">
        <v>11</v>
      </c>
      <c r="D89" s="22" t="s">
        <v>154</v>
      </c>
      <c r="E89" s="6">
        <v>457430</v>
      </c>
    </row>
    <row r="90" spans="1:5">
      <c r="A90" s="6">
        <v>459464</v>
      </c>
      <c r="B90" s="6" t="s">
        <v>172</v>
      </c>
      <c r="C90" s="12" t="s">
        <v>20</v>
      </c>
      <c r="D90" s="22" t="s">
        <v>154</v>
      </c>
      <c r="E90" s="6">
        <v>459464</v>
      </c>
    </row>
    <row r="91" spans="1:5">
      <c r="A91" s="6">
        <v>458749</v>
      </c>
      <c r="B91" s="6" t="s">
        <v>139</v>
      </c>
      <c r="C91" s="12" t="s">
        <v>13</v>
      </c>
      <c r="D91" s="22" t="s">
        <v>121</v>
      </c>
      <c r="E91" s="6">
        <v>458749</v>
      </c>
    </row>
    <row r="92" spans="1:5">
      <c r="A92" s="6">
        <v>416087</v>
      </c>
      <c r="B92" s="6" t="s">
        <v>184</v>
      </c>
      <c r="C92" s="12" t="s">
        <v>96</v>
      </c>
      <c r="D92" s="6" t="s">
        <v>185</v>
      </c>
      <c r="E92" s="6">
        <v>416087</v>
      </c>
    </row>
    <row r="93" spans="1:5">
      <c r="A93" s="6">
        <v>450171</v>
      </c>
      <c r="B93" s="6" t="s">
        <v>140</v>
      </c>
      <c r="C93" s="12" t="s">
        <v>5</v>
      </c>
      <c r="D93" s="22" t="s">
        <v>121</v>
      </c>
      <c r="E93" s="6">
        <v>450171</v>
      </c>
    </row>
    <row r="94" spans="1:5">
      <c r="A94" s="6">
        <v>452075</v>
      </c>
      <c r="B94" s="6" t="s">
        <v>103</v>
      </c>
      <c r="C94" s="12" t="s">
        <v>30</v>
      </c>
      <c r="D94" s="22" t="s">
        <v>86</v>
      </c>
      <c r="E94" s="6">
        <v>452075</v>
      </c>
    </row>
    <row r="95" spans="1:5">
      <c r="A95" s="6">
        <v>460692</v>
      </c>
      <c r="B95" s="14" t="s">
        <v>173</v>
      </c>
      <c r="C95" s="12" t="s">
        <v>5</v>
      </c>
      <c r="D95" s="22" t="s">
        <v>154</v>
      </c>
      <c r="E95" s="6">
        <v>460692</v>
      </c>
    </row>
    <row r="96" spans="1:5">
      <c r="A96" s="6">
        <v>440774</v>
      </c>
      <c r="B96" s="6" t="s">
        <v>64</v>
      </c>
      <c r="C96" s="12" t="s">
        <v>13</v>
      </c>
      <c r="D96" s="22" t="s">
        <v>49</v>
      </c>
      <c r="E96" s="6">
        <v>440774</v>
      </c>
    </row>
    <row r="97" spans="1:5">
      <c r="A97" s="6">
        <v>468224</v>
      </c>
      <c r="B97" s="6" t="s">
        <v>104</v>
      </c>
      <c r="C97" s="12" t="s">
        <v>20</v>
      </c>
      <c r="D97" s="22" t="s">
        <v>86</v>
      </c>
      <c r="E97" s="6">
        <v>468224</v>
      </c>
    </row>
    <row r="98" spans="1:5">
      <c r="A98" s="6">
        <v>464871</v>
      </c>
      <c r="B98" s="6" t="s">
        <v>27</v>
      </c>
      <c r="C98" s="12" t="s">
        <v>13</v>
      </c>
      <c r="D98" s="22" t="s">
        <v>6</v>
      </c>
      <c r="E98" s="6">
        <v>464871</v>
      </c>
    </row>
    <row r="99" spans="1:5">
      <c r="A99" s="6">
        <v>722752</v>
      </c>
      <c r="B99" s="14" t="s">
        <v>84</v>
      </c>
      <c r="C99" s="12" t="s">
        <v>11</v>
      </c>
      <c r="D99" s="22" t="s">
        <v>49</v>
      </c>
      <c r="E99" s="6">
        <v>722752</v>
      </c>
    </row>
    <row r="100" spans="1:5">
      <c r="A100" s="6">
        <v>465255</v>
      </c>
      <c r="B100" s="6" t="s">
        <v>28</v>
      </c>
      <c r="C100" s="12" t="s">
        <v>11</v>
      </c>
      <c r="D100" s="22" t="s">
        <v>6</v>
      </c>
      <c r="E100" s="6">
        <v>465255</v>
      </c>
    </row>
    <row r="101" spans="1:5">
      <c r="A101" s="6">
        <v>465254</v>
      </c>
      <c r="B101" s="6" t="s">
        <v>174</v>
      </c>
      <c r="C101" s="12" t="s">
        <v>11</v>
      </c>
      <c r="D101" s="22" t="s">
        <v>154</v>
      </c>
      <c r="E101" s="6">
        <v>465254</v>
      </c>
    </row>
    <row r="102" spans="1:5">
      <c r="A102" s="6">
        <v>424332</v>
      </c>
      <c r="B102" s="6" t="s">
        <v>141</v>
      </c>
      <c r="C102" s="12" t="s">
        <v>8</v>
      </c>
      <c r="D102" s="22" t="s">
        <v>121</v>
      </c>
      <c r="E102" s="6">
        <v>424332</v>
      </c>
    </row>
    <row r="103" spans="1:5">
      <c r="A103" s="6">
        <v>716610</v>
      </c>
      <c r="B103" s="6" t="s">
        <v>175</v>
      </c>
      <c r="C103" s="12" t="s">
        <v>8</v>
      </c>
      <c r="D103" s="22" t="s">
        <v>154</v>
      </c>
      <c r="E103" s="6">
        <v>716610</v>
      </c>
    </row>
    <row r="104" spans="1:5">
      <c r="A104" s="6">
        <v>453949</v>
      </c>
      <c r="B104" s="14" t="s">
        <v>105</v>
      </c>
      <c r="C104" s="12" t="s">
        <v>11</v>
      </c>
      <c r="D104" s="22" t="s">
        <v>86</v>
      </c>
      <c r="E104" s="6">
        <v>453949</v>
      </c>
    </row>
    <row r="105" spans="1:5">
      <c r="A105" s="6">
        <v>471387</v>
      </c>
      <c r="B105" s="6" t="s">
        <v>142</v>
      </c>
      <c r="C105" s="12" t="s">
        <v>5</v>
      </c>
      <c r="D105" s="22" t="s">
        <v>121</v>
      </c>
      <c r="E105" s="6">
        <v>471387</v>
      </c>
    </row>
    <row r="106" spans="1:5">
      <c r="A106" s="6">
        <v>488518</v>
      </c>
      <c r="B106" s="14" t="s">
        <v>176</v>
      </c>
      <c r="C106" s="12" t="s">
        <v>96</v>
      </c>
      <c r="D106" s="22" t="s">
        <v>154</v>
      </c>
      <c r="E106" s="6">
        <v>488518</v>
      </c>
    </row>
    <row r="107" spans="1:5">
      <c r="A107" s="6">
        <v>450225</v>
      </c>
      <c r="B107" s="6" t="s">
        <v>177</v>
      </c>
      <c r="C107" s="12" t="s">
        <v>20</v>
      </c>
      <c r="D107" s="22" t="s">
        <v>154</v>
      </c>
      <c r="E107" s="6">
        <v>450225</v>
      </c>
    </row>
    <row r="108" spans="1:5">
      <c r="A108" s="6">
        <v>452121</v>
      </c>
      <c r="B108" s="6" t="s">
        <v>106</v>
      </c>
      <c r="C108" s="12" t="s">
        <v>30</v>
      </c>
      <c r="D108" s="22" t="s">
        <v>86</v>
      </c>
      <c r="E108" s="6">
        <v>452121</v>
      </c>
    </row>
    <row r="109" spans="1:5">
      <c r="A109" s="6">
        <v>451513</v>
      </c>
      <c r="B109" s="6" t="s">
        <v>65</v>
      </c>
      <c r="C109" s="12" t="s">
        <v>20</v>
      </c>
      <c r="D109" s="22" t="s">
        <v>49</v>
      </c>
      <c r="E109" s="6">
        <v>451513</v>
      </c>
    </row>
    <row r="110" spans="1:5">
      <c r="A110" s="6">
        <v>722751</v>
      </c>
      <c r="B110" s="14" t="s">
        <v>46</v>
      </c>
      <c r="C110" s="12" t="s">
        <v>11</v>
      </c>
      <c r="D110" s="22" t="s">
        <v>6</v>
      </c>
      <c r="E110" s="6">
        <v>722751</v>
      </c>
    </row>
    <row r="111" spans="1:5">
      <c r="A111" s="6">
        <v>435877</v>
      </c>
      <c r="B111" s="14" t="s">
        <v>66</v>
      </c>
      <c r="C111" s="12" t="s">
        <v>5</v>
      </c>
      <c r="D111" s="22" t="s">
        <v>49</v>
      </c>
      <c r="E111" s="6">
        <v>435877</v>
      </c>
    </row>
    <row r="112" spans="1:5">
      <c r="A112" s="6">
        <v>445891</v>
      </c>
      <c r="B112" s="6" t="s">
        <v>143</v>
      </c>
      <c r="C112" s="12" t="s">
        <v>8</v>
      </c>
      <c r="D112" s="22" t="s">
        <v>121</v>
      </c>
      <c r="E112" s="6">
        <v>445891</v>
      </c>
    </row>
    <row r="113" spans="1:5">
      <c r="A113" s="6">
        <v>473015</v>
      </c>
      <c r="B113" s="6" t="s">
        <v>144</v>
      </c>
      <c r="C113" s="12" t="s">
        <v>13</v>
      </c>
      <c r="D113" s="22" t="s">
        <v>121</v>
      </c>
      <c r="E113" s="6">
        <v>473015</v>
      </c>
    </row>
    <row r="114" spans="1:5">
      <c r="A114" s="6">
        <v>463059</v>
      </c>
      <c r="B114" s="6" t="s">
        <v>178</v>
      </c>
      <c r="C114" s="12" t="s">
        <v>5</v>
      </c>
      <c r="D114" s="22" t="s">
        <v>154</v>
      </c>
      <c r="E114" s="6">
        <v>463059</v>
      </c>
    </row>
    <row r="115" spans="1:5">
      <c r="A115" s="6">
        <v>725073</v>
      </c>
      <c r="B115" s="14" t="s">
        <v>47</v>
      </c>
      <c r="C115" s="12" t="s">
        <v>5</v>
      </c>
      <c r="D115" s="22" t="s">
        <v>6</v>
      </c>
      <c r="E115" s="6">
        <v>725073</v>
      </c>
    </row>
    <row r="116" spans="1:5">
      <c r="A116" s="6">
        <v>484877</v>
      </c>
      <c r="B116" s="6" t="s">
        <v>107</v>
      </c>
      <c r="C116" s="12" t="s">
        <v>17</v>
      </c>
      <c r="D116" s="22" t="s">
        <v>86</v>
      </c>
      <c r="E116" s="6">
        <v>484877</v>
      </c>
    </row>
    <row r="117" spans="1:5">
      <c r="A117" s="6">
        <v>440317</v>
      </c>
      <c r="B117" s="6" t="s">
        <v>29</v>
      </c>
      <c r="C117" s="12" t="s">
        <v>30</v>
      </c>
      <c r="D117" s="22" t="s">
        <v>6</v>
      </c>
      <c r="E117" s="6">
        <v>440317</v>
      </c>
    </row>
    <row r="118" spans="1:5">
      <c r="A118" s="6">
        <v>707131</v>
      </c>
      <c r="B118" s="6" t="s">
        <v>67</v>
      </c>
      <c r="C118" s="12" t="s">
        <v>13</v>
      </c>
      <c r="D118" s="22" t="s">
        <v>49</v>
      </c>
      <c r="E118" s="6">
        <v>707131</v>
      </c>
    </row>
    <row r="119" spans="1:5">
      <c r="A119" s="6">
        <v>469627</v>
      </c>
      <c r="B119" s="6" t="s">
        <v>68</v>
      </c>
      <c r="C119" s="12" t="s">
        <v>11</v>
      </c>
      <c r="D119" s="22" t="s">
        <v>49</v>
      </c>
      <c r="E119" s="6">
        <v>469627</v>
      </c>
    </row>
    <row r="120" spans="1:5">
      <c r="A120" s="6">
        <v>438864</v>
      </c>
      <c r="B120" s="6" t="s">
        <v>31</v>
      </c>
      <c r="C120" s="12" t="s">
        <v>5</v>
      </c>
      <c r="D120" s="22" t="s">
        <v>6</v>
      </c>
      <c r="E120" s="6">
        <v>438864</v>
      </c>
    </row>
    <row r="121" spans="1:5">
      <c r="A121" s="6">
        <v>447836</v>
      </c>
      <c r="B121" s="6" t="s">
        <v>69</v>
      </c>
      <c r="C121" s="12" t="s">
        <v>13</v>
      </c>
      <c r="D121" s="22" t="s">
        <v>49</v>
      </c>
      <c r="E121" s="6">
        <v>447836</v>
      </c>
    </row>
    <row r="122" spans="1:5">
      <c r="A122" s="6">
        <v>449551</v>
      </c>
      <c r="B122" s="6" t="s">
        <v>32</v>
      </c>
      <c r="C122" s="12" t="s">
        <v>5</v>
      </c>
      <c r="D122" s="22" t="s">
        <v>6</v>
      </c>
      <c r="E122" s="6">
        <v>449551</v>
      </c>
    </row>
    <row r="123" spans="1:5">
      <c r="A123" s="6">
        <v>438957</v>
      </c>
      <c r="B123" s="6" t="s">
        <v>33</v>
      </c>
      <c r="C123" s="12" t="s">
        <v>34</v>
      </c>
      <c r="D123" s="22" t="s">
        <v>6</v>
      </c>
      <c r="E123" s="6">
        <v>438957</v>
      </c>
    </row>
    <row r="124" spans="1:5">
      <c r="A124" s="6">
        <v>459234</v>
      </c>
      <c r="B124" s="6" t="s">
        <v>35</v>
      </c>
      <c r="C124" s="12" t="s">
        <v>11</v>
      </c>
      <c r="D124" s="22" t="s">
        <v>6</v>
      </c>
      <c r="E124" s="6">
        <v>459234</v>
      </c>
    </row>
    <row r="125" spans="1:5">
      <c r="A125" s="6">
        <v>467075</v>
      </c>
      <c r="B125" s="6" t="s">
        <v>36</v>
      </c>
      <c r="C125" s="12" t="s">
        <v>11</v>
      </c>
      <c r="D125" s="22" t="s">
        <v>6</v>
      </c>
      <c r="E125" s="6">
        <v>467075</v>
      </c>
    </row>
    <row r="126" spans="1:5">
      <c r="A126" s="6">
        <v>452118</v>
      </c>
      <c r="B126" s="6" t="s">
        <v>108</v>
      </c>
      <c r="C126" s="12" t="s">
        <v>20</v>
      </c>
      <c r="D126" s="22" t="s">
        <v>86</v>
      </c>
      <c r="E126" s="6">
        <v>452118</v>
      </c>
    </row>
    <row r="127" spans="1:5">
      <c r="A127" s="6">
        <v>427154</v>
      </c>
      <c r="B127" s="6" t="s">
        <v>37</v>
      </c>
      <c r="C127" s="12" t="s">
        <v>34</v>
      </c>
      <c r="D127" s="22" t="s">
        <v>6</v>
      </c>
      <c r="E127" s="6">
        <v>427154</v>
      </c>
    </row>
    <row r="128" spans="1:5">
      <c r="A128" s="6">
        <v>463660</v>
      </c>
      <c r="B128" s="6" t="s">
        <v>109</v>
      </c>
      <c r="C128" s="12" t="s">
        <v>17</v>
      </c>
      <c r="D128" s="22" t="s">
        <v>86</v>
      </c>
      <c r="E128" s="6">
        <v>463660</v>
      </c>
    </row>
    <row r="129" spans="1:5">
      <c r="A129" s="6">
        <v>474194</v>
      </c>
      <c r="B129" s="6" t="s">
        <v>70</v>
      </c>
      <c r="C129" s="12" t="s">
        <v>13</v>
      </c>
      <c r="D129" s="22" t="s">
        <v>49</v>
      </c>
      <c r="E129" s="6">
        <v>474194</v>
      </c>
    </row>
    <row r="130" spans="1:5">
      <c r="A130" s="6">
        <v>452056</v>
      </c>
      <c r="B130" s="6" t="s">
        <v>110</v>
      </c>
      <c r="C130" s="12" t="s">
        <v>11</v>
      </c>
      <c r="D130" s="22" t="s">
        <v>86</v>
      </c>
      <c r="E130" s="6">
        <v>452056</v>
      </c>
    </row>
    <row r="131" spans="1:5">
      <c r="A131" s="6">
        <v>432865</v>
      </c>
      <c r="B131" s="6" t="s">
        <v>38</v>
      </c>
      <c r="C131" s="12" t="s">
        <v>13</v>
      </c>
      <c r="D131" s="22" t="s">
        <v>6</v>
      </c>
      <c r="E131" s="6">
        <v>432865</v>
      </c>
    </row>
    <row r="132" spans="1:5">
      <c r="A132" s="6">
        <v>457157</v>
      </c>
      <c r="B132" s="6" t="s">
        <v>111</v>
      </c>
      <c r="C132" s="12" t="s">
        <v>13</v>
      </c>
      <c r="D132" s="22" t="s">
        <v>86</v>
      </c>
      <c r="E132" s="6">
        <v>457157</v>
      </c>
    </row>
    <row r="133" spans="1:5">
      <c r="A133" s="6">
        <v>450693</v>
      </c>
      <c r="B133" s="6" t="s">
        <v>145</v>
      </c>
      <c r="C133" s="12" t="s">
        <v>11</v>
      </c>
      <c r="D133" s="22" t="s">
        <v>121</v>
      </c>
      <c r="E133" s="6">
        <v>450693</v>
      </c>
    </row>
    <row r="134" spans="1:5">
      <c r="A134" s="6">
        <v>452057</v>
      </c>
      <c r="B134" s="6" t="s">
        <v>39</v>
      </c>
      <c r="C134" s="12" t="s">
        <v>11</v>
      </c>
      <c r="D134" s="22" t="s">
        <v>6</v>
      </c>
      <c r="E134" s="6">
        <v>452057</v>
      </c>
    </row>
    <row r="135" spans="1:5">
      <c r="A135" s="6">
        <v>705995</v>
      </c>
      <c r="B135" s="6" t="s">
        <v>112</v>
      </c>
      <c r="C135" s="12" t="s">
        <v>5</v>
      </c>
      <c r="D135" s="22" t="s">
        <v>86</v>
      </c>
      <c r="E135" s="6">
        <v>705995</v>
      </c>
    </row>
    <row r="136" spans="1:5">
      <c r="A136" s="6">
        <v>468660</v>
      </c>
      <c r="B136" s="6" t="s">
        <v>40</v>
      </c>
      <c r="C136" s="12" t="s">
        <v>20</v>
      </c>
      <c r="D136" s="22" t="s">
        <v>6</v>
      </c>
      <c r="E136" s="6">
        <v>468660</v>
      </c>
    </row>
    <row r="137" spans="1:5">
      <c r="A137" s="6">
        <v>412273</v>
      </c>
      <c r="B137" s="14" t="s">
        <v>113</v>
      </c>
      <c r="C137" s="12" t="s">
        <v>8</v>
      </c>
      <c r="D137" s="22" t="s">
        <v>86</v>
      </c>
      <c r="E137" s="6">
        <v>412273</v>
      </c>
    </row>
    <row r="138" spans="1:5">
      <c r="A138" s="6">
        <v>407302</v>
      </c>
      <c r="B138" s="6" t="s">
        <v>71</v>
      </c>
      <c r="C138" s="12" t="s">
        <v>17</v>
      </c>
      <c r="D138" s="22" t="s">
        <v>49</v>
      </c>
      <c r="E138" s="6">
        <v>407302</v>
      </c>
    </row>
    <row r="139" spans="1:5">
      <c r="A139" s="6">
        <v>472322</v>
      </c>
      <c r="B139" s="6" t="s">
        <v>72</v>
      </c>
      <c r="C139" s="12" t="s">
        <v>11</v>
      </c>
      <c r="D139" s="22" t="s">
        <v>49</v>
      </c>
      <c r="E139" s="6">
        <v>472322</v>
      </c>
    </row>
    <row r="140" spans="1:5">
      <c r="A140" s="6">
        <v>438679</v>
      </c>
      <c r="B140" s="14" t="s">
        <v>146</v>
      </c>
      <c r="C140" s="12" t="s">
        <v>15</v>
      </c>
      <c r="D140" s="22" t="s">
        <v>121</v>
      </c>
      <c r="E140" s="6">
        <v>438679</v>
      </c>
    </row>
    <row r="141" spans="1:5">
      <c r="A141" s="6">
        <v>478269</v>
      </c>
      <c r="B141" s="6" t="s">
        <v>114</v>
      </c>
      <c r="C141" s="12" t="s">
        <v>5</v>
      </c>
      <c r="D141" s="22" t="s">
        <v>86</v>
      </c>
      <c r="E141" s="6">
        <v>478269</v>
      </c>
    </row>
    <row r="142" spans="1:5">
      <c r="A142" s="6">
        <v>700216</v>
      </c>
      <c r="B142" s="6" t="s">
        <v>147</v>
      </c>
      <c r="C142" s="12" t="s">
        <v>17</v>
      </c>
      <c r="D142" s="22" t="s">
        <v>121</v>
      </c>
      <c r="E142" s="6">
        <v>700216</v>
      </c>
    </row>
    <row r="143" spans="1:5">
      <c r="A143" s="6">
        <v>452076</v>
      </c>
      <c r="B143" s="6" t="s">
        <v>73</v>
      </c>
      <c r="C143" s="12" t="s">
        <v>5</v>
      </c>
      <c r="D143" s="22" t="s">
        <v>49</v>
      </c>
      <c r="E143" s="6">
        <v>452076</v>
      </c>
    </row>
    <row r="144" spans="1:5">
      <c r="A144" s="6">
        <v>450228</v>
      </c>
      <c r="B144" s="6" t="s">
        <v>74</v>
      </c>
      <c r="C144" s="12" t="s">
        <v>11</v>
      </c>
      <c r="D144" s="22" t="s">
        <v>49</v>
      </c>
      <c r="E144" s="6">
        <v>450228</v>
      </c>
    </row>
    <row r="145" spans="1:5">
      <c r="A145" s="6">
        <v>708792</v>
      </c>
      <c r="B145" s="6" t="s">
        <v>75</v>
      </c>
      <c r="C145" s="12" t="s">
        <v>17</v>
      </c>
      <c r="D145" s="22" t="s">
        <v>49</v>
      </c>
      <c r="E145" s="6">
        <v>708792</v>
      </c>
    </row>
    <row r="146" spans="1:5">
      <c r="A146" s="6">
        <v>446300</v>
      </c>
      <c r="B146" s="6" t="s">
        <v>148</v>
      </c>
      <c r="C146" s="12" t="s">
        <v>30</v>
      </c>
      <c r="D146" s="22" t="s">
        <v>121</v>
      </c>
      <c r="E146" s="6">
        <v>446300</v>
      </c>
    </row>
    <row r="147" spans="1:5">
      <c r="A147" s="6">
        <v>450325</v>
      </c>
      <c r="B147" s="6" t="s">
        <v>82</v>
      </c>
      <c r="C147" s="12" t="s">
        <v>13</v>
      </c>
      <c r="D147" s="22" t="s">
        <v>49</v>
      </c>
      <c r="E147" s="6">
        <v>450325</v>
      </c>
    </row>
    <row r="148" spans="1:5">
      <c r="A148" s="6">
        <v>720995</v>
      </c>
      <c r="B148" s="6" t="s">
        <v>115</v>
      </c>
      <c r="C148" s="12" t="s">
        <v>34</v>
      </c>
      <c r="D148" s="22" t="s">
        <v>86</v>
      </c>
      <c r="E148" s="6">
        <v>720995</v>
      </c>
    </row>
    <row r="149" spans="1:5">
      <c r="A149" s="6">
        <v>469617</v>
      </c>
      <c r="B149" s="6" t="s">
        <v>41</v>
      </c>
      <c r="C149" s="12" t="s">
        <v>11</v>
      </c>
      <c r="D149" s="22" t="s">
        <v>6</v>
      </c>
      <c r="E149" s="6">
        <v>469617</v>
      </c>
    </row>
    <row r="150" spans="1:5">
      <c r="A150" s="6">
        <v>460628</v>
      </c>
      <c r="B150" s="6" t="s">
        <v>149</v>
      </c>
      <c r="C150" s="12" t="s">
        <v>11</v>
      </c>
      <c r="D150" s="22" t="s">
        <v>121</v>
      </c>
      <c r="E150" s="6">
        <v>460628</v>
      </c>
    </row>
    <row r="151" spans="1:5">
      <c r="A151" s="6">
        <v>721765</v>
      </c>
      <c r="B151" s="6" t="s">
        <v>42</v>
      </c>
      <c r="C151" s="12" t="s">
        <v>11</v>
      </c>
      <c r="D151" s="22" t="s">
        <v>6</v>
      </c>
      <c r="E151" s="6">
        <v>721765</v>
      </c>
    </row>
    <row r="152" spans="1:5">
      <c r="A152" s="6">
        <v>452074</v>
      </c>
      <c r="B152" s="6" t="s">
        <v>179</v>
      </c>
      <c r="C152" s="12" t="s">
        <v>20</v>
      </c>
      <c r="D152" s="22" t="s">
        <v>154</v>
      </c>
      <c r="E152" s="6">
        <v>452074</v>
      </c>
    </row>
    <row r="153" spans="1:5">
      <c r="A153" s="6">
        <v>706181</v>
      </c>
      <c r="B153" s="14" t="s">
        <v>76</v>
      </c>
      <c r="C153" s="12" t="s">
        <v>17</v>
      </c>
      <c r="D153" s="22" t="s">
        <v>49</v>
      </c>
      <c r="E153" s="6">
        <v>706181</v>
      </c>
    </row>
    <row r="154" spans="1:5">
      <c r="A154" s="6">
        <v>706306</v>
      </c>
      <c r="B154" s="6" t="s">
        <v>180</v>
      </c>
      <c r="C154" s="12" t="s">
        <v>8</v>
      </c>
      <c r="D154" s="22" t="s">
        <v>154</v>
      </c>
      <c r="E154" s="6">
        <v>706306</v>
      </c>
    </row>
    <row r="155" spans="1:5">
      <c r="A155" s="6">
        <v>479827</v>
      </c>
      <c r="B155" s="14" t="s">
        <v>116</v>
      </c>
      <c r="C155" s="12" t="s">
        <v>17</v>
      </c>
      <c r="D155" s="22" t="s">
        <v>86</v>
      </c>
      <c r="E155" s="6">
        <v>479827</v>
      </c>
    </row>
    <row r="156" spans="1:5">
      <c r="A156" s="6">
        <v>472840</v>
      </c>
      <c r="B156" s="6" t="s">
        <v>181</v>
      </c>
      <c r="C156" s="12" t="s">
        <v>13</v>
      </c>
      <c r="D156" s="22" t="s">
        <v>154</v>
      </c>
      <c r="E156" s="6">
        <v>472840</v>
      </c>
    </row>
    <row r="157" spans="1:5">
      <c r="A157" s="6">
        <v>449635</v>
      </c>
      <c r="B157" s="6" t="s">
        <v>182</v>
      </c>
      <c r="C157" s="12" t="s">
        <v>13</v>
      </c>
      <c r="D157" s="22" t="s">
        <v>154</v>
      </c>
      <c r="E157" s="6">
        <v>449635</v>
      </c>
    </row>
    <row r="158" spans="1:5">
      <c r="A158" s="6">
        <v>705909</v>
      </c>
      <c r="B158" s="6" t="s">
        <v>117</v>
      </c>
      <c r="C158" s="12" t="s">
        <v>17</v>
      </c>
      <c r="D158" s="22" t="s">
        <v>86</v>
      </c>
      <c r="E158" s="6">
        <v>705909</v>
      </c>
    </row>
    <row r="159" spans="1:5">
      <c r="A159" s="6">
        <v>423859</v>
      </c>
      <c r="B159" s="14" t="s">
        <v>43</v>
      </c>
      <c r="C159" s="12" t="s">
        <v>15</v>
      </c>
      <c r="D159" s="22" t="s">
        <v>6</v>
      </c>
      <c r="E159" s="6">
        <v>423859</v>
      </c>
    </row>
    <row r="160" spans="1:5">
      <c r="A160" s="6">
        <v>450437</v>
      </c>
      <c r="B160" s="14" t="s">
        <v>150</v>
      </c>
      <c r="C160" s="12" t="s">
        <v>11</v>
      </c>
      <c r="D160" s="22" t="s">
        <v>121</v>
      </c>
      <c r="E160" s="6">
        <v>450437</v>
      </c>
    </row>
    <row r="161" spans="1:5">
      <c r="A161" s="6">
        <v>426232</v>
      </c>
      <c r="B161" s="14" t="s">
        <v>118</v>
      </c>
      <c r="C161" s="12" t="s">
        <v>8</v>
      </c>
      <c r="D161" s="22" t="s">
        <v>86</v>
      </c>
      <c r="E161" s="6">
        <v>426232</v>
      </c>
    </row>
    <row r="162" spans="1:5">
      <c r="A162" s="6">
        <v>466562</v>
      </c>
      <c r="B162" s="6" t="s">
        <v>77</v>
      </c>
      <c r="C162" s="12" t="s">
        <v>13</v>
      </c>
      <c r="D162" s="22" t="s">
        <v>49</v>
      </c>
      <c r="E162" s="6">
        <v>466562</v>
      </c>
    </row>
    <row r="163" spans="1:5">
      <c r="A163" s="6">
        <v>438263</v>
      </c>
      <c r="B163" s="14" t="s">
        <v>183</v>
      </c>
      <c r="C163" s="12" t="s">
        <v>17</v>
      </c>
      <c r="D163" s="22" t="s">
        <v>154</v>
      </c>
      <c r="E163" s="6">
        <v>438263</v>
      </c>
    </row>
    <row r="164" spans="1:5">
      <c r="A164" s="6">
        <v>467544</v>
      </c>
      <c r="B164" s="14" t="s">
        <v>78</v>
      </c>
      <c r="C164" s="12" t="s">
        <v>13</v>
      </c>
      <c r="D164" s="22" t="s">
        <v>49</v>
      </c>
      <c r="E164" s="6">
        <v>467544</v>
      </c>
    </row>
    <row r="165" spans="1:5">
      <c r="A165" s="6">
        <v>468536</v>
      </c>
      <c r="B165" s="14" t="s">
        <v>44</v>
      </c>
      <c r="C165" s="12" t="s">
        <v>11</v>
      </c>
      <c r="D165" s="6" t="s">
        <v>6</v>
      </c>
      <c r="E165" s="6">
        <v>468536</v>
      </c>
    </row>
    <row r="166" spans="1:5">
      <c r="A166" s="6">
        <v>727595</v>
      </c>
      <c r="B166" s="6" t="s">
        <v>186</v>
      </c>
      <c r="C166" s="12" t="s">
        <v>96</v>
      </c>
      <c r="D166" s="6" t="s">
        <v>86</v>
      </c>
      <c r="E166" s="6">
        <v>727595</v>
      </c>
    </row>
    <row r="167" spans="1:5">
      <c r="A167" s="6">
        <v>451509</v>
      </c>
      <c r="B167" s="14" t="s">
        <v>151</v>
      </c>
      <c r="C167" s="12" t="s">
        <v>17</v>
      </c>
      <c r="D167" s="6" t="s">
        <v>121</v>
      </c>
      <c r="E167" s="6">
        <v>451509</v>
      </c>
    </row>
    <row r="168" spans="1:5">
      <c r="A168" s="6">
        <v>451609</v>
      </c>
      <c r="B168" s="14" t="s">
        <v>79</v>
      </c>
      <c r="C168" s="12" t="s">
        <v>8</v>
      </c>
      <c r="D168" s="6" t="s">
        <v>49</v>
      </c>
      <c r="E168" s="6">
        <v>451609</v>
      </c>
    </row>
    <row r="169" spans="1:5">
      <c r="A169" s="6">
        <v>467519</v>
      </c>
      <c r="B169" s="14" t="s">
        <v>80</v>
      </c>
      <c r="C169" s="12" t="s">
        <v>8</v>
      </c>
      <c r="D169" s="6" t="s">
        <v>49</v>
      </c>
      <c r="E169" s="6">
        <v>467519</v>
      </c>
    </row>
    <row r="170" spans="1:5">
      <c r="A170" s="6">
        <v>460888</v>
      </c>
      <c r="B170" s="14" t="s">
        <v>45</v>
      </c>
      <c r="C170" s="12" t="s">
        <v>13</v>
      </c>
      <c r="D170" s="6" t="s">
        <v>6</v>
      </c>
      <c r="E170" s="6">
        <v>460888</v>
      </c>
    </row>
    <row r="171" spans="1:5">
      <c r="A171" s="14">
        <v>726299</v>
      </c>
      <c r="B171" s="14" t="str">
        <f>_xlfn.XLOOKUP(A171,[1]Attendance!$B$2:$B$167,[1]Attendance!$C$2:$C$167,0)</f>
        <v>Anu Devi</v>
      </c>
      <c r="C171" s="12" t="s">
        <v>366</v>
      </c>
      <c r="D171" s="26" t="s">
        <v>86</v>
      </c>
      <c r="E171" s="27">
        <v>726299</v>
      </c>
    </row>
    <row r="172" spans="1:5">
      <c r="A172" s="6">
        <v>728885</v>
      </c>
      <c r="B172" s="14" t="s">
        <v>365</v>
      </c>
      <c r="C172" s="12" t="s">
        <v>366</v>
      </c>
      <c r="D172" s="22" t="s">
        <v>86</v>
      </c>
      <c r="E172" s="6">
        <v>728885</v>
      </c>
    </row>
    <row r="173" spans="1:5">
      <c r="A173" s="6">
        <v>728886</v>
      </c>
      <c r="B173" s="14" t="s">
        <v>367</v>
      </c>
      <c r="C173" s="12" t="s">
        <v>366</v>
      </c>
      <c r="D173" s="22" t="s">
        <v>49</v>
      </c>
      <c r="E173" s="6">
        <v>728886</v>
      </c>
    </row>
    <row r="174" spans="1:5">
      <c r="A174" s="6">
        <v>728833</v>
      </c>
      <c r="B174" s="14" t="s">
        <v>368</v>
      </c>
      <c r="C174" s="12" t="s">
        <v>366</v>
      </c>
      <c r="D174" s="22" t="s">
        <v>121</v>
      </c>
      <c r="E174" s="6">
        <v>728833</v>
      </c>
    </row>
    <row r="175" spans="1:5" ht="15">
      <c r="A175" s="6">
        <v>728772</v>
      </c>
      <c r="B175" s="14" t="s">
        <v>369</v>
      </c>
      <c r="C175" s="6" t="s">
        <v>366</v>
      </c>
      <c r="D175" s="22" t="s">
        <v>49</v>
      </c>
      <c r="E175" s="6">
        <v>728772</v>
      </c>
    </row>
    <row r="176" spans="1:5" ht="15">
      <c r="A176" s="6">
        <v>729134</v>
      </c>
      <c r="B176" s="14" t="s">
        <v>370</v>
      </c>
      <c r="C176" s="6" t="s">
        <v>13</v>
      </c>
      <c r="D176" s="22" t="s">
        <v>121</v>
      </c>
      <c r="E176" s="6">
        <v>729134</v>
      </c>
    </row>
    <row r="177" spans="1:5" ht="15">
      <c r="A177" s="6">
        <v>728844</v>
      </c>
      <c r="B177" s="14" t="s">
        <v>371</v>
      </c>
      <c r="C177" s="6" t="s">
        <v>13</v>
      </c>
      <c r="D177" s="22" t="s">
        <v>154</v>
      </c>
      <c r="E177" s="6">
        <v>728844</v>
      </c>
    </row>
    <row r="178" spans="1:5" ht="15">
      <c r="A178" s="6">
        <v>728947</v>
      </c>
      <c r="B178" s="14" t="s">
        <v>372</v>
      </c>
      <c r="C178" s="6" t="s">
        <v>13</v>
      </c>
      <c r="D178" s="22" t="s">
        <v>6</v>
      </c>
      <c r="E178" s="6">
        <v>728947</v>
      </c>
    </row>
    <row r="179" spans="1:5" ht="15">
      <c r="A179" s="6">
        <v>728849</v>
      </c>
      <c r="B179" s="14" t="s">
        <v>373</v>
      </c>
      <c r="C179" s="6" t="s">
        <v>366</v>
      </c>
      <c r="D179" s="22" t="s">
        <v>154</v>
      </c>
      <c r="E179" s="6">
        <v>728849</v>
      </c>
    </row>
    <row r="180" spans="1:5" ht="15">
      <c r="A180" s="6">
        <v>729000</v>
      </c>
      <c r="B180" s="14" t="s">
        <v>374</v>
      </c>
      <c r="C180" s="6" t="s">
        <v>13</v>
      </c>
      <c r="D180" s="22" t="s">
        <v>121</v>
      </c>
      <c r="E180" s="6">
        <v>729000</v>
      </c>
    </row>
    <row r="181" spans="1:5" ht="15">
      <c r="A181" s="6">
        <v>729581</v>
      </c>
      <c r="B181" s="14" t="s">
        <v>375</v>
      </c>
      <c r="C181" s="6" t="s">
        <v>5</v>
      </c>
      <c r="D181" s="22" t="s">
        <v>121</v>
      </c>
      <c r="E181" s="6">
        <v>729581</v>
      </c>
    </row>
    <row r="182" spans="1:5" ht="15">
      <c r="A182" s="14">
        <v>730033</v>
      </c>
      <c r="B182" s="14" t="s">
        <v>376</v>
      </c>
      <c r="C182" s="6" t="s">
        <v>34</v>
      </c>
      <c r="D182" s="22" t="s">
        <v>154</v>
      </c>
      <c r="E182" s="14">
        <v>730033</v>
      </c>
    </row>
    <row r="183" spans="1:5" ht="15">
      <c r="A183" s="6">
        <v>732529</v>
      </c>
      <c r="B183" s="6" t="s">
        <v>377</v>
      </c>
      <c r="C183" s="6" t="s">
        <v>17</v>
      </c>
      <c r="D183" s="22" t="s">
        <v>86</v>
      </c>
      <c r="E183" s="6">
        <v>732529</v>
      </c>
    </row>
    <row r="184" spans="1:5" ht="15">
      <c r="A184" s="6">
        <v>733893</v>
      </c>
      <c r="B184" s="6" t="s">
        <v>238</v>
      </c>
      <c r="C184" s="6" t="s">
        <v>13</v>
      </c>
      <c r="D184" s="22" t="s">
        <v>121</v>
      </c>
      <c r="E184" s="6">
        <v>733893</v>
      </c>
    </row>
    <row r="185" spans="1:5" ht="15">
      <c r="A185" s="6">
        <v>733466</v>
      </c>
      <c r="B185" s="6" t="s">
        <v>378</v>
      </c>
      <c r="C185" s="6" t="s">
        <v>34</v>
      </c>
      <c r="D185" s="6"/>
      <c r="E185" s="6">
        <v>733466</v>
      </c>
    </row>
    <row r="186" spans="1:5" ht="15">
      <c r="C186" s="9"/>
    </row>
    <row r="187" spans="1:5" ht="15">
      <c r="C187" s="9"/>
    </row>
    <row r="188" spans="1:5" ht="15">
      <c r="C188" s="9"/>
    </row>
    <row r="189" spans="1:5" ht="15">
      <c r="C189" s="9"/>
    </row>
    <row r="190" spans="1:5" ht="15">
      <c r="C190" s="9"/>
    </row>
    <row r="191" spans="1:5" ht="15">
      <c r="C191" s="9"/>
    </row>
    <row r="192" spans="1:5" ht="15">
      <c r="C192" s="9"/>
    </row>
    <row r="193" spans="3:3" ht="15">
      <c r="C193" s="9"/>
    </row>
    <row r="194" spans="3:3" ht="15">
      <c r="C194" s="9"/>
    </row>
    <row r="195" spans="3:3" ht="15">
      <c r="C195" s="9"/>
    </row>
    <row r="196" spans="3:3" ht="15">
      <c r="C196" s="9"/>
    </row>
    <row r="197" spans="3:3" ht="15">
      <c r="C197" s="9"/>
    </row>
    <row r="198" spans="3:3" ht="15">
      <c r="C198" s="9"/>
    </row>
    <row r="199" spans="3:3" ht="15">
      <c r="C199" s="9"/>
    </row>
    <row r="200" spans="3:3" ht="15">
      <c r="C200" s="9"/>
    </row>
    <row r="201" spans="3:3" ht="15">
      <c r="C201" s="9"/>
    </row>
    <row r="202" spans="3:3" ht="15">
      <c r="C202" s="9"/>
    </row>
    <row r="203" spans="3:3" ht="15">
      <c r="C203" s="9"/>
    </row>
    <row r="204" spans="3:3" ht="15">
      <c r="C204" s="9"/>
    </row>
    <row r="205" spans="3:3" ht="15">
      <c r="C205" s="9"/>
    </row>
    <row r="206" spans="3:3" ht="15">
      <c r="C206" s="9"/>
    </row>
    <row r="207" spans="3:3" ht="15">
      <c r="C207" s="9"/>
    </row>
    <row r="208" spans="3:3" ht="15">
      <c r="C208" s="9"/>
    </row>
    <row r="209" spans="3:3" ht="15">
      <c r="C209" s="9"/>
    </row>
    <row r="210" spans="3:3" ht="15">
      <c r="C210" s="9"/>
    </row>
    <row r="211" spans="3:3" ht="15">
      <c r="C211" s="9"/>
    </row>
    <row r="212" spans="3:3" ht="15">
      <c r="C212" s="9"/>
    </row>
    <row r="213" spans="3:3" ht="15">
      <c r="C213" s="9"/>
    </row>
    <row r="214" spans="3:3" ht="15">
      <c r="C214" s="9"/>
    </row>
    <row r="215" spans="3:3" ht="15">
      <c r="C215" s="9"/>
    </row>
    <row r="216" spans="3:3" ht="15">
      <c r="C216" s="9"/>
    </row>
    <row r="217" spans="3:3" ht="15">
      <c r="C217" s="9"/>
    </row>
    <row r="218" spans="3:3" ht="15">
      <c r="C218" s="9"/>
    </row>
    <row r="219" spans="3:3" ht="15">
      <c r="C219" s="9"/>
    </row>
    <row r="220" spans="3:3" ht="15">
      <c r="C220" s="9"/>
    </row>
    <row r="221" spans="3:3" ht="15">
      <c r="C221" s="9"/>
    </row>
    <row r="222" spans="3:3" ht="15">
      <c r="C222" s="9"/>
    </row>
    <row r="223" spans="3:3" ht="15">
      <c r="C223" s="9"/>
    </row>
    <row r="224" spans="3:3" ht="15">
      <c r="C224" s="9"/>
    </row>
    <row r="225" spans="3:3" ht="15">
      <c r="C225" s="9"/>
    </row>
    <row r="226" spans="3:3" ht="15">
      <c r="C226" s="9"/>
    </row>
    <row r="227" spans="3:3" ht="15">
      <c r="C227" s="9"/>
    </row>
    <row r="228" spans="3:3" ht="15">
      <c r="C228" s="9"/>
    </row>
    <row r="229" spans="3:3" ht="15">
      <c r="C229" s="9"/>
    </row>
    <row r="230" spans="3:3" ht="15">
      <c r="C230" s="9"/>
    </row>
    <row r="231" spans="3:3" ht="15">
      <c r="C231" s="9"/>
    </row>
    <row r="232" spans="3:3" ht="15">
      <c r="C232" s="9"/>
    </row>
    <row r="233" spans="3:3" ht="15">
      <c r="C233" s="9"/>
    </row>
    <row r="234" spans="3:3" ht="15">
      <c r="C234" s="9"/>
    </row>
    <row r="235" spans="3:3" ht="15">
      <c r="C235" s="9"/>
    </row>
    <row r="236" spans="3:3" ht="15">
      <c r="C236" s="9"/>
    </row>
    <row r="237" spans="3:3" ht="15">
      <c r="C237" s="9"/>
    </row>
    <row r="238" spans="3:3" ht="15">
      <c r="C238" s="9"/>
    </row>
    <row r="239" spans="3:3" ht="15">
      <c r="C239" s="9"/>
    </row>
    <row r="240" spans="3:3" ht="15">
      <c r="C240" s="9"/>
    </row>
    <row r="241" spans="3:3" ht="15">
      <c r="C241" s="9"/>
    </row>
    <row r="242" spans="3:3" ht="15">
      <c r="C242" s="9"/>
    </row>
    <row r="243" spans="3:3" ht="15">
      <c r="C243" s="9"/>
    </row>
    <row r="244" spans="3:3" ht="15">
      <c r="C244" s="9"/>
    </row>
    <row r="245" spans="3:3" ht="15">
      <c r="C245" s="9"/>
    </row>
    <row r="246" spans="3:3" ht="15">
      <c r="C246" s="9"/>
    </row>
    <row r="247" spans="3:3" ht="15">
      <c r="C247" s="9"/>
    </row>
    <row r="248" spans="3:3" ht="15">
      <c r="C248" s="9"/>
    </row>
    <row r="249" spans="3:3" ht="15">
      <c r="C249" s="9"/>
    </row>
    <row r="250" spans="3:3" ht="15">
      <c r="C250" s="9"/>
    </row>
    <row r="251" spans="3:3" ht="15">
      <c r="C251" s="9"/>
    </row>
    <row r="252" spans="3:3" ht="15">
      <c r="C252" s="9"/>
    </row>
    <row r="253" spans="3:3" ht="15">
      <c r="C253" s="9"/>
    </row>
    <row r="254" spans="3:3" ht="15">
      <c r="C254" s="9"/>
    </row>
    <row r="255" spans="3:3" ht="15">
      <c r="C255" s="9"/>
    </row>
    <row r="256" spans="3:3" ht="15">
      <c r="C256" s="9"/>
    </row>
    <row r="257" spans="3:3" ht="15">
      <c r="C257" s="9"/>
    </row>
    <row r="258" spans="3:3" ht="15">
      <c r="C258" s="9"/>
    </row>
    <row r="259" spans="3:3" ht="15">
      <c r="C259" s="9"/>
    </row>
    <row r="260" spans="3:3" ht="15">
      <c r="C260" s="9"/>
    </row>
    <row r="261" spans="3:3" ht="15">
      <c r="C261" s="9"/>
    </row>
    <row r="262" spans="3:3" ht="15">
      <c r="C262" s="9"/>
    </row>
    <row r="263" spans="3:3" ht="15">
      <c r="C263" s="9"/>
    </row>
    <row r="264" spans="3:3" ht="15">
      <c r="C264" s="9"/>
    </row>
    <row r="265" spans="3:3" ht="15">
      <c r="C265" s="9"/>
    </row>
    <row r="266" spans="3:3" ht="15">
      <c r="C266" s="9"/>
    </row>
    <row r="267" spans="3:3" ht="15">
      <c r="C267" s="9"/>
    </row>
    <row r="268" spans="3:3" ht="15">
      <c r="C268" s="9"/>
    </row>
    <row r="269" spans="3:3" ht="15">
      <c r="C269" s="9"/>
    </row>
    <row r="270" spans="3:3" ht="15">
      <c r="C270" s="9"/>
    </row>
    <row r="271" spans="3:3" ht="15">
      <c r="C271" s="9"/>
    </row>
    <row r="272" spans="3:3" ht="15">
      <c r="C272" s="9"/>
    </row>
    <row r="273" spans="3:3" ht="15">
      <c r="C273" s="9"/>
    </row>
    <row r="274" spans="3:3" ht="15">
      <c r="C274" s="9"/>
    </row>
    <row r="275" spans="3:3" ht="15">
      <c r="C275" s="9"/>
    </row>
    <row r="276" spans="3:3" ht="15">
      <c r="C276" s="9"/>
    </row>
    <row r="277" spans="3:3" ht="15">
      <c r="C277" s="9"/>
    </row>
    <row r="278" spans="3:3" ht="15">
      <c r="C278" s="9"/>
    </row>
    <row r="279" spans="3:3" ht="15">
      <c r="C279" s="9"/>
    </row>
    <row r="280" spans="3:3" ht="15">
      <c r="C280" s="9"/>
    </row>
    <row r="281" spans="3:3" ht="15">
      <c r="C281" s="9"/>
    </row>
    <row r="282" spans="3:3" ht="15">
      <c r="C282" s="9"/>
    </row>
    <row r="283" spans="3:3" ht="15">
      <c r="C283" s="9"/>
    </row>
    <row r="284" spans="3:3" ht="15">
      <c r="C284" s="9"/>
    </row>
    <row r="285" spans="3:3" ht="15">
      <c r="C285" s="9"/>
    </row>
    <row r="286" spans="3:3" ht="15">
      <c r="C286" s="9"/>
    </row>
    <row r="287" spans="3:3" ht="15">
      <c r="C287" s="9"/>
    </row>
    <row r="288" spans="3:3" ht="15">
      <c r="C288" s="9"/>
    </row>
    <row r="289" spans="3:3" ht="15">
      <c r="C289" s="9"/>
    </row>
    <row r="290" spans="3:3" ht="15">
      <c r="C290" s="9"/>
    </row>
    <row r="291" spans="3:3" ht="15">
      <c r="C291" s="9"/>
    </row>
    <row r="292" spans="3:3" ht="15">
      <c r="C292" s="9"/>
    </row>
    <row r="293" spans="3:3" ht="15">
      <c r="C293" s="9"/>
    </row>
    <row r="294" spans="3:3" ht="15">
      <c r="C294" s="9"/>
    </row>
    <row r="295" spans="3:3" ht="15">
      <c r="C295" s="9"/>
    </row>
    <row r="296" spans="3:3" ht="15">
      <c r="C296" s="9"/>
    </row>
    <row r="297" spans="3:3" ht="15">
      <c r="C297" s="9"/>
    </row>
    <row r="298" spans="3:3" ht="15">
      <c r="C298" s="9"/>
    </row>
    <row r="299" spans="3:3" ht="15">
      <c r="C299" s="9"/>
    </row>
    <row r="300" spans="3:3" ht="15">
      <c r="C300" s="9"/>
    </row>
    <row r="301" spans="3:3" ht="15">
      <c r="C301" s="9"/>
    </row>
    <row r="302" spans="3:3" ht="15">
      <c r="C302" s="9"/>
    </row>
    <row r="303" spans="3:3" ht="15">
      <c r="C303" s="9"/>
    </row>
    <row r="304" spans="3:3" ht="15">
      <c r="C304" s="9"/>
    </row>
    <row r="305" spans="3:3" ht="15">
      <c r="C305" s="9"/>
    </row>
    <row r="306" spans="3:3" ht="15">
      <c r="C306" s="9"/>
    </row>
    <row r="307" spans="3:3" ht="15">
      <c r="C307" s="9"/>
    </row>
    <row r="308" spans="3:3" ht="15">
      <c r="C308" s="9"/>
    </row>
    <row r="309" spans="3:3" ht="15">
      <c r="C309" s="9"/>
    </row>
    <row r="310" spans="3:3" ht="15">
      <c r="C310" s="9"/>
    </row>
    <row r="311" spans="3:3" ht="15">
      <c r="C311" s="9"/>
    </row>
    <row r="312" spans="3:3" ht="15">
      <c r="C312" s="9"/>
    </row>
    <row r="313" spans="3:3" ht="15">
      <c r="C313" s="9"/>
    </row>
    <row r="314" spans="3:3" ht="15">
      <c r="C314" s="9"/>
    </row>
    <row r="315" spans="3:3" ht="15">
      <c r="C315" s="9"/>
    </row>
    <row r="316" spans="3:3" ht="15">
      <c r="C316" s="9"/>
    </row>
    <row r="317" spans="3:3" ht="15">
      <c r="C317" s="9"/>
    </row>
    <row r="318" spans="3:3" ht="15">
      <c r="C318" s="9"/>
    </row>
    <row r="319" spans="3:3" ht="15">
      <c r="C319" s="9"/>
    </row>
    <row r="320" spans="3:3" ht="15">
      <c r="C320" s="9"/>
    </row>
    <row r="321" spans="3:3" ht="15">
      <c r="C321" s="9"/>
    </row>
    <row r="322" spans="3:3" ht="15">
      <c r="C322" s="9"/>
    </row>
    <row r="323" spans="3:3" ht="15">
      <c r="C323" s="9"/>
    </row>
    <row r="324" spans="3:3" ht="15">
      <c r="C324" s="9"/>
    </row>
    <row r="325" spans="3:3" ht="15">
      <c r="C325" s="9"/>
    </row>
    <row r="326" spans="3:3" ht="15">
      <c r="C326" s="9"/>
    </row>
    <row r="327" spans="3:3" ht="15">
      <c r="C327" s="9"/>
    </row>
    <row r="328" spans="3:3" ht="15">
      <c r="C328" s="9"/>
    </row>
    <row r="329" spans="3:3" ht="15">
      <c r="C329" s="9"/>
    </row>
    <row r="330" spans="3:3" ht="15">
      <c r="C330" s="9"/>
    </row>
    <row r="331" spans="3:3" ht="15">
      <c r="C331" s="9"/>
    </row>
    <row r="332" spans="3:3" ht="15">
      <c r="C332" s="9"/>
    </row>
    <row r="333" spans="3:3" ht="15">
      <c r="C333" s="9"/>
    </row>
    <row r="334" spans="3:3" ht="15">
      <c r="C334" s="9"/>
    </row>
    <row r="335" spans="3:3" ht="15">
      <c r="C335" s="9"/>
    </row>
    <row r="336" spans="3:3" ht="15">
      <c r="C336" s="9"/>
    </row>
    <row r="337" spans="3:3" ht="15">
      <c r="C337" s="9"/>
    </row>
    <row r="338" spans="3:3" ht="15">
      <c r="C338" s="9"/>
    </row>
    <row r="339" spans="3:3" ht="15">
      <c r="C339" s="9"/>
    </row>
    <row r="340" spans="3:3" ht="15">
      <c r="C340" s="9"/>
    </row>
    <row r="341" spans="3:3" ht="15">
      <c r="C341" s="9"/>
    </row>
    <row r="342" spans="3:3" ht="15">
      <c r="C342" s="9"/>
    </row>
    <row r="343" spans="3:3" ht="15">
      <c r="C343" s="9"/>
    </row>
    <row r="344" spans="3:3" ht="15">
      <c r="C344" s="9"/>
    </row>
    <row r="345" spans="3:3" ht="15">
      <c r="C345" s="9"/>
    </row>
    <row r="346" spans="3:3" ht="15">
      <c r="C346" s="9"/>
    </row>
    <row r="347" spans="3:3" ht="15">
      <c r="C347" s="9"/>
    </row>
    <row r="348" spans="3:3" ht="15">
      <c r="C348" s="9"/>
    </row>
    <row r="349" spans="3:3" ht="15">
      <c r="C349" s="9"/>
    </row>
    <row r="350" spans="3:3" ht="15">
      <c r="C350" s="9"/>
    </row>
    <row r="351" spans="3:3" ht="15">
      <c r="C351" s="9"/>
    </row>
    <row r="352" spans="3:3" ht="15">
      <c r="C352" s="9"/>
    </row>
    <row r="353" spans="3:3" ht="15">
      <c r="C353" s="9"/>
    </row>
    <row r="354" spans="3:3" ht="15">
      <c r="C354" s="9"/>
    </row>
    <row r="355" spans="3:3" ht="15">
      <c r="C355" s="9"/>
    </row>
    <row r="356" spans="3:3" ht="15">
      <c r="C356" s="9"/>
    </row>
    <row r="357" spans="3:3" ht="15">
      <c r="C357" s="9"/>
    </row>
    <row r="358" spans="3:3" ht="15">
      <c r="C358" s="9"/>
    </row>
    <row r="359" spans="3:3" ht="15">
      <c r="C359" s="9"/>
    </row>
    <row r="360" spans="3:3" ht="15">
      <c r="C360" s="9"/>
    </row>
    <row r="361" spans="3:3" ht="15">
      <c r="C361" s="9"/>
    </row>
    <row r="362" spans="3:3" ht="15">
      <c r="C362" s="9"/>
    </row>
    <row r="363" spans="3:3" ht="15">
      <c r="C363" s="9"/>
    </row>
    <row r="364" spans="3:3" ht="15">
      <c r="C364" s="9"/>
    </row>
    <row r="365" spans="3:3" ht="15">
      <c r="C365" s="9"/>
    </row>
    <row r="366" spans="3:3" ht="15">
      <c r="C366" s="9"/>
    </row>
    <row r="367" spans="3:3" ht="15">
      <c r="C367" s="9"/>
    </row>
    <row r="368" spans="3:3" ht="15">
      <c r="C368" s="9"/>
    </row>
    <row r="369" spans="3:3" ht="15">
      <c r="C369" s="9"/>
    </row>
    <row r="370" spans="3:3" ht="15">
      <c r="C370" s="9"/>
    </row>
    <row r="371" spans="3:3" ht="15">
      <c r="C371" s="9"/>
    </row>
    <row r="372" spans="3:3" ht="15">
      <c r="C372" s="9"/>
    </row>
    <row r="373" spans="3:3" ht="15">
      <c r="C373" s="9"/>
    </row>
    <row r="374" spans="3:3" ht="15">
      <c r="C374" s="9"/>
    </row>
    <row r="375" spans="3:3" ht="15">
      <c r="C375" s="9"/>
    </row>
    <row r="376" spans="3:3" ht="15">
      <c r="C376" s="9"/>
    </row>
    <row r="377" spans="3:3" ht="15">
      <c r="C377" s="9"/>
    </row>
    <row r="378" spans="3:3" ht="15">
      <c r="C378" s="9"/>
    </row>
    <row r="379" spans="3:3" ht="15">
      <c r="C379" s="9"/>
    </row>
    <row r="380" spans="3:3" ht="15">
      <c r="C380" s="9"/>
    </row>
    <row r="381" spans="3:3" ht="15">
      <c r="C381" s="9"/>
    </row>
    <row r="382" spans="3:3" ht="15">
      <c r="C382" s="9"/>
    </row>
    <row r="383" spans="3:3" ht="15">
      <c r="C383" s="9"/>
    </row>
    <row r="384" spans="3:3" ht="15">
      <c r="C384" s="9"/>
    </row>
    <row r="385" spans="3:3" ht="15">
      <c r="C385" s="9"/>
    </row>
    <row r="386" spans="3:3" ht="15">
      <c r="C386" s="9"/>
    </row>
    <row r="387" spans="3:3" ht="15">
      <c r="C387" s="9"/>
    </row>
    <row r="388" spans="3:3" ht="15">
      <c r="C388" s="9"/>
    </row>
    <row r="389" spans="3:3" ht="15">
      <c r="C389" s="9"/>
    </row>
    <row r="390" spans="3:3" ht="15">
      <c r="C390" s="9"/>
    </row>
    <row r="391" spans="3:3" ht="15">
      <c r="C391" s="9"/>
    </row>
    <row r="392" spans="3:3" ht="15">
      <c r="C392" s="9"/>
    </row>
    <row r="393" spans="3:3" ht="15">
      <c r="C393" s="9"/>
    </row>
    <row r="394" spans="3:3" ht="15">
      <c r="C394" s="9"/>
    </row>
    <row r="395" spans="3:3" ht="15">
      <c r="C395" s="9"/>
    </row>
    <row r="396" spans="3:3" ht="15">
      <c r="C396" s="9"/>
    </row>
    <row r="397" spans="3:3" ht="15">
      <c r="C397" s="9"/>
    </row>
    <row r="398" spans="3:3" ht="15">
      <c r="C398" s="9"/>
    </row>
    <row r="399" spans="3:3" ht="15">
      <c r="C399" s="9"/>
    </row>
    <row r="400" spans="3:3" ht="15">
      <c r="C400" s="9"/>
    </row>
    <row r="401" spans="3:3" ht="15">
      <c r="C401" s="9"/>
    </row>
    <row r="402" spans="3:3" ht="15">
      <c r="C402" s="9"/>
    </row>
    <row r="403" spans="3:3" ht="15">
      <c r="C403" s="9"/>
    </row>
    <row r="404" spans="3:3" ht="15">
      <c r="C404" s="9"/>
    </row>
    <row r="405" spans="3:3" ht="15">
      <c r="C405" s="9"/>
    </row>
    <row r="406" spans="3:3" ht="15">
      <c r="C406" s="9"/>
    </row>
    <row r="407" spans="3:3" ht="15">
      <c r="C407" s="9"/>
    </row>
    <row r="408" spans="3:3" ht="15">
      <c r="C408" s="9"/>
    </row>
    <row r="409" spans="3:3" ht="15">
      <c r="C409" s="9"/>
    </row>
    <row r="410" spans="3:3" ht="15">
      <c r="C410" s="9"/>
    </row>
    <row r="411" spans="3:3" ht="15">
      <c r="C411" s="9"/>
    </row>
    <row r="412" spans="3:3" ht="15">
      <c r="C412" s="9"/>
    </row>
    <row r="413" spans="3:3" ht="15">
      <c r="C413" s="9"/>
    </row>
    <row r="414" spans="3:3" ht="15">
      <c r="C414" s="9"/>
    </row>
    <row r="415" spans="3:3" ht="15">
      <c r="C415" s="9"/>
    </row>
    <row r="416" spans="3:3" ht="15">
      <c r="C416" s="9"/>
    </row>
    <row r="417" spans="3:3" ht="15">
      <c r="C417" s="9"/>
    </row>
    <row r="418" spans="3:3" ht="15">
      <c r="C418" s="9"/>
    </row>
    <row r="419" spans="3:3" ht="15">
      <c r="C419" s="9"/>
    </row>
    <row r="420" spans="3:3" ht="15">
      <c r="C420" s="9"/>
    </row>
    <row r="421" spans="3:3" ht="15">
      <c r="C421" s="9"/>
    </row>
    <row r="422" spans="3:3" ht="15">
      <c r="C422" s="9"/>
    </row>
    <row r="423" spans="3:3" ht="15">
      <c r="C423" s="9"/>
    </row>
    <row r="424" spans="3:3" ht="15">
      <c r="C424" s="9"/>
    </row>
    <row r="425" spans="3:3" ht="15">
      <c r="C425" s="9"/>
    </row>
    <row r="426" spans="3:3" ht="15">
      <c r="C426" s="9"/>
    </row>
    <row r="427" spans="3:3" ht="15">
      <c r="C427" s="9"/>
    </row>
    <row r="428" spans="3:3" ht="15">
      <c r="C428" s="9"/>
    </row>
    <row r="429" spans="3:3" ht="15">
      <c r="C429" s="9"/>
    </row>
    <row r="430" spans="3:3" ht="15">
      <c r="C430" s="9"/>
    </row>
    <row r="431" spans="3:3" ht="15">
      <c r="C431" s="9"/>
    </row>
    <row r="432" spans="3:3" ht="15">
      <c r="C432" s="9"/>
    </row>
    <row r="433" spans="3:3" ht="15">
      <c r="C433" s="9"/>
    </row>
    <row r="434" spans="3:3" ht="15">
      <c r="C434" s="9"/>
    </row>
    <row r="435" spans="3:3" ht="15">
      <c r="C435" s="9"/>
    </row>
    <row r="436" spans="3:3" ht="15">
      <c r="C436" s="9"/>
    </row>
    <row r="437" spans="3:3" ht="15">
      <c r="C437" s="9"/>
    </row>
    <row r="438" spans="3:3" ht="15">
      <c r="C438" s="9"/>
    </row>
    <row r="439" spans="3:3" ht="15">
      <c r="C439" s="9"/>
    </row>
    <row r="440" spans="3:3" ht="15">
      <c r="C440" s="9"/>
    </row>
    <row r="441" spans="3:3" ht="15">
      <c r="C441" s="9"/>
    </row>
    <row r="442" spans="3:3" ht="15">
      <c r="C442" s="9"/>
    </row>
    <row r="443" spans="3:3" ht="15">
      <c r="C443" s="9"/>
    </row>
    <row r="444" spans="3:3" ht="15">
      <c r="C444" s="9"/>
    </row>
    <row r="445" spans="3:3" ht="15">
      <c r="C445" s="9"/>
    </row>
    <row r="446" spans="3:3" ht="15">
      <c r="C446" s="9"/>
    </row>
    <row r="447" spans="3:3" ht="15">
      <c r="C447" s="9"/>
    </row>
    <row r="448" spans="3:3" ht="15">
      <c r="C448" s="9"/>
    </row>
    <row r="449" spans="3:3" ht="15">
      <c r="C449" s="9"/>
    </row>
    <row r="450" spans="3:3" ht="15">
      <c r="C450" s="9"/>
    </row>
    <row r="451" spans="3:3" ht="15">
      <c r="C451" s="9"/>
    </row>
    <row r="452" spans="3:3" ht="15">
      <c r="C452" s="9"/>
    </row>
    <row r="453" spans="3:3" ht="15">
      <c r="C453" s="9"/>
    </row>
    <row r="454" spans="3:3" ht="15">
      <c r="C454" s="9"/>
    </row>
    <row r="455" spans="3:3" ht="15">
      <c r="C455" s="9"/>
    </row>
    <row r="456" spans="3:3" ht="15">
      <c r="C456" s="9"/>
    </row>
    <row r="457" spans="3:3" ht="15">
      <c r="C457" s="9"/>
    </row>
    <row r="458" spans="3:3" ht="15">
      <c r="C458" s="9"/>
    </row>
    <row r="459" spans="3:3" ht="15">
      <c r="C459" s="9"/>
    </row>
    <row r="460" spans="3:3" ht="15">
      <c r="C460" s="9"/>
    </row>
    <row r="461" spans="3:3" ht="15">
      <c r="C461" s="9"/>
    </row>
    <row r="462" spans="3:3" ht="15">
      <c r="C462" s="9"/>
    </row>
    <row r="463" spans="3:3" ht="15">
      <c r="C463" s="9"/>
    </row>
    <row r="464" spans="3:3" ht="15">
      <c r="C464" s="9"/>
    </row>
    <row r="465" spans="3:3" ht="15">
      <c r="C465" s="9"/>
    </row>
    <row r="466" spans="3:3" ht="15">
      <c r="C466" s="9"/>
    </row>
    <row r="467" spans="3:3" ht="15">
      <c r="C467" s="9"/>
    </row>
    <row r="468" spans="3:3" ht="15">
      <c r="C468" s="9"/>
    </row>
    <row r="469" spans="3:3" ht="15">
      <c r="C469" s="9"/>
    </row>
    <row r="470" spans="3:3" ht="15">
      <c r="C470" s="9"/>
    </row>
    <row r="471" spans="3:3" ht="15">
      <c r="C471" s="9"/>
    </row>
    <row r="472" spans="3:3" ht="15">
      <c r="C472" s="9"/>
    </row>
    <row r="473" spans="3:3" ht="15">
      <c r="C473" s="9"/>
    </row>
    <row r="474" spans="3:3" ht="15">
      <c r="C474" s="9"/>
    </row>
    <row r="475" spans="3:3" ht="15">
      <c r="C475" s="9"/>
    </row>
    <row r="476" spans="3:3" ht="15">
      <c r="C476" s="9"/>
    </row>
    <row r="477" spans="3:3" ht="15">
      <c r="C477" s="9"/>
    </row>
    <row r="478" spans="3:3" ht="15">
      <c r="C478" s="9"/>
    </row>
    <row r="479" spans="3:3" ht="15">
      <c r="C479" s="9"/>
    </row>
    <row r="480" spans="3:3" ht="15">
      <c r="C480" s="9"/>
    </row>
    <row r="481" spans="3:3" ht="15">
      <c r="C481" s="9"/>
    </row>
    <row r="482" spans="3:3" ht="15">
      <c r="C482" s="9"/>
    </row>
    <row r="483" spans="3:3" ht="15">
      <c r="C483" s="9"/>
    </row>
    <row r="484" spans="3:3" ht="15">
      <c r="C484" s="9"/>
    </row>
    <row r="485" spans="3:3" ht="15">
      <c r="C485" s="9"/>
    </row>
    <row r="486" spans="3:3" ht="15">
      <c r="C486" s="9"/>
    </row>
    <row r="487" spans="3:3" ht="15">
      <c r="C487" s="9"/>
    </row>
    <row r="488" spans="3:3" ht="15">
      <c r="C488" s="9"/>
    </row>
    <row r="489" spans="3:3" ht="15">
      <c r="C489" s="9"/>
    </row>
    <row r="490" spans="3:3" ht="15">
      <c r="C490" s="9"/>
    </row>
    <row r="491" spans="3:3" ht="15">
      <c r="C491" s="9"/>
    </row>
    <row r="492" spans="3:3" ht="15">
      <c r="C492" s="9"/>
    </row>
    <row r="493" spans="3:3" ht="15">
      <c r="C493" s="9"/>
    </row>
    <row r="494" spans="3:3" ht="15">
      <c r="C494" s="9"/>
    </row>
    <row r="495" spans="3:3" ht="15">
      <c r="C495" s="9"/>
    </row>
    <row r="496" spans="3:3" ht="15">
      <c r="C496" s="9"/>
    </row>
    <row r="497" spans="3:3" ht="15">
      <c r="C497" s="9"/>
    </row>
    <row r="498" spans="3:3" ht="15">
      <c r="C498" s="9"/>
    </row>
    <row r="499" spans="3:3" ht="15">
      <c r="C499" s="9"/>
    </row>
    <row r="500" spans="3:3" ht="15">
      <c r="C500" s="9"/>
    </row>
    <row r="501" spans="3:3" ht="15">
      <c r="C501" s="9"/>
    </row>
    <row r="502" spans="3:3" ht="15">
      <c r="C502" s="9"/>
    </row>
    <row r="503" spans="3:3" ht="15">
      <c r="C503" s="9"/>
    </row>
    <row r="504" spans="3:3" ht="15">
      <c r="C504" s="9"/>
    </row>
    <row r="505" spans="3:3" ht="15">
      <c r="C505" s="9"/>
    </row>
    <row r="506" spans="3:3" ht="15">
      <c r="C506" s="9"/>
    </row>
    <row r="507" spans="3:3" ht="15">
      <c r="C507" s="9"/>
    </row>
    <row r="508" spans="3:3" ht="15">
      <c r="C508" s="9"/>
    </row>
    <row r="509" spans="3:3" ht="15">
      <c r="C509" s="9"/>
    </row>
    <row r="510" spans="3:3" ht="15">
      <c r="C510" s="9"/>
    </row>
    <row r="511" spans="3:3" ht="15">
      <c r="C511" s="9"/>
    </row>
    <row r="512" spans="3:3" ht="15">
      <c r="C512" s="9"/>
    </row>
    <row r="513" spans="3:3" ht="15">
      <c r="C513" s="9"/>
    </row>
    <row r="514" spans="3:3" ht="15">
      <c r="C514" s="9"/>
    </row>
    <row r="515" spans="3:3" ht="15">
      <c r="C515" s="9"/>
    </row>
    <row r="516" spans="3:3" ht="15">
      <c r="C516" s="9"/>
    </row>
    <row r="517" spans="3:3" ht="15">
      <c r="C517" s="9"/>
    </row>
    <row r="518" spans="3:3" ht="15">
      <c r="C518" s="9"/>
    </row>
    <row r="519" spans="3:3" ht="15">
      <c r="C519" s="9"/>
    </row>
    <row r="520" spans="3:3" ht="15">
      <c r="C520" s="9"/>
    </row>
    <row r="521" spans="3:3" ht="15">
      <c r="C521" s="9"/>
    </row>
    <row r="522" spans="3:3" ht="15">
      <c r="C522" s="9"/>
    </row>
    <row r="523" spans="3:3" ht="15">
      <c r="C523" s="9"/>
    </row>
    <row r="524" spans="3:3" ht="15">
      <c r="C524" s="9"/>
    </row>
    <row r="525" spans="3:3" ht="15">
      <c r="C525" s="9"/>
    </row>
    <row r="526" spans="3:3" ht="15">
      <c r="C526" s="9"/>
    </row>
    <row r="527" spans="3:3" ht="15">
      <c r="C527" s="9"/>
    </row>
    <row r="528" spans="3:3" ht="15">
      <c r="C528" s="9"/>
    </row>
    <row r="529" spans="3:3" ht="15">
      <c r="C529" s="9"/>
    </row>
    <row r="530" spans="3:3" ht="15">
      <c r="C530" s="9"/>
    </row>
    <row r="531" spans="3:3" ht="15">
      <c r="C531" s="9"/>
    </row>
    <row r="532" spans="3:3" ht="15">
      <c r="C532" s="9"/>
    </row>
    <row r="533" spans="3:3" ht="15">
      <c r="C533" s="9"/>
    </row>
    <row r="534" spans="3:3" ht="15">
      <c r="C534" s="9"/>
    </row>
    <row r="535" spans="3:3" ht="15">
      <c r="C535" s="9"/>
    </row>
    <row r="536" spans="3:3" ht="15">
      <c r="C536" s="9"/>
    </row>
    <row r="537" spans="3:3" ht="15">
      <c r="C537" s="9"/>
    </row>
    <row r="538" spans="3:3" ht="15">
      <c r="C538" s="9"/>
    </row>
    <row r="539" spans="3:3" ht="15">
      <c r="C539" s="9"/>
    </row>
    <row r="540" spans="3:3" ht="15">
      <c r="C540" s="9"/>
    </row>
    <row r="541" spans="3:3" ht="15">
      <c r="C541" s="9"/>
    </row>
    <row r="542" spans="3:3" ht="15">
      <c r="C542" s="9"/>
    </row>
    <row r="543" spans="3:3" ht="15">
      <c r="C543" s="9"/>
    </row>
    <row r="544" spans="3:3" ht="15">
      <c r="C544" s="9"/>
    </row>
    <row r="545" spans="3:3" ht="15">
      <c r="C545" s="9"/>
    </row>
    <row r="546" spans="3:3" ht="15">
      <c r="C546" s="9"/>
    </row>
    <row r="547" spans="3:3" ht="15">
      <c r="C547" s="9"/>
    </row>
    <row r="548" spans="3:3" ht="15">
      <c r="C548" s="9"/>
    </row>
    <row r="549" spans="3:3" ht="15">
      <c r="C549" s="9"/>
    </row>
    <row r="550" spans="3:3" ht="15">
      <c r="C550" s="9"/>
    </row>
    <row r="551" spans="3:3" ht="15">
      <c r="C551" s="9"/>
    </row>
    <row r="552" spans="3:3" ht="15">
      <c r="C552" s="9"/>
    </row>
    <row r="553" spans="3:3" ht="15">
      <c r="C553" s="9"/>
    </row>
    <row r="554" spans="3:3" ht="15">
      <c r="C554" s="9"/>
    </row>
    <row r="555" spans="3:3" ht="15">
      <c r="C555" s="9"/>
    </row>
    <row r="556" spans="3:3" ht="15">
      <c r="C556" s="9"/>
    </row>
    <row r="557" spans="3:3" ht="15">
      <c r="C557" s="9"/>
    </row>
    <row r="558" spans="3:3" ht="15">
      <c r="C558" s="9"/>
    </row>
    <row r="559" spans="3:3" ht="15">
      <c r="C559" s="9"/>
    </row>
    <row r="560" spans="3:3" ht="15">
      <c r="C560" s="9"/>
    </row>
    <row r="561" spans="3:3" ht="15">
      <c r="C561" s="9"/>
    </row>
    <row r="562" spans="3:3" ht="15">
      <c r="C562" s="9"/>
    </row>
    <row r="563" spans="3:3" ht="15">
      <c r="C563" s="9"/>
    </row>
    <row r="564" spans="3:3" ht="15">
      <c r="C564" s="9"/>
    </row>
    <row r="565" spans="3:3" ht="15">
      <c r="C565" s="9"/>
    </row>
    <row r="566" spans="3:3" ht="15">
      <c r="C566" s="9"/>
    </row>
    <row r="567" spans="3:3" ht="15">
      <c r="C567" s="9"/>
    </row>
    <row r="568" spans="3:3" ht="15">
      <c r="C568" s="9"/>
    </row>
    <row r="569" spans="3:3" ht="15">
      <c r="C569" s="9"/>
    </row>
    <row r="570" spans="3:3" ht="15">
      <c r="C570" s="9"/>
    </row>
    <row r="571" spans="3:3" ht="15">
      <c r="C571" s="9"/>
    </row>
    <row r="572" spans="3:3" ht="15">
      <c r="C572" s="9"/>
    </row>
    <row r="573" spans="3:3" ht="15">
      <c r="C573" s="9"/>
    </row>
    <row r="574" spans="3:3" ht="15">
      <c r="C574" s="9"/>
    </row>
    <row r="575" spans="3:3" ht="15">
      <c r="C575" s="9"/>
    </row>
    <row r="576" spans="3:3" ht="15">
      <c r="C576" s="9"/>
    </row>
    <row r="577" spans="3:3" ht="15">
      <c r="C577" s="9"/>
    </row>
    <row r="578" spans="3:3" ht="15">
      <c r="C578" s="9"/>
    </row>
    <row r="579" spans="3:3" ht="15">
      <c r="C579" s="9"/>
    </row>
    <row r="580" spans="3:3" ht="15">
      <c r="C580" s="9"/>
    </row>
    <row r="581" spans="3:3" ht="15">
      <c r="C581" s="9"/>
    </row>
    <row r="582" spans="3:3" ht="15">
      <c r="C582" s="9"/>
    </row>
    <row r="583" spans="3:3" ht="15">
      <c r="C583" s="9"/>
    </row>
    <row r="584" spans="3:3" ht="15">
      <c r="C584" s="9"/>
    </row>
    <row r="585" spans="3:3" ht="15">
      <c r="C585" s="9"/>
    </row>
    <row r="586" spans="3:3" ht="15">
      <c r="C586" s="9"/>
    </row>
    <row r="587" spans="3:3" ht="15">
      <c r="C587" s="9"/>
    </row>
    <row r="588" spans="3:3" ht="15">
      <c r="C588" s="9"/>
    </row>
    <row r="589" spans="3:3" ht="15">
      <c r="C589" s="9"/>
    </row>
    <row r="590" spans="3:3" ht="15">
      <c r="C590" s="9"/>
    </row>
    <row r="591" spans="3:3" ht="15">
      <c r="C591" s="9"/>
    </row>
    <row r="592" spans="3:3" ht="15">
      <c r="C592" s="9"/>
    </row>
    <row r="593" spans="3:3" ht="15">
      <c r="C593" s="9"/>
    </row>
    <row r="594" spans="3:3" ht="15">
      <c r="C594" s="9"/>
    </row>
    <row r="595" spans="3:3" ht="15">
      <c r="C595" s="9"/>
    </row>
    <row r="596" spans="3:3" ht="15">
      <c r="C596" s="9"/>
    </row>
    <row r="597" spans="3:3" ht="15">
      <c r="C597" s="9"/>
    </row>
    <row r="598" spans="3:3" ht="15">
      <c r="C598" s="9"/>
    </row>
    <row r="599" spans="3:3" ht="15">
      <c r="C599" s="9"/>
    </row>
    <row r="600" spans="3:3" ht="15">
      <c r="C600" s="9"/>
    </row>
    <row r="601" spans="3:3" ht="15">
      <c r="C601" s="9"/>
    </row>
    <row r="602" spans="3:3" ht="15">
      <c r="C602" s="9"/>
    </row>
    <row r="603" spans="3:3" ht="15">
      <c r="C603" s="9"/>
    </row>
    <row r="604" spans="3:3" ht="15">
      <c r="C604" s="9"/>
    </row>
    <row r="605" spans="3:3" ht="15">
      <c r="C605" s="9"/>
    </row>
    <row r="606" spans="3:3" ht="15">
      <c r="C606" s="9"/>
    </row>
    <row r="607" spans="3:3" ht="15">
      <c r="C607" s="9"/>
    </row>
    <row r="608" spans="3:3" ht="15">
      <c r="C608" s="9"/>
    </row>
    <row r="609" spans="3:3" ht="15">
      <c r="C609" s="9"/>
    </row>
    <row r="610" spans="3:3" ht="15">
      <c r="C610" s="9"/>
    </row>
    <row r="611" spans="3:3" ht="15">
      <c r="C611" s="9"/>
    </row>
    <row r="612" spans="3:3" ht="15">
      <c r="C612" s="9"/>
    </row>
    <row r="613" spans="3:3" ht="15">
      <c r="C613" s="9"/>
    </row>
    <row r="614" spans="3:3" ht="15">
      <c r="C614" s="9"/>
    </row>
    <row r="615" spans="3:3" ht="15">
      <c r="C615" s="9"/>
    </row>
    <row r="616" spans="3:3" ht="15">
      <c r="C616" s="9"/>
    </row>
    <row r="617" spans="3:3" ht="15">
      <c r="C617" s="9"/>
    </row>
    <row r="618" spans="3:3" ht="15">
      <c r="C618" s="9"/>
    </row>
    <row r="619" spans="3:3" ht="15">
      <c r="C619" s="9"/>
    </row>
    <row r="620" spans="3:3" ht="15">
      <c r="C620" s="9"/>
    </row>
    <row r="621" spans="3:3" ht="15">
      <c r="C621" s="9"/>
    </row>
    <row r="622" spans="3:3" ht="15">
      <c r="C622" s="9"/>
    </row>
    <row r="623" spans="3:3" ht="15">
      <c r="C623" s="9"/>
    </row>
    <row r="624" spans="3:3" ht="15">
      <c r="C624" s="9"/>
    </row>
    <row r="625" spans="3:3" ht="15">
      <c r="C625" s="9"/>
    </row>
    <row r="626" spans="3:3" ht="15">
      <c r="C626" s="9"/>
    </row>
    <row r="627" spans="3:3" ht="15">
      <c r="C627" s="9"/>
    </row>
    <row r="628" spans="3:3" ht="15">
      <c r="C628" s="9"/>
    </row>
    <row r="629" spans="3:3" ht="15">
      <c r="C629" s="9"/>
    </row>
    <row r="630" spans="3:3" ht="15">
      <c r="C630" s="9"/>
    </row>
    <row r="631" spans="3:3" ht="15">
      <c r="C631" s="9"/>
    </row>
    <row r="632" spans="3:3" ht="15">
      <c r="C632" s="9"/>
    </row>
    <row r="633" spans="3:3" ht="15">
      <c r="C633" s="9"/>
    </row>
    <row r="634" spans="3:3" ht="15">
      <c r="C634" s="9"/>
    </row>
    <row r="635" spans="3:3" ht="15">
      <c r="C635" s="9"/>
    </row>
    <row r="636" spans="3:3" ht="15">
      <c r="C636" s="9"/>
    </row>
    <row r="637" spans="3:3" ht="15">
      <c r="C637" s="9"/>
    </row>
    <row r="638" spans="3:3" ht="15">
      <c r="C638" s="9"/>
    </row>
    <row r="639" spans="3:3" ht="15">
      <c r="C639" s="9"/>
    </row>
    <row r="640" spans="3:3" ht="15">
      <c r="C640" s="9"/>
    </row>
    <row r="641" spans="3:3" ht="15">
      <c r="C641" s="9"/>
    </row>
    <row r="642" spans="3:3" ht="15">
      <c r="C642" s="9"/>
    </row>
    <row r="643" spans="3:3" ht="15">
      <c r="C643" s="9"/>
    </row>
    <row r="644" spans="3:3" ht="15">
      <c r="C644" s="9"/>
    </row>
    <row r="645" spans="3:3" ht="15">
      <c r="C645" s="9"/>
    </row>
    <row r="646" spans="3:3" ht="15">
      <c r="C646" s="9"/>
    </row>
    <row r="647" spans="3:3" ht="15">
      <c r="C647" s="9"/>
    </row>
    <row r="648" spans="3:3" ht="15">
      <c r="C648" s="9"/>
    </row>
    <row r="649" spans="3:3" ht="15">
      <c r="C649" s="9"/>
    </row>
    <row r="650" spans="3:3" ht="15">
      <c r="C650" s="9"/>
    </row>
    <row r="651" spans="3:3" ht="15">
      <c r="C651" s="9"/>
    </row>
    <row r="652" spans="3:3" ht="15">
      <c r="C652" s="9"/>
    </row>
    <row r="653" spans="3:3" ht="15">
      <c r="C653" s="9"/>
    </row>
    <row r="654" spans="3:3" ht="15">
      <c r="C654" s="9"/>
    </row>
    <row r="655" spans="3:3" ht="15">
      <c r="C655" s="9"/>
    </row>
    <row r="656" spans="3:3" ht="15">
      <c r="C656" s="9"/>
    </row>
    <row r="657" spans="3:3" ht="15">
      <c r="C657" s="9"/>
    </row>
    <row r="658" spans="3:3" ht="15">
      <c r="C658" s="9"/>
    </row>
    <row r="659" spans="3:3" ht="15">
      <c r="C659" s="9"/>
    </row>
    <row r="660" spans="3:3" ht="15">
      <c r="C660" s="9"/>
    </row>
    <row r="661" spans="3:3" ht="15">
      <c r="C661" s="9"/>
    </row>
    <row r="662" spans="3:3" ht="15">
      <c r="C662" s="9"/>
    </row>
    <row r="663" spans="3:3" ht="15">
      <c r="C663" s="9"/>
    </row>
    <row r="664" spans="3:3" ht="15">
      <c r="C664" s="9"/>
    </row>
    <row r="665" spans="3:3" ht="15">
      <c r="C665" s="9"/>
    </row>
    <row r="666" spans="3:3" ht="15">
      <c r="C666" s="9"/>
    </row>
    <row r="667" spans="3:3" ht="15">
      <c r="C667" s="9"/>
    </row>
    <row r="668" spans="3:3" ht="15">
      <c r="C668" s="9"/>
    </row>
    <row r="669" spans="3:3" ht="15">
      <c r="C669" s="9"/>
    </row>
    <row r="670" spans="3:3" ht="15">
      <c r="C670" s="9"/>
    </row>
    <row r="671" spans="3:3" ht="15">
      <c r="C671" s="9"/>
    </row>
    <row r="672" spans="3:3" ht="15">
      <c r="C672" s="9"/>
    </row>
    <row r="673" spans="3:3" ht="15">
      <c r="C673" s="9"/>
    </row>
    <row r="674" spans="3:3" ht="15">
      <c r="C674" s="9"/>
    </row>
    <row r="675" spans="3:3" ht="15">
      <c r="C675" s="9"/>
    </row>
    <row r="676" spans="3:3" ht="15">
      <c r="C676" s="9"/>
    </row>
    <row r="677" spans="3:3" ht="15">
      <c r="C677" s="9"/>
    </row>
    <row r="678" spans="3:3" ht="15">
      <c r="C678" s="9"/>
    </row>
    <row r="679" spans="3:3" ht="15">
      <c r="C679" s="9"/>
    </row>
    <row r="680" spans="3:3" ht="15">
      <c r="C680" s="9"/>
    </row>
    <row r="681" spans="3:3" ht="15">
      <c r="C681" s="9"/>
    </row>
    <row r="682" spans="3:3" ht="15">
      <c r="C682" s="9"/>
    </row>
    <row r="683" spans="3:3" ht="15">
      <c r="C683" s="9"/>
    </row>
    <row r="684" spans="3:3" ht="15">
      <c r="C684" s="9"/>
    </row>
    <row r="685" spans="3:3" ht="15">
      <c r="C685" s="9"/>
    </row>
    <row r="686" spans="3:3" ht="15">
      <c r="C686" s="9"/>
    </row>
    <row r="687" spans="3:3" ht="15">
      <c r="C687" s="9"/>
    </row>
    <row r="688" spans="3:3" ht="15">
      <c r="C688" s="9"/>
    </row>
    <row r="689" spans="3:3" ht="15">
      <c r="C689" s="9"/>
    </row>
    <row r="690" spans="3:3" ht="15">
      <c r="C690" s="9"/>
    </row>
    <row r="691" spans="3:3" ht="15">
      <c r="C691" s="9"/>
    </row>
    <row r="692" spans="3:3" ht="15">
      <c r="C692" s="9"/>
    </row>
    <row r="693" spans="3:3" ht="15">
      <c r="C693" s="9"/>
    </row>
    <row r="694" spans="3:3" ht="15">
      <c r="C694" s="9"/>
    </row>
    <row r="695" spans="3:3" ht="15">
      <c r="C695" s="9"/>
    </row>
    <row r="696" spans="3:3" ht="15">
      <c r="C696" s="9"/>
    </row>
    <row r="697" spans="3:3" ht="15">
      <c r="C697" s="9"/>
    </row>
    <row r="698" spans="3:3" ht="15">
      <c r="C698" s="9"/>
    </row>
    <row r="699" spans="3:3" ht="15">
      <c r="C699" s="9"/>
    </row>
    <row r="700" spans="3:3" ht="15">
      <c r="C700" s="9"/>
    </row>
    <row r="701" spans="3:3" ht="15">
      <c r="C701" s="9"/>
    </row>
    <row r="702" spans="3:3" ht="15">
      <c r="C702" s="9"/>
    </row>
    <row r="703" spans="3:3" ht="15">
      <c r="C703" s="9"/>
    </row>
    <row r="704" spans="3:3" ht="15">
      <c r="C704" s="9"/>
    </row>
    <row r="705" spans="3:3" ht="15">
      <c r="C705" s="9"/>
    </row>
    <row r="706" spans="3:3" ht="15">
      <c r="C706" s="9"/>
    </row>
    <row r="707" spans="3:3" ht="15">
      <c r="C707" s="9"/>
    </row>
    <row r="708" spans="3:3" ht="15">
      <c r="C708" s="9"/>
    </row>
    <row r="709" spans="3:3" ht="15">
      <c r="C709" s="9"/>
    </row>
    <row r="710" spans="3:3" ht="15">
      <c r="C710" s="9"/>
    </row>
    <row r="711" spans="3:3" ht="15">
      <c r="C711" s="9"/>
    </row>
    <row r="712" spans="3:3" ht="15">
      <c r="C712" s="9"/>
    </row>
    <row r="713" spans="3:3" ht="15">
      <c r="C713" s="9"/>
    </row>
    <row r="714" spans="3:3" ht="15">
      <c r="C714" s="9"/>
    </row>
    <row r="715" spans="3:3" ht="15">
      <c r="C715" s="9"/>
    </row>
    <row r="716" spans="3:3" ht="15">
      <c r="C716" s="9"/>
    </row>
    <row r="717" spans="3:3" ht="15">
      <c r="C717" s="9"/>
    </row>
    <row r="718" spans="3:3" ht="15">
      <c r="C718" s="9"/>
    </row>
    <row r="719" spans="3:3" ht="15">
      <c r="C719" s="9"/>
    </row>
    <row r="720" spans="3:3" ht="15">
      <c r="C720" s="9"/>
    </row>
    <row r="721" spans="3:3" ht="15">
      <c r="C721" s="9"/>
    </row>
    <row r="722" spans="3:3" ht="15">
      <c r="C722" s="9"/>
    </row>
    <row r="723" spans="3:3" ht="15">
      <c r="C723" s="9"/>
    </row>
    <row r="724" spans="3:3" ht="15">
      <c r="C724" s="9"/>
    </row>
    <row r="725" spans="3:3" ht="15">
      <c r="C725" s="9"/>
    </row>
    <row r="726" spans="3:3" ht="15">
      <c r="C726" s="9"/>
    </row>
    <row r="727" spans="3:3" ht="15">
      <c r="C727" s="9"/>
    </row>
    <row r="728" spans="3:3" ht="15">
      <c r="C728" s="9"/>
    </row>
    <row r="729" spans="3:3" ht="15">
      <c r="C729" s="9"/>
    </row>
    <row r="730" spans="3:3" ht="15">
      <c r="C730" s="9"/>
    </row>
    <row r="731" spans="3:3" ht="15">
      <c r="C731" s="9"/>
    </row>
    <row r="732" spans="3:3" ht="15">
      <c r="C732" s="9"/>
    </row>
    <row r="733" spans="3:3" ht="15">
      <c r="C733" s="9"/>
    </row>
    <row r="734" spans="3:3" ht="15">
      <c r="C734" s="9"/>
    </row>
    <row r="735" spans="3:3" ht="15">
      <c r="C735" s="9"/>
    </row>
    <row r="736" spans="3:3" ht="15">
      <c r="C736" s="9"/>
    </row>
    <row r="737" spans="3:3" ht="15">
      <c r="C737" s="9"/>
    </row>
    <row r="738" spans="3:3" ht="15">
      <c r="C738" s="9"/>
    </row>
    <row r="739" spans="3:3" ht="15">
      <c r="C739" s="9"/>
    </row>
    <row r="740" spans="3:3" ht="15">
      <c r="C740" s="9"/>
    </row>
    <row r="741" spans="3:3" ht="15">
      <c r="C741" s="9"/>
    </row>
    <row r="742" spans="3:3" ht="15">
      <c r="C742" s="9"/>
    </row>
    <row r="743" spans="3:3" ht="15">
      <c r="C743" s="9"/>
    </row>
    <row r="744" spans="3:3" ht="15">
      <c r="C744" s="9"/>
    </row>
    <row r="745" spans="3:3" ht="15">
      <c r="C745" s="9"/>
    </row>
    <row r="746" spans="3:3" ht="15">
      <c r="C746" s="9"/>
    </row>
    <row r="747" spans="3:3" ht="15">
      <c r="C747" s="9"/>
    </row>
    <row r="748" spans="3:3" ht="15">
      <c r="C748" s="9"/>
    </row>
    <row r="749" spans="3:3" ht="15">
      <c r="C749" s="9"/>
    </row>
    <row r="750" spans="3:3" ht="15">
      <c r="C750" s="9"/>
    </row>
    <row r="751" spans="3:3" ht="15">
      <c r="C751" s="9"/>
    </row>
    <row r="752" spans="3:3" ht="15">
      <c r="C752" s="9"/>
    </row>
    <row r="753" spans="3:3" ht="15">
      <c r="C753" s="9"/>
    </row>
    <row r="754" spans="3:3" ht="15">
      <c r="C754" s="9"/>
    </row>
    <row r="755" spans="3:3" ht="15">
      <c r="C755" s="9"/>
    </row>
    <row r="756" spans="3:3" ht="15">
      <c r="C756" s="9"/>
    </row>
    <row r="757" spans="3:3" ht="15">
      <c r="C757" s="9"/>
    </row>
    <row r="758" spans="3:3" ht="15">
      <c r="C758" s="9"/>
    </row>
    <row r="759" spans="3:3" ht="15">
      <c r="C759" s="9"/>
    </row>
    <row r="760" spans="3:3" ht="15">
      <c r="C760" s="9"/>
    </row>
    <row r="761" spans="3:3" ht="15">
      <c r="C761" s="9"/>
    </row>
    <row r="762" spans="3:3" ht="15">
      <c r="C762" s="9"/>
    </row>
    <row r="763" spans="3:3" ht="15">
      <c r="C763" s="9"/>
    </row>
    <row r="764" spans="3:3" ht="15">
      <c r="C764" s="9"/>
    </row>
    <row r="765" spans="3:3" ht="15">
      <c r="C765" s="9"/>
    </row>
    <row r="766" spans="3:3" ht="15">
      <c r="C766" s="9"/>
    </row>
    <row r="767" spans="3:3" ht="15">
      <c r="C767" s="9"/>
    </row>
    <row r="768" spans="3:3" ht="15">
      <c r="C768" s="9"/>
    </row>
    <row r="769" spans="3:3" ht="15">
      <c r="C769" s="9"/>
    </row>
    <row r="770" spans="3:3" ht="15">
      <c r="C770" s="9"/>
    </row>
    <row r="771" spans="3:3" ht="15">
      <c r="C771" s="9"/>
    </row>
    <row r="772" spans="3:3" ht="15">
      <c r="C772" s="9"/>
    </row>
    <row r="773" spans="3:3" ht="15">
      <c r="C773" s="9"/>
    </row>
    <row r="774" spans="3:3" ht="15">
      <c r="C774" s="9"/>
    </row>
    <row r="775" spans="3:3" ht="15">
      <c r="C775" s="9"/>
    </row>
    <row r="776" spans="3:3" ht="15">
      <c r="C776" s="9"/>
    </row>
    <row r="777" spans="3:3" ht="15">
      <c r="C777" s="9"/>
    </row>
    <row r="778" spans="3:3" ht="15">
      <c r="C778" s="9"/>
    </row>
    <row r="779" spans="3:3" ht="15">
      <c r="C779" s="9"/>
    </row>
    <row r="780" spans="3:3" ht="15">
      <c r="C780" s="9"/>
    </row>
    <row r="781" spans="3:3" ht="15">
      <c r="C781" s="9"/>
    </row>
    <row r="782" spans="3:3" ht="15">
      <c r="C782" s="9"/>
    </row>
    <row r="783" spans="3:3" ht="15">
      <c r="C783" s="9"/>
    </row>
    <row r="784" spans="3:3" ht="15">
      <c r="C784" s="9"/>
    </row>
    <row r="785" spans="3:3" ht="15">
      <c r="C785" s="9"/>
    </row>
    <row r="786" spans="3:3" ht="15">
      <c r="C786" s="9"/>
    </row>
    <row r="787" spans="3:3" ht="15">
      <c r="C787" s="9"/>
    </row>
    <row r="788" spans="3:3" ht="15">
      <c r="C788" s="9"/>
    </row>
    <row r="789" spans="3:3" ht="15">
      <c r="C789" s="9"/>
    </row>
    <row r="790" spans="3:3" ht="15">
      <c r="C790" s="9"/>
    </row>
    <row r="791" spans="3:3" ht="15">
      <c r="C791" s="9"/>
    </row>
    <row r="792" spans="3:3" ht="15">
      <c r="C792" s="9"/>
    </row>
    <row r="793" spans="3:3" ht="15">
      <c r="C793" s="9"/>
    </row>
    <row r="794" spans="3:3" ht="15">
      <c r="C794" s="9"/>
    </row>
    <row r="795" spans="3:3" ht="15">
      <c r="C795" s="9"/>
    </row>
    <row r="796" spans="3:3" ht="15">
      <c r="C796" s="9"/>
    </row>
    <row r="797" spans="3:3" ht="15">
      <c r="C797" s="9"/>
    </row>
    <row r="798" spans="3:3" ht="15">
      <c r="C798" s="9"/>
    </row>
    <row r="799" spans="3:3" ht="15">
      <c r="C799" s="9"/>
    </row>
    <row r="800" spans="3:3" ht="15">
      <c r="C800" s="9"/>
    </row>
    <row r="801" spans="3:3" ht="15">
      <c r="C801" s="9"/>
    </row>
    <row r="802" spans="3:3" ht="15">
      <c r="C802" s="9"/>
    </row>
    <row r="803" spans="3:3" ht="15">
      <c r="C803" s="9"/>
    </row>
    <row r="804" spans="3:3" ht="15">
      <c r="C804" s="9"/>
    </row>
    <row r="805" spans="3:3" ht="15">
      <c r="C805" s="9"/>
    </row>
    <row r="806" spans="3:3" ht="15">
      <c r="C806" s="9"/>
    </row>
    <row r="807" spans="3:3" ht="15">
      <c r="C807" s="9"/>
    </row>
    <row r="808" spans="3:3" ht="15">
      <c r="C808" s="9"/>
    </row>
    <row r="809" spans="3:3" ht="15">
      <c r="C809" s="9"/>
    </row>
    <row r="810" spans="3:3" ht="15">
      <c r="C810" s="9"/>
    </row>
    <row r="811" spans="3:3" ht="15">
      <c r="C811" s="9"/>
    </row>
    <row r="812" spans="3:3" ht="15">
      <c r="C812" s="9"/>
    </row>
    <row r="813" spans="3:3" ht="15">
      <c r="C813" s="9"/>
    </row>
    <row r="814" spans="3:3" ht="15">
      <c r="C814" s="9"/>
    </row>
    <row r="815" spans="3:3" ht="15">
      <c r="C815" s="9"/>
    </row>
    <row r="816" spans="3:3" ht="15">
      <c r="C816" s="9"/>
    </row>
    <row r="817" spans="3:3" ht="15">
      <c r="C817" s="9"/>
    </row>
    <row r="818" spans="3:3" ht="15">
      <c r="C818" s="9"/>
    </row>
    <row r="819" spans="3:3" ht="15">
      <c r="C819" s="9"/>
    </row>
    <row r="820" spans="3:3" ht="15">
      <c r="C820" s="9"/>
    </row>
    <row r="821" spans="3:3" ht="15">
      <c r="C821" s="9"/>
    </row>
    <row r="822" spans="3:3" ht="15">
      <c r="C822" s="9"/>
    </row>
    <row r="823" spans="3:3" ht="15">
      <c r="C823" s="9"/>
    </row>
    <row r="824" spans="3:3" ht="15">
      <c r="C824" s="9"/>
    </row>
    <row r="825" spans="3:3" ht="15">
      <c r="C825" s="9"/>
    </row>
    <row r="826" spans="3:3" ht="15">
      <c r="C826" s="9"/>
    </row>
    <row r="827" spans="3:3" ht="15">
      <c r="C827" s="9"/>
    </row>
    <row r="828" spans="3:3" ht="15">
      <c r="C828" s="9"/>
    </row>
    <row r="829" spans="3:3" ht="15">
      <c r="C829" s="9"/>
    </row>
    <row r="830" spans="3:3" ht="15">
      <c r="C830" s="9"/>
    </row>
    <row r="831" spans="3:3" ht="15">
      <c r="C831" s="9"/>
    </row>
    <row r="832" spans="3:3" ht="15">
      <c r="C832" s="9"/>
    </row>
    <row r="833" spans="3:3" ht="15">
      <c r="C833" s="9"/>
    </row>
    <row r="834" spans="3:3" ht="15">
      <c r="C834" s="9"/>
    </row>
    <row r="835" spans="3:3" ht="15">
      <c r="C835" s="9"/>
    </row>
    <row r="836" spans="3:3" ht="15">
      <c r="C836" s="9"/>
    </row>
    <row r="837" spans="3:3" ht="15">
      <c r="C837" s="9"/>
    </row>
    <row r="838" spans="3:3" ht="15">
      <c r="C838" s="9"/>
    </row>
    <row r="839" spans="3:3" ht="15">
      <c r="C839" s="9"/>
    </row>
    <row r="840" spans="3:3" ht="15">
      <c r="C840" s="9"/>
    </row>
    <row r="841" spans="3:3" ht="15">
      <c r="C841" s="9"/>
    </row>
    <row r="842" spans="3:3" ht="15">
      <c r="C842" s="9"/>
    </row>
    <row r="843" spans="3:3" ht="15">
      <c r="C843" s="9"/>
    </row>
    <row r="844" spans="3:3" ht="15">
      <c r="C844" s="9"/>
    </row>
    <row r="845" spans="3:3" ht="15">
      <c r="C845" s="9"/>
    </row>
    <row r="846" spans="3:3" ht="15">
      <c r="C846" s="9"/>
    </row>
    <row r="847" spans="3:3" ht="15">
      <c r="C847" s="9"/>
    </row>
    <row r="848" spans="3:3" ht="15">
      <c r="C848" s="9"/>
    </row>
    <row r="849" spans="3:3" ht="15">
      <c r="C849" s="9"/>
    </row>
    <row r="850" spans="3:3" ht="15">
      <c r="C850" s="9"/>
    </row>
    <row r="851" spans="3:3" ht="15">
      <c r="C851" s="9"/>
    </row>
    <row r="852" spans="3:3" ht="15">
      <c r="C852" s="9"/>
    </row>
    <row r="853" spans="3:3" ht="15">
      <c r="C853" s="9"/>
    </row>
    <row r="854" spans="3:3" ht="15">
      <c r="C854" s="9"/>
    </row>
    <row r="855" spans="3:3" ht="15">
      <c r="C855" s="9"/>
    </row>
    <row r="856" spans="3:3" ht="15">
      <c r="C856" s="9"/>
    </row>
    <row r="857" spans="3:3" ht="15">
      <c r="C857" s="9"/>
    </row>
    <row r="858" spans="3:3" ht="15">
      <c r="C858" s="9"/>
    </row>
    <row r="859" spans="3:3" ht="15">
      <c r="C859" s="9"/>
    </row>
    <row r="860" spans="3:3" ht="15">
      <c r="C860" s="9"/>
    </row>
    <row r="861" spans="3:3" ht="15">
      <c r="C861" s="9"/>
    </row>
    <row r="862" spans="3:3" ht="15">
      <c r="C862" s="9"/>
    </row>
    <row r="863" spans="3:3" ht="15">
      <c r="C863" s="9"/>
    </row>
    <row r="864" spans="3:3" ht="15">
      <c r="C864" s="9"/>
    </row>
    <row r="865" spans="3:3" ht="15">
      <c r="C865" s="9"/>
    </row>
    <row r="866" spans="3:3" ht="15">
      <c r="C866" s="9"/>
    </row>
    <row r="867" spans="3:3" ht="15">
      <c r="C867" s="9"/>
    </row>
    <row r="868" spans="3:3" ht="15">
      <c r="C868" s="9"/>
    </row>
    <row r="869" spans="3:3" ht="15">
      <c r="C869" s="9"/>
    </row>
    <row r="870" spans="3:3" ht="15">
      <c r="C870" s="9"/>
    </row>
    <row r="871" spans="3:3" ht="15">
      <c r="C871" s="9"/>
    </row>
    <row r="872" spans="3:3" ht="15">
      <c r="C872" s="9"/>
    </row>
    <row r="873" spans="3:3" ht="15">
      <c r="C873" s="9"/>
    </row>
    <row r="874" spans="3:3" ht="15">
      <c r="C874" s="9"/>
    </row>
    <row r="875" spans="3:3" ht="15">
      <c r="C875" s="9"/>
    </row>
    <row r="876" spans="3:3" ht="15">
      <c r="C876" s="9"/>
    </row>
    <row r="877" spans="3:3" ht="15">
      <c r="C877" s="9"/>
    </row>
    <row r="878" spans="3:3" ht="15">
      <c r="C878" s="9"/>
    </row>
    <row r="879" spans="3:3" ht="15">
      <c r="C879" s="9"/>
    </row>
    <row r="880" spans="3:3" ht="15">
      <c r="C880" s="9"/>
    </row>
    <row r="881" spans="3:3" ht="15">
      <c r="C881" s="9"/>
    </row>
    <row r="882" spans="3:3" ht="15">
      <c r="C882" s="9"/>
    </row>
    <row r="883" spans="3:3" ht="15">
      <c r="C883" s="9"/>
    </row>
    <row r="884" spans="3:3" ht="15">
      <c r="C884" s="9"/>
    </row>
    <row r="885" spans="3:3" ht="15">
      <c r="C885" s="9"/>
    </row>
    <row r="886" spans="3:3" ht="15">
      <c r="C886" s="9"/>
    </row>
    <row r="887" spans="3:3" ht="15">
      <c r="C887" s="9"/>
    </row>
    <row r="888" spans="3:3" ht="15">
      <c r="C888" s="9"/>
    </row>
    <row r="889" spans="3:3" ht="15">
      <c r="C889" s="9"/>
    </row>
    <row r="890" spans="3:3" ht="15">
      <c r="C890" s="9"/>
    </row>
    <row r="891" spans="3:3" ht="15">
      <c r="C891" s="9"/>
    </row>
    <row r="892" spans="3:3" ht="15">
      <c r="C892" s="9"/>
    </row>
    <row r="893" spans="3:3" ht="15">
      <c r="C893" s="9"/>
    </row>
    <row r="894" spans="3:3" ht="15">
      <c r="C894" s="9"/>
    </row>
    <row r="895" spans="3:3" ht="15">
      <c r="C895" s="9"/>
    </row>
    <row r="896" spans="3:3" ht="15">
      <c r="C896" s="9"/>
    </row>
    <row r="897" spans="3:3" ht="15">
      <c r="C897" s="9"/>
    </row>
    <row r="898" spans="3:3" ht="15">
      <c r="C898" s="9"/>
    </row>
    <row r="899" spans="3:3" ht="15">
      <c r="C899" s="9"/>
    </row>
    <row r="900" spans="3:3" ht="15">
      <c r="C900" s="9"/>
    </row>
    <row r="901" spans="3:3" ht="15">
      <c r="C901" s="9"/>
    </row>
    <row r="902" spans="3:3" ht="15">
      <c r="C902" s="9"/>
    </row>
    <row r="903" spans="3:3" ht="15">
      <c r="C903" s="9"/>
    </row>
    <row r="904" spans="3:3" ht="15">
      <c r="C904" s="9"/>
    </row>
    <row r="905" spans="3:3" ht="15">
      <c r="C905" s="9"/>
    </row>
    <row r="906" spans="3:3" ht="15">
      <c r="C906" s="9"/>
    </row>
    <row r="907" spans="3:3" ht="15">
      <c r="C907" s="9"/>
    </row>
    <row r="908" spans="3:3" ht="15">
      <c r="C908" s="9"/>
    </row>
    <row r="909" spans="3:3" ht="15">
      <c r="C909" s="9"/>
    </row>
    <row r="910" spans="3:3" ht="15">
      <c r="C910" s="9"/>
    </row>
    <row r="911" spans="3:3" ht="15">
      <c r="C911" s="9"/>
    </row>
    <row r="912" spans="3:3" ht="15">
      <c r="C912" s="9"/>
    </row>
    <row r="913" spans="3:3" ht="15">
      <c r="C913" s="9"/>
    </row>
    <row r="914" spans="3:3" ht="15">
      <c r="C914" s="9"/>
    </row>
    <row r="915" spans="3:3" ht="15">
      <c r="C915" s="9"/>
    </row>
    <row r="916" spans="3:3" ht="15">
      <c r="C916" s="9"/>
    </row>
    <row r="917" spans="3:3" ht="15">
      <c r="C917" s="9"/>
    </row>
    <row r="918" spans="3:3" ht="15">
      <c r="C918" s="9"/>
    </row>
    <row r="919" spans="3:3" ht="15">
      <c r="C919" s="9"/>
    </row>
    <row r="920" spans="3:3" ht="15">
      <c r="C920" s="9"/>
    </row>
    <row r="921" spans="3:3" ht="15">
      <c r="C921" s="9"/>
    </row>
    <row r="922" spans="3:3" ht="15">
      <c r="C922" s="9"/>
    </row>
    <row r="923" spans="3:3" ht="15">
      <c r="C923" s="9"/>
    </row>
    <row r="924" spans="3:3" ht="15">
      <c r="C924" s="9"/>
    </row>
    <row r="925" spans="3:3" ht="15">
      <c r="C925" s="9"/>
    </row>
    <row r="926" spans="3:3" ht="15">
      <c r="C926" s="9"/>
    </row>
    <row r="927" spans="3:3" ht="15">
      <c r="C927" s="9"/>
    </row>
    <row r="928" spans="3:3" ht="15">
      <c r="C928" s="9"/>
    </row>
    <row r="929" spans="3:3" ht="15">
      <c r="C929" s="9"/>
    </row>
    <row r="930" spans="3:3" ht="15">
      <c r="C930" s="9"/>
    </row>
    <row r="931" spans="3:3" ht="15">
      <c r="C931" s="9"/>
    </row>
    <row r="932" spans="3:3" ht="15">
      <c r="C932" s="9"/>
    </row>
    <row r="933" spans="3:3" ht="15">
      <c r="C933" s="9"/>
    </row>
    <row r="934" spans="3:3" ht="15">
      <c r="C934" s="9"/>
    </row>
    <row r="935" spans="3:3" ht="15">
      <c r="C935" s="9"/>
    </row>
    <row r="936" spans="3:3" ht="15">
      <c r="C936" s="9"/>
    </row>
    <row r="937" spans="3:3" ht="15">
      <c r="C937" s="9"/>
    </row>
    <row r="938" spans="3:3" ht="15">
      <c r="C938" s="9"/>
    </row>
    <row r="939" spans="3:3" ht="15">
      <c r="C939" s="9"/>
    </row>
    <row r="940" spans="3:3" ht="15">
      <c r="C940" s="9"/>
    </row>
    <row r="941" spans="3:3" ht="15">
      <c r="C941" s="9"/>
    </row>
    <row r="942" spans="3:3" ht="15">
      <c r="C942" s="9"/>
    </row>
    <row r="943" spans="3:3" ht="15">
      <c r="C943" s="9"/>
    </row>
    <row r="944" spans="3:3" ht="15">
      <c r="C944" s="9"/>
    </row>
    <row r="945" spans="3:3" ht="15">
      <c r="C945" s="9"/>
    </row>
    <row r="946" spans="3:3" ht="15">
      <c r="C946" s="9"/>
    </row>
    <row r="947" spans="3:3" ht="15">
      <c r="C947" s="9"/>
    </row>
    <row r="948" spans="3:3" ht="15">
      <c r="C948" s="9"/>
    </row>
    <row r="949" spans="3:3" ht="15">
      <c r="C949" s="9"/>
    </row>
    <row r="950" spans="3:3" ht="15">
      <c r="C950" s="9"/>
    </row>
    <row r="951" spans="3:3" ht="15">
      <c r="C951" s="9"/>
    </row>
    <row r="952" spans="3:3" ht="15">
      <c r="C952" s="9"/>
    </row>
    <row r="953" spans="3:3" ht="15">
      <c r="C953" s="9"/>
    </row>
    <row r="954" spans="3:3" ht="15">
      <c r="C954" s="9"/>
    </row>
    <row r="955" spans="3:3" ht="15">
      <c r="C955" s="9"/>
    </row>
    <row r="956" spans="3:3" ht="15">
      <c r="C956" s="9"/>
    </row>
    <row r="957" spans="3:3" ht="15">
      <c r="C957" s="9"/>
    </row>
    <row r="958" spans="3:3" ht="15">
      <c r="C958" s="9"/>
    </row>
    <row r="959" spans="3:3" ht="15">
      <c r="C959" s="9"/>
    </row>
    <row r="960" spans="3:3" ht="15">
      <c r="C960" s="9"/>
    </row>
    <row r="961" spans="3:3" ht="15">
      <c r="C961" s="9"/>
    </row>
    <row r="962" spans="3:3" ht="15">
      <c r="C962" s="9"/>
    </row>
    <row r="963" spans="3:3" ht="15">
      <c r="C963" s="9"/>
    </row>
    <row r="964" spans="3:3" ht="15">
      <c r="C964" s="9"/>
    </row>
    <row r="965" spans="3:3" ht="15">
      <c r="C965" s="9"/>
    </row>
    <row r="966" spans="3:3" ht="15">
      <c r="C966" s="9"/>
    </row>
    <row r="967" spans="3:3" ht="15">
      <c r="C967" s="9"/>
    </row>
    <row r="968" spans="3:3" ht="15">
      <c r="C968" s="9"/>
    </row>
    <row r="969" spans="3:3" ht="15">
      <c r="C969" s="9"/>
    </row>
    <row r="970" spans="3:3" ht="15">
      <c r="C970" s="9"/>
    </row>
    <row r="971" spans="3:3" ht="15">
      <c r="C971" s="9"/>
    </row>
    <row r="972" spans="3:3" ht="15">
      <c r="C972" s="9"/>
    </row>
    <row r="973" spans="3:3" ht="15">
      <c r="C973" s="9"/>
    </row>
    <row r="974" spans="3:3" ht="15">
      <c r="C974" s="9"/>
    </row>
    <row r="975" spans="3:3" ht="15">
      <c r="C975" s="9"/>
    </row>
    <row r="976" spans="3:3" ht="15">
      <c r="C976" s="9"/>
    </row>
    <row r="977" spans="3:3" ht="15">
      <c r="C977" s="9"/>
    </row>
    <row r="978" spans="3:3" ht="15">
      <c r="C978" s="9"/>
    </row>
    <row r="979" spans="3:3" ht="15">
      <c r="C979" s="9"/>
    </row>
    <row r="980" spans="3:3" ht="15">
      <c r="C980" s="9"/>
    </row>
    <row r="981" spans="3:3" ht="15">
      <c r="C981" s="9"/>
    </row>
    <row r="982" spans="3:3" ht="15">
      <c r="C982" s="9"/>
    </row>
    <row r="983" spans="3:3" ht="15">
      <c r="C983" s="9"/>
    </row>
    <row r="984" spans="3:3" ht="15">
      <c r="C984" s="9"/>
    </row>
    <row r="985" spans="3:3" ht="15">
      <c r="C985" s="9"/>
    </row>
    <row r="986" spans="3:3" ht="15">
      <c r="C986" s="9"/>
    </row>
    <row r="987" spans="3:3" ht="15">
      <c r="C987" s="9"/>
    </row>
    <row r="988" spans="3:3" ht="15">
      <c r="C988" s="9"/>
    </row>
    <row r="989" spans="3:3" ht="15">
      <c r="C989" s="9"/>
    </row>
    <row r="990" spans="3:3" ht="15">
      <c r="C990" s="9"/>
    </row>
    <row r="991" spans="3:3" ht="15">
      <c r="C991" s="9"/>
    </row>
    <row r="992" spans="3:3" ht="15">
      <c r="C992" s="9"/>
    </row>
    <row r="993" spans="3:3" ht="15">
      <c r="C993" s="9"/>
    </row>
    <row r="994" spans="3:3" ht="15">
      <c r="C994" s="9"/>
    </row>
    <row r="995" spans="3:3" ht="15">
      <c r="C995" s="9"/>
    </row>
    <row r="996" spans="3:3" ht="15">
      <c r="C996" s="9"/>
    </row>
    <row r="997" spans="3:3" ht="15">
      <c r="C997" s="9"/>
    </row>
    <row r="998" spans="3:3" ht="15">
      <c r="C998" s="9"/>
    </row>
    <row r="999" spans="3:3" ht="15">
      <c r="C999" s="9"/>
    </row>
    <row r="1000" spans="3:3" ht="15">
      <c r="C1000" s="9"/>
    </row>
    <row r="1001" spans="3:3" ht="15">
      <c r="C1001" s="9"/>
    </row>
    <row r="1002" spans="3:3" ht="15">
      <c r="C1002" s="9"/>
    </row>
    <row r="1003" spans="3:3" ht="15">
      <c r="C1003" s="9"/>
    </row>
    <row r="1004" spans="3:3" ht="15">
      <c r="C1004" s="9"/>
    </row>
    <row r="1005" spans="3:3" ht="15">
      <c r="C1005" s="9"/>
    </row>
    <row r="1006" spans="3:3" ht="15">
      <c r="C1006" s="9"/>
    </row>
    <row r="1007" spans="3:3" ht="15">
      <c r="C1007" s="9"/>
    </row>
    <row r="1008" spans="3:3" ht="15">
      <c r="C1008" s="9"/>
    </row>
    <row r="1009" spans="3:3" ht="15">
      <c r="C1009" s="9"/>
    </row>
    <row r="1010" spans="3:3" ht="15">
      <c r="C1010" s="9"/>
    </row>
    <row r="1011" spans="3:3" ht="15">
      <c r="C1011" s="9"/>
    </row>
    <row r="1012" spans="3:3" ht="15">
      <c r="C1012" s="9"/>
    </row>
    <row r="1013" spans="3:3" ht="15">
      <c r="C1013" s="9"/>
    </row>
    <row r="1014" spans="3:3" ht="15">
      <c r="C1014" s="9"/>
    </row>
    <row r="1015" spans="3:3" ht="15">
      <c r="C1015" s="9"/>
    </row>
    <row r="1016" spans="3:3" ht="15">
      <c r="C1016" s="9"/>
    </row>
    <row r="1017" spans="3:3" ht="15">
      <c r="C1017" s="9"/>
    </row>
    <row r="1018" spans="3:3" ht="15">
      <c r="C1018" s="9"/>
    </row>
    <row r="1019" spans="3:3" ht="15">
      <c r="C1019" s="9"/>
    </row>
    <row r="1020" spans="3:3" ht="15">
      <c r="C1020" s="9"/>
    </row>
    <row r="1021" spans="3:3" ht="15">
      <c r="C1021" s="9"/>
    </row>
    <row r="1022" spans="3:3" ht="15">
      <c r="C1022" s="9"/>
    </row>
    <row r="1023" spans="3:3" ht="15">
      <c r="C1023" s="9"/>
    </row>
    <row r="1024" spans="3:3" ht="15">
      <c r="C1024" s="9"/>
    </row>
    <row r="1025" spans="3:3" ht="15">
      <c r="C1025" s="9"/>
    </row>
    <row r="1026" spans="3:3" ht="15">
      <c r="C1026" s="9"/>
    </row>
    <row r="1027" spans="3:3" ht="15">
      <c r="C1027" s="9"/>
    </row>
    <row r="1028" spans="3:3" ht="15">
      <c r="C1028" s="9"/>
    </row>
    <row r="1029" spans="3:3" ht="15">
      <c r="C1029" s="9"/>
    </row>
    <row r="1030" spans="3:3" ht="15">
      <c r="C1030" s="9"/>
    </row>
    <row r="1031" spans="3:3" ht="15">
      <c r="C1031" s="9"/>
    </row>
    <row r="1032" spans="3:3" ht="15">
      <c r="C1032" s="9"/>
    </row>
    <row r="1033" spans="3:3" ht="15">
      <c r="C1033" s="9"/>
    </row>
    <row r="1034" spans="3:3" ht="15">
      <c r="C1034" s="9"/>
    </row>
    <row r="1035" spans="3:3" ht="15">
      <c r="C1035" s="9"/>
    </row>
    <row r="1036" spans="3:3" ht="15">
      <c r="C1036" s="9"/>
    </row>
    <row r="1037" spans="3:3" ht="15">
      <c r="C1037" s="9"/>
    </row>
    <row r="1038" spans="3:3" ht="15">
      <c r="C1038" s="9"/>
    </row>
    <row r="1039" spans="3:3" ht="15">
      <c r="C1039" s="9"/>
    </row>
    <row r="1040" spans="3:3" ht="15">
      <c r="C1040" s="9"/>
    </row>
    <row r="1041" spans="3:3" ht="15">
      <c r="C1041" s="9"/>
    </row>
    <row r="1042" spans="3:3" ht="15">
      <c r="C1042" s="9"/>
    </row>
    <row r="1043" spans="3:3" ht="15">
      <c r="C1043" s="9"/>
    </row>
    <row r="1044" spans="3:3" ht="15">
      <c r="C1044" s="9"/>
    </row>
    <row r="1045" spans="3:3" ht="15">
      <c r="C1045" s="9"/>
    </row>
    <row r="1046" spans="3:3" ht="15">
      <c r="C1046" s="9"/>
    </row>
    <row r="1047" spans="3:3" ht="15">
      <c r="C1047" s="9"/>
    </row>
    <row r="1048" spans="3:3" ht="15">
      <c r="C1048" s="9"/>
    </row>
    <row r="1049" spans="3:3" ht="15">
      <c r="C1049" s="9"/>
    </row>
    <row r="1050" spans="3:3" ht="15">
      <c r="C1050" s="9"/>
    </row>
    <row r="1051" spans="3:3" ht="15">
      <c r="C1051" s="9"/>
    </row>
    <row r="1052" spans="3:3" ht="15">
      <c r="C1052" s="9"/>
    </row>
    <row r="1053" spans="3:3" ht="15">
      <c r="C1053" s="9"/>
    </row>
    <row r="1054" spans="3:3" ht="15">
      <c r="C1054" s="9"/>
    </row>
    <row r="1055" spans="3:3" ht="15">
      <c r="C1055" s="9"/>
    </row>
    <row r="1056" spans="3:3" ht="15">
      <c r="C1056" s="9"/>
    </row>
    <row r="1057" spans="3:3" ht="15">
      <c r="C1057" s="9"/>
    </row>
    <row r="1058" spans="3:3" ht="15">
      <c r="C1058" s="9"/>
    </row>
    <row r="1059" spans="3:3" ht="15">
      <c r="C1059" s="9"/>
    </row>
    <row r="1060" spans="3:3" ht="15">
      <c r="C1060" s="9"/>
    </row>
    <row r="1061" spans="3:3" ht="15">
      <c r="C1061" s="9"/>
    </row>
    <row r="1062" spans="3:3" ht="15">
      <c r="C1062" s="9"/>
    </row>
    <row r="1063" spans="3:3" ht="15">
      <c r="C1063" s="9"/>
    </row>
    <row r="1064" spans="3:3" ht="15">
      <c r="C1064" s="9"/>
    </row>
    <row r="1065" spans="3:3" ht="15">
      <c r="C1065" s="9"/>
    </row>
    <row r="1066" spans="3:3" ht="15">
      <c r="C1066" s="9"/>
    </row>
    <row r="1067" spans="3:3" ht="15">
      <c r="C1067" s="9"/>
    </row>
    <row r="1068" spans="3:3" ht="15">
      <c r="C1068" s="9"/>
    </row>
    <row r="1069" spans="3:3" ht="15">
      <c r="C1069" s="9"/>
    </row>
    <row r="1070" spans="3:3" ht="15">
      <c r="C1070" s="9"/>
    </row>
    <row r="1071" spans="3:3" ht="15">
      <c r="C1071" s="9"/>
    </row>
    <row r="1072" spans="3:3" ht="15">
      <c r="C1072" s="9"/>
    </row>
    <row r="1073" spans="3:3" ht="15">
      <c r="C1073" s="9"/>
    </row>
    <row r="1074" spans="3:3" ht="15">
      <c r="C1074" s="9"/>
    </row>
    <row r="1075" spans="3:3" ht="15">
      <c r="C1075" s="9"/>
    </row>
    <row r="1076" spans="3:3" ht="15">
      <c r="C1076" s="9"/>
    </row>
    <row r="1077" spans="3:3" ht="15">
      <c r="C1077" s="9"/>
    </row>
    <row r="1078" spans="3:3" ht="15">
      <c r="C1078" s="9"/>
    </row>
    <row r="1079" spans="3:3" ht="15">
      <c r="C1079" s="9"/>
    </row>
    <row r="1080" spans="3:3" ht="15">
      <c r="C1080" s="9"/>
    </row>
    <row r="1081" spans="3:3" ht="15">
      <c r="C1081" s="9"/>
    </row>
    <row r="1082" spans="3:3" ht="15">
      <c r="C1082" s="9"/>
    </row>
    <row r="1083" spans="3:3" ht="15">
      <c r="C1083" s="9"/>
    </row>
    <row r="1084" spans="3:3" ht="15">
      <c r="C1084" s="9"/>
    </row>
    <row r="1085" spans="3:3" ht="15">
      <c r="C1085" s="9"/>
    </row>
    <row r="1086" spans="3:3" ht="15">
      <c r="C1086" s="9"/>
    </row>
    <row r="1087" spans="3:3" ht="15">
      <c r="C1087" s="9"/>
    </row>
    <row r="1088" spans="3:3" ht="15">
      <c r="C1088" s="9"/>
    </row>
    <row r="1089" spans="3:3" ht="15">
      <c r="C1089" s="9"/>
    </row>
    <row r="1090" spans="3:3" ht="15">
      <c r="C1090" s="9"/>
    </row>
    <row r="1091" spans="3:3" ht="15">
      <c r="C1091" s="9"/>
    </row>
    <row r="1092" spans="3:3" ht="15">
      <c r="C1092" s="9"/>
    </row>
    <row r="1093" spans="3:3" ht="15">
      <c r="C1093" s="9"/>
    </row>
    <row r="1094" spans="3:3" ht="15">
      <c r="C1094" s="9"/>
    </row>
    <row r="1095" spans="3:3" ht="15">
      <c r="C1095" s="9"/>
    </row>
    <row r="1096" spans="3:3" ht="15">
      <c r="C1096" s="9"/>
    </row>
    <row r="1097" spans="3:3" ht="15">
      <c r="C1097" s="9"/>
    </row>
    <row r="1098" spans="3:3" ht="15">
      <c r="C1098" s="9"/>
    </row>
    <row r="1099" spans="3:3" ht="15">
      <c r="C1099" s="9"/>
    </row>
    <row r="1100" spans="3:3" ht="15">
      <c r="C1100" s="9"/>
    </row>
    <row r="1101" spans="3:3" ht="15">
      <c r="C1101" s="9"/>
    </row>
    <row r="1102" spans="3:3" ht="15">
      <c r="C1102" s="9"/>
    </row>
    <row r="1103" spans="3:3" ht="15">
      <c r="C1103" s="9"/>
    </row>
    <row r="1104" spans="3:3" ht="15">
      <c r="C1104" s="9"/>
    </row>
    <row r="1105" spans="3:3" ht="15">
      <c r="C1105" s="9"/>
    </row>
    <row r="1106" spans="3:3" ht="15">
      <c r="C1106" s="9"/>
    </row>
    <row r="1107" spans="3:3" ht="15">
      <c r="C1107" s="9"/>
    </row>
    <row r="1108" spans="3:3" ht="15">
      <c r="C1108" s="9"/>
    </row>
    <row r="1109" spans="3:3" ht="15">
      <c r="C1109" s="9"/>
    </row>
    <row r="1110" spans="3:3" ht="15">
      <c r="C1110" s="9"/>
    </row>
    <row r="1111" spans="3:3" ht="15">
      <c r="C1111" s="9"/>
    </row>
    <row r="1112" spans="3:3" ht="15">
      <c r="C1112" s="9"/>
    </row>
    <row r="1113" spans="3:3" ht="15">
      <c r="C1113" s="9"/>
    </row>
    <row r="1114" spans="3:3" ht="15">
      <c r="C1114" s="9"/>
    </row>
    <row r="1115" spans="3:3" ht="15">
      <c r="C1115" s="9"/>
    </row>
    <row r="1116" spans="3:3" ht="15">
      <c r="C1116" s="9"/>
    </row>
    <row r="1117" spans="3:3" ht="15">
      <c r="C1117" s="9"/>
    </row>
    <row r="1118" spans="3:3" ht="15">
      <c r="C1118" s="9"/>
    </row>
    <row r="1119" spans="3:3" ht="15">
      <c r="C1119" s="9"/>
    </row>
    <row r="1120" spans="3:3" ht="15">
      <c r="C1120" s="9"/>
    </row>
    <row r="1121" spans="3:3" ht="15">
      <c r="C1121" s="9"/>
    </row>
    <row r="1122" spans="3:3" ht="15">
      <c r="C1122" s="9"/>
    </row>
    <row r="1123" spans="3:3" ht="15">
      <c r="C1123" s="9"/>
    </row>
    <row r="1124" spans="3:3" ht="15">
      <c r="C1124" s="9"/>
    </row>
    <row r="1125" spans="3:3" ht="15">
      <c r="C1125" s="9"/>
    </row>
    <row r="1126" spans="3:3" ht="15">
      <c r="C1126" s="9"/>
    </row>
    <row r="1127" spans="3:3" ht="15">
      <c r="C1127" s="9"/>
    </row>
    <row r="1128" spans="3:3" ht="15">
      <c r="C1128" s="9"/>
    </row>
    <row r="1129" spans="3:3" ht="15">
      <c r="C1129" s="9"/>
    </row>
    <row r="1130" spans="3:3" ht="15">
      <c r="C1130" s="9"/>
    </row>
    <row r="1131" spans="3:3" ht="15">
      <c r="C1131" s="9"/>
    </row>
    <row r="1132" spans="3:3" ht="15">
      <c r="C1132" s="9"/>
    </row>
    <row r="1133" spans="3:3" ht="15">
      <c r="C1133" s="9"/>
    </row>
    <row r="1134" spans="3:3" ht="15">
      <c r="C1134" s="9"/>
    </row>
    <row r="1135" spans="3:3" ht="15">
      <c r="C1135" s="9"/>
    </row>
    <row r="1136" spans="3:3" ht="15">
      <c r="C1136" s="9"/>
    </row>
    <row r="1137" spans="3:3" ht="15">
      <c r="C1137" s="9"/>
    </row>
    <row r="1138" spans="3:3" ht="15">
      <c r="C1138" s="9"/>
    </row>
    <row r="1139" spans="3:3" ht="15">
      <c r="C1139" s="9"/>
    </row>
    <row r="1140" spans="3:3" ht="15">
      <c r="C1140" s="9"/>
    </row>
    <row r="1141" spans="3:3" ht="15">
      <c r="C1141" s="9"/>
    </row>
    <row r="1142" spans="3:3" ht="15">
      <c r="C1142" s="9"/>
    </row>
    <row r="1143" spans="3:3" ht="15">
      <c r="C1143" s="9"/>
    </row>
    <row r="1144" spans="3:3" ht="15">
      <c r="C1144" s="9"/>
    </row>
    <row r="1145" spans="3:3" ht="15">
      <c r="C1145" s="9"/>
    </row>
    <row r="1146" spans="3:3" ht="15">
      <c r="C1146" s="9"/>
    </row>
    <row r="1147" spans="3:3" ht="15">
      <c r="C1147" s="9"/>
    </row>
    <row r="1148" spans="3:3" ht="15">
      <c r="C1148" s="9"/>
    </row>
    <row r="1149" spans="3:3" ht="15">
      <c r="C1149" s="9"/>
    </row>
    <row r="1150" spans="3:3" ht="15">
      <c r="C1150" s="9"/>
    </row>
    <row r="1151" spans="3:3" ht="15">
      <c r="C1151" s="9"/>
    </row>
    <row r="1152" spans="3:3" ht="15">
      <c r="C1152" s="9"/>
    </row>
    <row r="1153" spans="3:3" ht="15">
      <c r="C1153" s="9"/>
    </row>
    <row r="1154" spans="3:3" ht="15">
      <c r="C1154" s="9"/>
    </row>
    <row r="1155" spans="3:3" ht="15">
      <c r="C1155" s="9"/>
    </row>
    <row r="1156" spans="3:3" ht="15">
      <c r="C1156" s="9"/>
    </row>
    <row r="1157" spans="3:3" ht="15">
      <c r="C1157" s="9"/>
    </row>
    <row r="1158" spans="3:3" ht="15">
      <c r="C1158" s="9"/>
    </row>
    <row r="1159" spans="3:3" ht="15">
      <c r="C1159" s="9"/>
    </row>
    <row r="1160" spans="3:3" ht="15">
      <c r="C1160" s="9"/>
    </row>
    <row r="1161" spans="3:3" ht="15">
      <c r="C1161" s="9"/>
    </row>
    <row r="1162" spans="3:3" ht="15">
      <c r="C1162" s="9"/>
    </row>
    <row r="1163" spans="3:3" ht="15">
      <c r="C1163" s="9"/>
    </row>
    <row r="1164" spans="3:3" ht="15">
      <c r="C1164" s="9"/>
    </row>
    <row r="1165" spans="3:3" ht="15">
      <c r="C1165" s="9"/>
    </row>
    <row r="1166" spans="3:3" ht="15">
      <c r="C1166" s="9"/>
    </row>
    <row r="1167" spans="3:3" ht="15">
      <c r="C1167" s="9"/>
    </row>
    <row r="1168" spans="3:3" ht="15">
      <c r="C1168" s="9"/>
    </row>
    <row r="1169" spans="3:3" ht="15">
      <c r="C1169" s="9"/>
    </row>
    <row r="1170" spans="3:3" ht="15">
      <c r="C1170" s="9"/>
    </row>
    <row r="1171" spans="3:3" ht="15">
      <c r="C1171" s="9"/>
    </row>
    <row r="1172" spans="3:3" ht="15">
      <c r="C1172" s="9"/>
    </row>
    <row r="1173" spans="3:3" ht="15">
      <c r="C1173" s="9"/>
    </row>
    <row r="1174" spans="3:3" ht="15">
      <c r="C1174" s="9"/>
    </row>
    <row r="1175" spans="3:3" ht="15">
      <c r="C1175" s="9"/>
    </row>
    <row r="1176" spans="3:3" ht="15">
      <c r="C1176" s="9"/>
    </row>
    <row r="1177" spans="3:3" ht="15">
      <c r="C1177" s="9"/>
    </row>
    <row r="1178" spans="3:3" ht="15">
      <c r="C1178" s="9"/>
    </row>
    <row r="1179" spans="3:3" ht="15">
      <c r="C1179" s="9"/>
    </row>
    <row r="1180" spans="3:3" ht="15">
      <c r="C1180" s="9"/>
    </row>
    <row r="1181" spans="3:3" ht="15">
      <c r="C1181" s="9"/>
    </row>
    <row r="1182" spans="3:3" ht="15">
      <c r="C1182" s="9"/>
    </row>
    <row r="1183" spans="3:3" ht="15">
      <c r="C1183" s="9"/>
    </row>
    <row r="1184" spans="3:3" ht="15">
      <c r="C1184" s="9"/>
    </row>
    <row r="1185" spans="3:3" ht="15">
      <c r="C1185" s="9"/>
    </row>
    <row r="1186" spans="3:3" ht="15">
      <c r="C1186" s="9"/>
    </row>
    <row r="1187" spans="3:3" ht="15">
      <c r="C1187" s="9"/>
    </row>
    <row r="1188" spans="3:3" ht="15">
      <c r="C1188" s="9"/>
    </row>
    <row r="1189" spans="3:3" ht="15">
      <c r="C1189" s="9"/>
    </row>
    <row r="1190" spans="3:3" ht="15">
      <c r="C1190" s="9"/>
    </row>
    <row r="1191" spans="3:3" ht="15">
      <c r="C1191" s="9"/>
    </row>
    <row r="1192" spans="3:3" ht="15">
      <c r="C1192" s="9"/>
    </row>
    <row r="1193" spans="3:3" ht="15">
      <c r="C1193" s="9"/>
    </row>
    <row r="1194" spans="3:3" ht="15">
      <c r="C1194" s="9"/>
    </row>
    <row r="1195" spans="3:3" ht="15">
      <c r="C1195" s="9"/>
    </row>
    <row r="1196" spans="3:3" ht="15">
      <c r="C1196" s="9"/>
    </row>
    <row r="1197" spans="3:3" ht="15">
      <c r="C1197" s="9"/>
    </row>
    <row r="1198" spans="3:3" ht="15">
      <c r="C1198" s="9"/>
    </row>
    <row r="1199" spans="3:3" ht="15">
      <c r="C1199" s="9"/>
    </row>
    <row r="1200" spans="3:3" ht="15">
      <c r="C1200" s="9"/>
    </row>
    <row r="1201" spans="3:3" ht="15">
      <c r="C1201" s="9"/>
    </row>
    <row r="1202" spans="3:3" ht="15">
      <c r="C1202" s="9"/>
    </row>
    <row r="1203" spans="3:3" ht="15">
      <c r="C1203" s="9"/>
    </row>
    <row r="1204" spans="3:3" ht="15">
      <c r="C1204" s="9"/>
    </row>
    <row r="1205" spans="3:3" ht="15">
      <c r="C1205" s="9"/>
    </row>
    <row r="1206" spans="3:3" ht="15">
      <c r="C1206" s="9"/>
    </row>
    <row r="1207" spans="3:3" ht="15">
      <c r="C1207" s="9"/>
    </row>
    <row r="1208" spans="3:3" ht="15">
      <c r="C1208" s="9"/>
    </row>
    <row r="1209" spans="3:3" ht="15">
      <c r="C1209" s="9"/>
    </row>
    <row r="1210" spans="3:3" ht="15">
      <c r="C1210" s="9"/>
    </row>
    <row r="1211" spans="3:3" ht="15">
      <c r="C1211" s="9"/>
    </row>
    <row r="1212" spans="3:3" ht="15">
      <c r="C1212" s="9"/>
    </row>
    <row r="1213" spans="3:3" ht="15">
      <c r="C1213" s="9"/>
    </row>
    <row r="1214" spans="3:3" ht="15">
      <c r="C1214" s="9"/>
    </row>
    <row r="1215" spans="3:3" ht="15">
      <c r="C1215" s="9"/>
    </row>
    <row r="1216" spans="3:3" ht="15">
      <c r="C1216" s="9"/>
    </row>
    <row r="1217" spans="3:3" ht="15">
      <c r="C1217" s="9"/>
    </row>
    <row r="1218" spans="3:3" ht="15">
      <c r="C1218" s="9"/>
    </row>
    <row r="1219" spans="3:3" ht="15">
      <c r="C1219" s="9"/>
    </row>
    <row r="1220" spans="3:3" ht="15">
      <c r="C1220" s="9"/>
    </row>
    <row r="1221" spans="3:3" ht="15">
      <c r="C1221" s="9"/>
    </row>
    <row r="1222" spans="3:3" ht="15">
      <c r="C1222" s="9"/>
    </row>
    <row r="1223" spans="3:3" ht="15">
      <c r="C1223" s="9"/>
    </row>
    <row r="1224" spans="3:3" ht="15">
      <c r="C1224" s="9"/>
    </row>
    <row r="1225" spans="3:3" ht="15">
      <c r="C1225" s="9"/>
    </row>
    <row r="1226" spans="3:3" ht="15">
      <c r="C1226" s="9"/>
    </row>
    <row r="1227" spans="3:3" ht="15">
      <c r="C1227" s="9"/>
    </row>
    <row r="1228" spans="3:3" ht="15">
      <c r="C1228" s="9"/>
    </row>
    <row r="1229" spans="3:3" ht="15">
      <c r="C1229" s="9"/>
    </row>
    <row r="1230" spans="3:3" ht="15">
      <c r="C1230" s="9"/>
    </row>
    <row r="1231" spans="3:3" ht="15">
      <c r="C1231" s="9"/>
    </row>
    <row r="1232" spans="3:3" ht="15">
      <c r="C1232" s="9"/>
    </row>
    <row r="1233" spans="3:3" ht="15">
      <c r="C1233" s="9"/>
    </row>
    <row r="1234" spans="3:3" ht="15">
      <c r="C1234" s="9"/>
    </row>
    <row r="1235" spans="3:3" ht="15">
      <c r="C1235" s="9"/>
    </row>
    <row r="1236" spans="3:3" ht="15">
      <c r="C1236" s="9"/>
    </row>
    <row r="1237" spans="3:3" ht="15">
      <c r="C1237" s="9"/>
    </row>
    <row r="1238" spans="3:3" ht="15">
      <c r="C1238" s="9"/>
    </row>
    <row r="1239" spans="3:3" ht="15">
      <c r="C1239" s="9"/>
    </row>
    <row r="1240" spans="3:3" ht="15">
      <c r="C1240" s="9"/>
    </row>
    <row r="1241" spans="3:3" ht="15">
      <c r="C1241" s="9"/>
    </row>
    <row r="1242" spans="3:3" ht="15">
      <c r="C1242" s="9"/>
    </row>
    <row r="1243" spans="3:3" ht="15">
      <c r="C1243" s="9"/>
    </row>
    <row r="1244" spans="3:3" ht="15">
      <c r="C1244" s="9"/>
    </row>
    <row r="1245" spans="3:3" ht="15">
      <c r="C1245" s="9"/>
    </row>
    <row r="1246" spans="3:3" ht="15">
      <c r="C1246" s="9"/>
    </row>
    <row r="1247" spans="3:3" ht="15">
      <c r="C1247" s="9"/>
    </row>
    <row r="1248" spans="3:3" ht="15">
      <c r="C1248" s="9"/>
    </row>
    <row r="1249" spans="3:3" ht="15">
      <c r="C1249" s="9"/>
    </row>
    <row r="1250" spans="3:3" ht="15">
      <c r="C1250" s="9"/>
    </row>
    <row r="1251" spans="3:3" ht="15">
      <c r="C1251" s="9"/>
    </row>
    <row r="1252" spans="3:3" ht="15">
      <c r="C1252" s="9"/>
    </row>
    <row r="1253" spans="3:3" ht="15">
      <c r="C1253" s="9"/>
    </row>
    <row r="1254" spans="3:3" ht="15">
      <c r="C1254" s="9"/>
    </row>
    <row r="1255" spans="3:3" ht="15">
      <c r="C1255" s="9"/>
    </row>
    <row r="1256" spans="3:3" ht="15">
      <c r="C1256" s="9"/>
    </row>
    <row r="1257" spans="3:3" ht="15">
      <c r="C1257" s="9"/>
    </row>
    <row r="1258" spans="3:3" ht="15">
      <c r="C1258" s="9"/>
    </row>
    <row r="1259" spans="3:3" ht="15">
      <c r="C1259" s="9"/>
    </row>
    <row r="1260" spans="3:3" ht="15">
      <c r="C1260" s="9"/>
    </row>
    <row r="1261" spans="3:3" ht="15">
      <c r="C1261" s="9"/>
    </row>
    <row r="1262" spans="3:3" ht="15">
      <c r="C1262" s="9"/>
    </row>
    <row r="1263" spans="3:3" ht="15">
      <c r="C1263" s="9"/>
    </row>
    <row r="1264" spans="3:3" ht="15">
      <c r="C1264" s="9"/>
    </row>
    <row r="1265" spans="3:3" ht="15">
      <c r="C1265" s="9"/>
    </row>
    <row r="1266" spans="3:3" ht="15">
      <c r="C1266" s="9"/>
    </row>
    <row r="1267" spans="3:3" ht="15">
      <c r="C1267" s="9"/>
    </row>
    <row r="1268" spans="3:3" ht="15">
      <c r="C1268" s="9"/>
    </row>
    <row r="1269" spans="3:3" ht="15">
      <c r="C1269" s="9"/>
    </row>
    <row r="1270" spans="3:3" ht="15">
      <c r="C1270" s="9"/>
    </row>
    <row r="1271" spans="3:3" ht="15">
      <c r="C1271" s="9"/>
    </row>
    <row r="1272" spans="3:3" ht="15">
      <c r="C1272" s="9"/>
    </row>
    <row r="1273" spans="3:3" ht="15">
      <c r="C1273" s="9"/>
    </row>
    <row r="1274" spans="3:3" ht="15">
      <c r="C1274" s="9"/>
    </row>
    <row r="1275" spans="3:3" ht="15">
      <c r="C1275" s="9"/>
    </row>
    <row r="1276" spans="3:3" ht="15">
      <c r="C1276" s="9"/>
    </row>
    <row r="1277" spans="3:3" ht="15">
      <c r="C1277" s="9"/>
    </row>
    <row r="1278" spans="3:3" ht="15">
      <c r="C1278" s="9"/>
    </row>
    <row r="1279" spans="3:3" ht="15">
      <c r="C1279" s="9"/>
    </row>
    <row r="1280" spans="3:3" ht="15">
      <c r="C1280" s="9"/>
    </row>
    <row r="1281" spans="3:3" ht="15">
      <c r="C1281" s="9"/>
    </row>
    <row r="1282" spans="3:3" ht="15">
      <c r="C1282" s="9"/>
    </row>
    <row r="1283" spans="3:3" ht="15">
      <c r="C1283" s="9"/>
    </row>
    <row r="1284" spans="3:3" ht="15">
      <c r="C1284" s="9"/>
    </row>
    <row r="1285" spans="3:3" ht="15">
      <c r="C1285" s="9"/>
    </row>
    <row r="1286" spans="3:3" ht="15">
      <c r="C1286" s="9"/>
    </row>
    <row r="1287" spans="3:3" ht="15">
      <c r="C1287" s="9"/>
    </row>
    <row r="1288" spans="3:3" ht="15">
      <c r="C1288" s="9"/>
    </row>
    <row r="1289" spans="3:3" ht="15">
      <c r="C1289" s="9"/>
    </row>
    <row r="1290" spans="3:3" ht="15">
      <c r="C1290" s="9"/>
    </row>
    <row r="1291" spans="3:3" ht="15">
      <c r="C1291" s="9"/>
    </row>
    <row r="1292" spans="3:3" ht="15">
      <c r="C1292" s="9"/>
    </row>
    <row r="1293" spans="3:3" ht="15">
      <c r="C1293" s="9"/>
    </row>
    <row r="1294" spans="3:3" ht="15">
      <c r="C1294" s="9"/>
    </row>
    <row r="1295" spans="3:3" ht="15">
      <c r="C1295" s="9"/>
    </row>
    <row r="1296" spans="3:3" ht="15">
      <c r="C1296" s="9"/>
    </row>
    <row r="1297" spans="3:3" ht="15">
      <c r="C1297" s="9"/>
    </row>
    <row r="1298" spans="3:3" ht="15">
      <c r="C1298" s="9"/>
    </row>
    <row r="1299" spans="3:3" ht="15">
      <c r="C1299" s="9"/>
    </row>
    <row r="1300" spans="3:3" ht="15">
      <c r="C1300" s="9"/>
    </row>
    <row r="1301" spans="3:3" ht="15">
      <c r="C1301" s="9"/>
    </row>
    <row r="1302" spans="3:3" ht="15">
      <c r="C1302" s="9"/>
    </row>
    <row r="1303" spans="3:3" ht="15">
      <c r="C1303" s="9"/>
    </row>
    <row r="1304" spans="3:3" ht="15">
      <c r="C1304" s="9"/>
    </row>
    <row r="1305" spans="3:3" ht="15">
      <c r="C1305" s="9"/>
    </row>
    <row r="1306" spans="3:3" ht="15">
      <c r="C1306" s="9"/>
    </row>
    <row r="1307" spans="3:3" ht="15">
      <c r="C1307" s="9"/>
    </row>
    <row r="1308" spans="3:3" ht="15">
      <c r="C1308" s="9"/>
    </row>
    <row r="1309" spans="3:3" ht="15">
      <c r="C1309" s="9"/>
    </row>
    <row r="1310" spans="3:3" ht="15">
      <c r="C1310" s="9"/>
    </row>
    <row r="1311" spans="3:3" ht="15">
      <c r="C1311" s="9"/>
    </row>
    <row r="1312" spans="3:3" ht="15">
      <c r="C1312" s="9"/>
    </row>
    <row r="1313" spans="3:3" ht="15">
      <c r="C1313" s="9"/>
    </row>
    <row r="1314" spans="3:3" ht="15">
      <c r="C1314" s="9"/>
    </row>
    <row r="1315" spans="3:3" ht="15">
      <c r="C1315" s="9"/>
    </row>
    <row r="1316" spans="3:3" ht="15">
      <c r="C1316" s="9"/>
    </row>
    <row r="1317" spans="3:3" ht="15">
      <c r="C1317" s="9"/>
    </row>
    <row r="1318" spans="3:3" ht="15">
      <c r="C1318" s="9"/>
    </row>
    <row r="1319" spans="3:3" ht="15">
      <c r="C1319" s="9"/>
    </row>
    <row r="1320" spans="3:3" ht="15">
      <c r="C1320" s="9"/>
    </row>
    <row r="1321" spans="3:3" ht="15">
      <c r="C1321" s="9"/>
    </row>
    <row r="1322" spans="3:3" ht="15">
      <c r="C1322" s="9"/>
    </row>
    <row r="1323" spans="3:3" ht="15">
      <c r="C1323" s="9"/>
    </row>
    <row r="1324" spans="3:3" ht="15">
      <c r="C1324" s="9"/>
    </row>
    <row r="1325" spans="3:3" ht="15">
      <c r="C1325" s="9"/>
    </row>
    <row r="1326" spans="3:3" ht="15">
      <c r="C1326" s="9"/>
    </row>
    <row r="1327" spans="3:3" ht="15">
      <c r="C1327" s="9"/>
    </row>
    <row r="1328" spans="3:3" ht="15">
      <c r="C1328" s="9"/>
    </row>
    <row r="1329" spans="3:3" ht="15">
      <c r="C1329" s="9"/>
    </row>
    <row r="1330" spans="3:3" ht="15">
      <c r="C1330" s="9"/>
    </row>
    <row r="1331" spans="3:3" ht="15">
      <c r="C1331" s="9"/>
    </row>
    <row r="1332" spans="3:3" ht="15">
      <c r="C1332" s="9"/>
    </row>
    <row r="1333" spans="3:3" ht="15">
      <c r="C1333" s="9"/>
    </row>
    <row r="1334" spans="3:3" ht="15">
      <c r="C1334" s="9"/>
    </row>
    <row r="1335" spans="3:3" ht="15">
      <c r="C1335" s="9"/>
    </row>
    <row r="1336" spans="3:3" ht="15">
      <c r="C1336" s="9"/>
    </row>
    <row r="1337" spans="3:3" ht="15">
      <c r="C1337" s="9"/>
    </row>
    <row r="1338" spans="3:3" ht="15">
      <c r="C1338" s="9"/>
    </row>
    <row r="1339" spans="3:3" ht="15">
      <c r="C1339" s="9"/>
    </row>
    <row r="1340" spans="3:3" ht="15">
      <c r="C1340" s="9"/>
    </row>
    <row r="1341" spans="3:3" ht="15">
      <c r="C1341" s="9"/>
    </row>
    <row r="1342" spans="3:3" ht="15">
      <c r="C1342" s="9"/>
    </row>
    <row r="1343" spans="3:3" ht="15">
      <c r="C1343" s="9"/>
    </row>
    <row r="1344" spans="3:3" ht="15">
      <c r="C1344" s="9"/>
    </row>
    <row r="1345" spans="3:3" ht="15">
      <c r="C1345" s="9"/>
    </row>
    <row r="1346" spans="3:3" ht="15">
      <c r="C1346" s="9"/>
    </row>
    <row r="1347" spans="3:3" ht="15">
      <c r="C1347" s="9"/>
    </row>
    <row r="1348" spans="3:3" ht="15">
      <c r="C1348" s="9"/>
    </row>
    <row r="1349" spans="3:3" ht="15">
      <c r="C1349" s="9"/>
    </row>
    <row r="1350" spans="3:3" ht="15">
      <c r="C1350" s="9"/>
    </row>
    <row r="1351" spans="3:3" ht="15">
      <c r="C1351" s="9"/>
    </row>
    <row r="1352" spans="3:3" ht="15">
      <c r="C1352" s="9"/>
    </row>
    <row r="1353" spans="3:3" ht="15">
      <c r="C1353" s="9"/>
    </row>
    <row r="1354" spans="3:3" ht="15">
      <c r="C1354" s="9"/>
    </row>
    <row r="1355" spans="3:3" ht="15">
      <c r="C1355" s="9"/>
    </row>
    <row r="1356" spans="3:3" ht="15">
      <c r="C1356" s="9"/>
    </row>
    <row r="1357" spans="3:3" ht="15">
      <c r="C1357" s="9"/>
    </row>
    <row r="1358" spans="3:3" ht="15">
      <c r="C1358" s="9"/>
    </row>
    <row r="1359" spans="3:3" ht="15">
      <c r="C1359" s="9"/>
    </row>
    <row r="1360" spans="3:3" ht="15">
      <c r="C1360" s="9"/>
    </row>
    <row r="1361" spans="3:3" ht="15">
      <c r="C1361" s="9"/>
    </row>
    <row r="1362" spans="3:3" ht="15">
      <c r="C1362" s="9"/>
    </row>
    <row r="1363" spans="3:3" ht="15">
      <c r="C1363" s="9"/>
    </row>
    <row r="1364" spans="3:3" ht="15">
      <c r="C1364" s="9"/>
    </row>
    <row r="1365" spans="3:3" ht="15">
      <c r="C1365" s="9"/>
    </row>
    <row r="1366" spans="3:3" ht="15">
      <c r="C1366" s="9"/>
    </row>
    <row r="1367" spans="3:3" ht="15">
      <c r="C1367" s="9"/>
    </row>
    <row r="1368" spans="3:3" ht="15">
      <c r="C1368" s="9"/>
    </row>
    <row r="1369" spans="3:3" ht="15">
      <c r="C1369" s="9"/>
    </row>
    <row r="1370" spans="3:3" ht="15">
      <c r="C1370" s="9"/>
    </row>
    <row r="1371" spans="3:3" ht="15">
      <c r="C1371" s="9"/>
    </row>
    <row r="1372" spans="3:3" ht="15">
      <c r="C1372" s="9"/>
    </row>
    <row r="1373" spans="3:3" ht="15">
      <c r="C1373" s="9"/>
    </row>
    <row r="1374" spans="3:3" ht="15">
      <c r="C1374" s="9"/>
    </row>
    <row r="1375" spans="3:3" ht="15">
      <c r="C1375" s="9"/>
    </row>
    <row r="1376" spans="3:3" ht="15">
      <c r="C1376" s="9"/>
    </row>
    <row r="1377" spans="3:3" ht="15">
      <c r="C1377" s="9"/>
    </row>
    <row r="1378" spans="3:3" ht="15">
      <c r="C1378" s="9"/>
    </row>
    <row r="1379" spans="3:3" ht="15">
      <c r="C1379" s="9"/>
    </row>
    <row r="1380" spans="3:3" ht="15">
      <c r="C1380" s="9"/>
    </row>
    <row r="1381" spans="3:3" ht="15">
      <c r="C1381" s="9"/>
    </row>
    <row r="1382" spans="3:3" ht="15">
      <c r="C1382" s="9"/>
    </row>
    <row r="1383" spans="3:3" ht="15">
      <c r="C1383" s="9"/>
    </row>
    <row r="1384" spans="3:3" ht="15">
      <c r="C1384" s="9"/>
    </row>
    <row r="1385" spans="3:3" ht="15">
      <c r="C1385" s="9"/>
    </row>
    <row r="1386" spans="3:3" ht="15">
      <c r="C1386" s="9"/>
    </row>
    <row r="1387" spans="3:3" ht="15">
      <c r="C1387" s="9"/>
    </row>
    <row r="1388" spans="3:3" ht="15">
      <c r="C1388" s="9"/>
    </row>
    <row r="1389" spans="3:3" ht="15">
      <c r="C1389" s="9"/>
    </row>
    <row r="1390" spans="3:3" ht="15">
      <c r="C1390" s="9"/>
    </row>
    <row r="1391" spans="3:3" ht="15">
      <c r="C1391" s="9"/>
    </row>
    <row r="1392" spans="3:3" ht="15">
      <c r="C1392" s="9"/>
    </row>
    <row r="1393" spans="3:3" ht="15">
      <c r="C1393" s="9"/>
    </row>
    <row r="1394" spans="3:3" ht="15">
      <c r="C1394" s="9"/>
    </row>
    <row r="1395" spans="3:3" ht="15">
      <c r="C1395" s="9"/>
    </row>
    <row r="1396" spans="3:3" ht="15">
      <c r="C1396" s="9"/>
    </row>
    <row r="1397" spans="3:3" ht="15">
      <c r="C1397" s="9"/>
    </row>
    <row r="1398" spans="3:3" ht="15">
      <c r="C1398" s="9"/>
    </row>
    <row r="1399" spans="3:3" ht="15">
      <c r="C1399" s="9"/>
    </row>
    <row r="1400" spans="3:3" ht="15">
      <c r="C1400" s="9"/>
    </row>
    <row r="1401" spans="3:3" ht="15">
      <c r="C1401" s="9"/>
    </row>
    <row r="1402" spans="3:3" ht="15">
      <c r="C1402" s="9"/>
    </row>
    <row r="1403" spans="3:3" ht="15">
      <c r="C1403" s="9"/>
    </row>
    <row r="1404" spans="3:3" ht="15">
      <c r="C1404" s="9"/>
    </row>
    <row r="1405" spans="3:3" ht="15">
      <c r="C1405" s="9"/>
    </row>
    <row r="1406" spans="3:3" ht="15">
      <c r="C1406" s="9"/>
    </row>
    <row r="1407" spans="3:3" ht="15">
      <c r="C1407" s="9"/>
    </row>
    <row r="1408" spans="3:3" ht="15">
      <c r="C1408" s="9"/>
    </row>
    <row r="1409" spans="3:3" ht="15">
      <c r="C1409" s="9"/>
    </row>
    <row r="1410" spans="3:3" ht="15">
      <c r="C1410" s="9"/>
    </row>
    <row r="1411" spans="3:3" ht="15">
      <c r="C1411" s="9"/>
    </row>
    <row r="1412" spans="3:3" ht="15">
      <c r="C1412" s="9"/>
    </row>
    <row r="1413" spans="3:3" ht="15">
      <c r="C1413" s="9"/>
    </row>
    <row r="1414" spans="3:3" ht="15">
      <c r="C1414" s="9"/>
    </row>
    <row r="1415" spans="3:3" ht="15">
      <c r="C1415" s="9"/>
    </row>
    <row r="1416" spans="3:3" ht="15">
      <c r="C1416" s="9"/>
    </row>
    <row r="1417" spans="3:3" ht="15">
      <c r="C1417" s="9"/>
    </row>
    <row r="1418" spans="3:3" ht="15">
      <c r="C1418" s="9"/>
    </row>
    <row r="1419" spans="3:3" ht="15">
      <c r="C1419" s="9"/>
    </row>
    <row r="1420" spans="3:3" ht="15">
      <c r="C1420" s="9"/>
    </row>
    <row r="1421" spans="3:3" ht="15">
      <c r="C1421" s="9"/>
    </row>
    <row r="1422" spans="3:3" ht="15">
      <c r="C1422" s="9"/>
    </row>
    <row r="1423" spans="3:3" ht="15">
      <c r="C1423" s="9"/>
    </row>
    <row r="1424" spans="3:3" ht="15">
      <c r="C1424" s="9"/>
    </row>
    <row r="1425" spans="3:3" ht="15">
      <c r="C1425" s="9"/>
    </row>
    <row r="1426" spans="3:3" ht="15">
      <c r="C1426" s="9"/>
    </row>
    <row r="1427" spans="3:3" ht="15">
      <c r="C1427" s="9"/>
    </row>
    <row r="1428" spans="3:3" ht="15">
      <c r="C1428" s="9"/>
    </row>
    <row r="1429" spans="3:3" ht="15">
      <c r="C1429" s="9"/>
    </row>
    <row r="1430" spans="3:3" ht="15">
      <c r="C1430" s="9"/>
    </row>
    <row r="1431" spans="3:3" ht="15">
      <c r="C1431" s="9"/>
    </row>
    <row r="1432" spans="3:3" ht="15">
      <c r="C1432" s="9"/>
    </row>
    <row r="1433" spans="3:3" ht="15">
      <c r="C1433" s="9"/>
    </row>
    <row r="1434" spans="3:3" ht="15">
      <c r="C1434" s="9"/>
    </row>
    <row r="1435" spans="3:3" ht="15">
      <c r="C1435" s="9"/>
    </row>
    <row r="1436" spans="3:3" ht="15">
      <c r="C1436" s="9"/>
    </row>
    <row r="1437" spans="3:3" ht="15">
      <c r="C1437" s="9"/>
    </row>
    <row r="1438" spans="3:3" ht="15">
      <c r="C1438" s="9"/>
    </row>
    <row r="1439" spans="3:3" ht="15">
      <c r="C1439" s="9"/>
    </row>
    <row r="1440" spans="3:3" ht="15">
      <c r="C1440" s="9"/>
    </row>
    <row r="1441" spans="3:3" ht="15">
      <c r="C1441" s="9"/>
    </row>
    <row r="1442" spans="3:3" ht="15">
      <c r="C1442" s="9"/>
    </row>
    <row r="1443" spans="3:3" ht="15">
      <c r="C1443" s="9"/>
    </row>
    <row r="1444" spans="3:3" ht="15">
      <c r="C1444" s="9"/>
    </row>
    <row r="1445" spans="3:3" ht="15">
      <c r="C1445" s="9"/>
    </row>
    <row r="1446" spans="3:3" ht="15">
      <c r="C1446" s="9"/>
    </row>
    <row r="1447" spans="3:3" ht="15">
      <c r="C1447" s="9"/>
    </row>
    <row r="1448" spans="3:3" ht="15">
      <c r="C1448" s="9"/>
    </row>
    <row r="1449" spans="3:3" ht="15">
      <c r="C1449" s="9"/>
    </row>
    <row r="1450" spans="3:3" ht="15">
      <c r="C1450" s="9"/>
    </row>
    <row r="1451" spans="3:3" ht="15">
      <c r="C1451" s="9"/>
    </row>
    <row r="1452" spans="3:3" ht="15">
      <c r="C1452" s="9"/>
    </row>
    <row r="1453" spans="3:3" ht="15">
      <c r="C1453" s="9"/>
    </row>
    <row r="1454" spans="3:3" ht="15">
      <c r="C1454" s="9"/>
    </row>
    <row r="1455" spans="3:3" ht="15">
      <c r="C1455" s="9"/>
    </row>
    <row r="1456" spans="3:3" ht="15">
      <c r="C1456" s="9"/>
    </row>
    <row r="1457" spans="3:3" ht="15">
      <c r="C1457" s="9"/>
    </row>
    <row r="1458" spans="3:3" ht="15">
      <c r="C1458" s="9"/>
    </row>
    <row r="1459" spans="3:3" ht="15">
      <c r="C1459" s="9"/>
    </row>
    <row r="1460" spans="3:3" ht="15">
      <c r="C1460" s="9"/>
    </row>
    <row r="1461" spans="3:3" ht="15">
      <c r="C1461" s="9"/>
    </row>
    <row r="1462" spans="3:3" ht="15">
      <c r="C1462" s="9"/>
    </row>
    <row r="1463" spans="3:3" ht="15">
      <c r="C1463" s="9"/>
    </row>
    <row r="1464" spans="3:3" ht="15">
      <c r="C1464" s="9"/>
    </row>
    <row r="1465" spans="3:3" ht="15">
      <c r="C1465" s="9"/>
    </row>
    <row r="1466" spans="3:3" ht="15">
      <c r="C1466" s="9"/>
    </row>
    <row r="1467" spans="3:3" ht="15">
      <c r="C1467" s="9"/>
    </row>
    <row r="1468" spans="3:3" ht="15">
      <c r="C1468" s="9"/>
    </row>
    <row r="1469" spans="3:3" ht="15">
      <c r="C1469" s="9"/>
    </row>
    <row r="1470" spans="3:3" ht="15">
      <c r="C1470" s="9"/>
    </row>
    <row r="1471" spans="3:3" ht="15">
      <c r="C1471" s="9"/>
    </row>
    <row r="1472" spans="3:3" ht="15">
      <c r="C1472" s="9"/>
    </row>
    <row r="1473" spans="3:3" ht="15">
      <c r="C1473" s="9"/>
    </row>
    <row r="1474" spans="3:3" ht="15">
      <c r="C1474" s="9"/>
    </row>
    <row r="1475" spans="3:3" ht="15">
      <c r="C1475" s="9"/>
    </row>
    <row r="1476" spans="3:3" ht="15">
      <c r="C1476" s="9"/>
    </row>
    <row r="1477" spans="3:3" ht="15">
      <c r="C1477" s="9"/>
    </row>
    <row r="1478" spans="3:3" ht="15">
      <c r="C1478" s="9"/>
    </row>
    <row r="1479" spans="3:3" ht="15">
      <c r="C1479" s="9"/>
    </row>
    <row r="1480" spans="3:3" ht="15">
      <c r="C1480" s="9"/>
    </row>
    <row r="1481" spans="3:3" ht="15">
      <c r="C1481" s="9"/>
    </row>
    <row r="1482" spans="3:3" ht="15">
      <c r="C1482" s="9"/>
    </row>
    <row r="1483" spans="3:3" ht="15">
      <c r="C1483" s="9"/>
    </row>
    <row r="1484" spans="3:3" ht="15">
      <c r="C1484" s="9"/>
    </row>
    <row r="1485" spans="3:3" ht="15">
      <c r="C1485" s="9"/>
    </row>
    <row r="1486" spans="3:3" ht="15">
      <c r="C1486" s="9"/>
    </row>
    <row r="1487" spans="3:3" ht="15">
      <c r="C1487" s="9"/>
    </row>
    <row r="1488" spans="3:3" ht="15">
      <c r="C1488" s="9"/>
    </row>
    <row r="1489" spans="3:3" ht="15">
      <c r="C1489" s="9"/>
    </row>
    <row r="1490" spans="3:3" ht="15">
      <c r="C1490" s="9"/>
    </row>
    <row r="1491" spans="3:3" ht="15">
      <c r="C1491" s="9"/>
    </row>
    <row r="1492" spans="3:3" ht="15">
      <c r="C1492" s="9"/>
    </row>
    <row r="1493" spans="3:3" ht="15">
      <c r="C1493" s="9"/>
    </row>
    <row r="1494" spans="3:3" ht="15">
      <c r="C1494" s="9"/>
    </row>
    <row r="1495" spans="3:3" ht="15">
      <c r="C1495" s="9"/>
    </row>
    <row r="1496" spans="3:3" ht="15">
      <c r="C1496" s="9"/>
    </row>
    <row r="1497" spans="3:3" ht="15">
      <c r="C1497" s="9"/>
    </row>
    <row r="1498" spans="3:3" ht="15">
      <c r="C1498" s="9"/>
    </row>
    <row r="1499" spans="3:3" ht="15">
      <c r="C1499" s="9"/>
    </row>
    <row r="1500" spans="3:3" ht="15">
      <c r="C1500" s="9"/>
    </row>
    <row r="1501" spans="3:3" ht="15">
      <c r="C1501" s="9"/>
    </row>
    <row r="1502" spans="3:3" ht="15">
      <c r="C1502" s="9"/>
    </row>
    <row r="1503" spans="3:3" ht="15">
      <c r="C1503" s="9"/>
    </row>
    <row r="1504" spans="3:3" ht="15">
      <c r="C1504" s="9"/>
    </row>
    <row r="1505" spans="3:3" ht="15">
      <c r="C1505" s="9"/>
    </row>
    <row r="1506" spans="3:3" ht="15">
      <c r="C1506" s="9"/>
    </row>
    <row r="1507" spans="3:3" ht="15">
      <c r="C1507" s="9"/>
    </row>
    <row r="1508" spans="3:3" ht="15">
      <c r="C1508" s="9"/>
    </row>
    <row r="1509" spans="3:3" ht="15">
      <c r="C1509" s="9"/>
    </row>
    <row r="1510" spans="3:3" ht="15">
      <c r="C1510" s="9"/>
    </row>
    <row r="1511" spans="3:3" ht="15">
      <c r="C1511" s="9"/>
    </row>
    <row r="1512" spans="3:3" ht="15">
      <c r="C1512" s="9"/>
    </row>
    <row r="1513" spans="3:3" ht="15">
      <c r="C1513" s="9"/>
    </row>
    <row r="1514" spans="3:3" ht="15">
      <c r="C1514" s="9"/>
    </row>
    <row r="1515" spans="3:3" ht="15">
      <c r="C1515" s="9"/>
    </row>
    <row r="1516" spans="3:3" ht="15">
      <c r="C1516" s="9"/>
    </row>
    <row r="1517" spans="3:3" ht="15">
      <c r="C1517" s="9"/>
    </row>
    <row r="1518" spans="3:3" ht="15">
      <c r="C1518" s="9"/>
    </row>
    <row r="1519" spans="3:3" ht="15">
      <c r="C1519" s="9"/>
    </row>
    <row r="1520" spans="3:3" ht="15">
      <c r="C1520" s="9"/>
    </row>
    <row r="1521" spans="3:3" ht="15">
      <c r="C1521" s="9"/>
    </row>
    <row r="1522" spans="3:3" ht="15">
      <c r="C1522" s="9"/>
    </row>
    <row r="1523" spans="3:3" ht="15">
      <c r="C1523" s="9"/>
    </row>
    <row r="1524" spans="3:3" ht="15">
      <c r="C1524" s="9"/>
    </row>
    <row r="1525" spans="3:3" ht="15">
      <c r="C1525" s="9"/>
    </row>
    <row r="1526" spans="3:3" ht="15">
      <c r="C1526" s="9"/>
    </row>
    <row r="1527" spans="3:3" ht="15">
      <c r="C1527" s="9"/>
    </row>
    <row r="1528" spans="3:3" ht="15">
      <c r="C1528" s="9"/>
    </row>
    <row r="1529" spans="3:3" ht="15">
      <c r="C1529" s="9"/>
    </row>
    <row r="1530" spans="3:3" ht="15">
      <c r="C1530" s="9"/>
    </row>
    <row r="1531" spans="3:3" ht="15">
      <c r="C1531" s="9"/>
    </row>
    <row r="1532" spans="3:3" ht="15">
      <c r="C1532" s="9"/>
    </row>
    <row r="1533" spans="3:3" ht="15">
      <c r="C1533" s="9"/>
    </row>
    <row r="1534" spans="3:3" ht="15">
      <c r="C1534" s="9"/>
    </row>
    <row r="1535" spans="3:3" ht="15">
      <c r="C1535" s="9"/>
    </row>
    <row r="1536" spans="3:3" ht="15">
      <c r="C1536" s="9"/>
    </row>
    <row r="1537" spans="3:3" ht="15">
      <c r="C1537" s="9"/>
    </row>
    <row r="1538" spans="3:3" ht="15">
      <c r="C1538" s="9"/>
    </row>
    <row r="1539" spans="3:3" ht="15">
      <c r="C1539" s="9"/>
    </row>
    <row r="1540" spans="3:3" ht="15">
      <c r="C1540" s="9"/>
    </row>
    <row r="1541" spans="3:3" ht="15">
      <c r="C1541" s="9"/>
    </row>
    <row r="1542" spans="3:3" ht="15">
      <c r="C1542" s="9"/>
    </row>
    <row r="1543" spans="3:3" ht="15">
      <c r="C1543" s="9"/>
    </row>
    <row r="1544" spans="3:3" ht="15">
      <c r="C1544" s="9"/>
    </row>
    <row r="1545" spans="3:3" ht="15">
      <c r="C1545" s="9"/>
    </row>
    <row r="1546" spans="3:3" ht="15">
      <c r="C1546" s="9"/>
    </row>
    <row r="1547" spans="3:3" ht="15">
      <c r="C1547" s="9"/>
    </row>
    <row r="1548" spans="3:3" ht="15">
      <c r="C1548" s="9"/>
    </row>
    <row r="1549" spans="3:3" ht="15">
      <c r="C1549" s="9"/>
    </row>
    <row r="1550" spans="3:3" ht="15">
      <c r="C1550" s="9"/>
    </row>
    <row r="1551" spans="3:3" ht="15">
      <c r="C1551" s="9"/>
    </row>
    <row r="1552" spans="3:3" ht="15">
      <c r="C1552" s="9"/>
    </row>
    <row r="1553" spans="3:3" ht="15">
      <c r="C1553" s="9"/>
    </row>
    <row r="1554" spans="3:3" ht="15">
      <c r="C1554" s="9"/>
    </row>
    <row r="1555" spans="3:3" ht="15">
      <c r="C1555" s="9"/>
    </row>
    <row r="1556" spans="3:3" ht="15">
      <c r="C1556" s="9"/>
    </row>
    <row r="1557" spans="3:3" ht="15">
      <c r="C1557" s="9"/>
    </row>
    <row r="1558" spans="3:3" ht="15">
      <c r="C1558" s="9"/>
    </row>
    <row r="1559" spans="3:3" ht="15">
      <c r="C1559" s="9"/>
    </row>
    <row r="1560" spans="3:3" ht="15">
      <c r="C1560" s="9"/>
    </row>
    <row r="1561" spans="3:3" ht="15">
      <c r="C1561" s="9"/>
    </row>
    <row r="1562" spans="3:3" ht="15">
      <c r="C1562" s="9"/>
    </row>
    <row r="1563" spans="3:3" ht="15">
      <c r="C1563" s="9"/>
    </row>
    <row r="1564" spans="3:3" ht="15">
      <c r="C1564" s="9"/>
    </row>
    <row r="1565" spans="3:3" ht="15">
      <c r="C1565" s="9"/>
    </row>
    <row r="1566" spans="3:3" ht="15">
      <c r="C1566" s="9"/>
    </row>
    <row r="1567" spans="3:3" ht="15">
      <c r="C1567" s="9"/>
    </row>
    <row r="1568" spans="3:3" ht="15">
      <c r="C1568" s="9"/>
    </row>
    <row r="1569" spans="3:3" ht="15">
      <c r="C1569" s="9"/>
    </row>
    <row r="1570" spans="3:3" ht="15">
      <c r="C1570" s="9"/>
    </row>
    <row r="1571" spans="3:3" ht="15">
      <c r="C1571" s="9"/>
    </row>
    <row r="1572" spans="3:3" ht="15">
      <c r="C1572" s="9"/>
    </row>
    <row r="1573" spans="3:3" ht="15">
      <c r="C1573" s="9"/>
    </row>
    <row r="1574" spans="3:3" ht="15">
      <c r="C1574" s="9"/>
    </row>
    <row r="1575" spans="3:3" ht="15">
      <c r="C1575" s="9"/>
    </row>
    <row r="1576" spans="3:3" ht="15">
      <c r="C1576" s="9"/>
    </row>
    <row r="1577" spans="3:3" ht="15">
      <c r="C1577" s="9"/>
    </row>
    <row r="1578" spans="3:3" ht="15">
      <c r="C1578" s="9"/>
    </row>
    <row r="1579" spans="3:3" ht="15">
      <c r="C1579" s="9"/>
    </row>
    <row r="1580" spans="3:3" ht="15">
      <c r="C1580" s="9"/>
    </row>
    <row r="1581" spans="3:3" ht="15">
      <c r="C1581" s="9"/>
    </row>
    <row r="1582" spans="3:3" ht="15">
      <c r="C1582" s="9"/>
    </row>
    <row r="1583" spans="3:3" ht="15">
      <c r="C1583" s="9"/>
    </row>
    <row r="1584" spans="3:3" ht="15">
      <c r="C1584" s="9"/>
    </row>
    <row r="1585" spans="3:3" ht="15">
      <c r="C1585" s="9"/>
    </row>
    <row r="1586" spans="3:3" ht="15">
      <c r="C1586" s="9"/>
    </row>
    <row r="1587" spans="3:3" ht="15">
      <c r="C1587" s="9"/>
    </row>
    <row r="1588" spans="3:3" ht="15">
      <c r="C1588" s="9"/>
    </row>
    <row r="1589" spans="3:3" ht="15">
      <c r="C1589" s="9"/>
    </row>
    <row r="1590" spans="3:3" ht="15">
      <c r="C1590" s="9"/>
    </row>
    <row r="1591" spans="3:3" ht="15">
      <c r="C1591" s="9"/>
    </row>
    <row r="1592" spans="3:3" ht="15">
      <c r="C1592" s="9"/>
    </row>
    <row r="1593" spans="3:3" ht="15">
      <c r="C1593" s="9"/>
    </row>
    <row r="1594" spans="3:3" ht="15">
      <c r="C1594" s="9"/>
    </row>
    <row r="1595" spans="3:3" ht="15">
      <c r="C1595" s="9"/>
    </row>
    <row r="1596" spans="3:3" ht="15">
      <c r="C1596" s="9"/>
    </row>
    <row r="1597" spans="3:3" ht="15">
      <c r="C1597" s="9"/>
    </row>
    <row r="1598" spans="3:3" ht="15">
      <c r="C1598" s="9"/>
    </row>
    <row r="1599" spans="3:3" ht="15">
      <c r="C1599" s="9"/>
    </row>
    <row r="1600" spans="3:3" ht="15">
      <c r="C1600" s="9"/>
    </row>
    <row r="1601" spans="3:3" ht="15">
      <c r="C1601" s="9"/>
    </row>
    <row r="1602" spans="3:3" ht="15">
      <c r="C1602" s="9"/>
    </row>
    <row r="1603" spans="3:3" ht="15">
      <c r="C1603" s="9"/>
    </row>
    <row r="1604" spans="3:3" ht="15">
      <c r="C1604" s="9"/>
    </row>
    <row r="1605" spans="3:3" ht="15">
      <c r="C1605" s="9"/>
    </row>
    <row r="1606" spans="3:3" ht="15">
      <c r="C1606" s="9"/>
    </row>
    <row r="1607" spans="3:3" ht="15">
      <c r="C1607" s="9"/>
    </row>
    <row r="1608" spans="3:3" ht="15">
      <c r="C1608" s="9"/>
    </row>
    <row r="1609" spans="3:3" ht="15">
      <c r="C1609" s="9"/>
    </row>
    <row r="1610" spans="3:3" ht="15">
      <c r="C1610" s="9"/>
    </row>
    <row r="1611" spans="3:3" ht="15">
      <c r="C1611" s="9"/>
    </row>
    <row r="1612" spans="3:3" ht="15">
      <c r="C1612" s="9"/>
    </row>
    <row r="1613" spans="3:3" ht="15">
      <c r="C1613" s="9"/>
    </row>
    <row r="1614" spans="3:3" ht="15">
      <c r="C1614" s="9"/>
    </row>
    <row r="1615" spans="3:3" ht="15">
      <c r="C1615" s="9"/>
    </row>
    <row r="1616" spans="3:3" ht="15">
      <c r="C1616" s="9"/>
    </row>
    <row r="1617" spans="3:3" ht="15">
      <c r="C1617" s="9"/>
    </row>
    <row r="1618" spans="3:3" ht="15">
      <c r="C1618" s="9"/>
    </row>
    <row r="1619" spans="3:3" ht="15">
      <c r="C1619" s="9"/>
    </row>
    <row r="1620" spans="3:3" ht="15">
      <c r="C1620" s="9"/>
    </row>
    <row r="1621" spans="3:3" ht="15">
      <c r="C1621" s="9"/>
    </row>
    <row r="1622" spans="3:3" ht="15">
      <c r="C1622" s="9"/>
    </row>
    <row r="1623" spans="3:3" ht="15">
      <c r="C1623" s="9"/>
    </row>
    <row r="1624" spans="3:3" ht="15">
      <c r="C1624" s="9"/>
    </row>
    <row r="1625" spans="3:3" ht="15">
      <c r="C1625" s="9"/>
    </row>
    <row r="1626" spans="3:3" ht="15">
      <c r="C1626" s="9"/>
    </row>
    <row r="1627" spans="3:3" ht="15">
      <c r="C1627" s="9"/>
    </row>
    <row r="1628" spans="3:3" ht="15">
      <c r="C1628" s="9"/>
    </row>
    <row r="1629" spans="3:3" ht="15">
      <c r="C1629" s="9"/>
    </row>
    <row r="1630" spans="3:3" ht="15">
      <c r="C1630" s="9"/>
    </row>
    <row r="1631" spans="3:3" ht="15">
      <c r="C1631" s="9"/>
    </row>
    <row r="1632" spans="3:3" ht="15">
      <c r="C1632" s="9"/>
    </row>
    <row r="1633" spans="3:3" ht="15">
      <c r="C1633" s="9"/>
    </row>
    <row r="1634" spans="3:3" ht="15">
      <c r="C1634" s="9"/>
    </row>
    <row r="1635" spans="3:3" ht="15">
      <c r="C1635" s="9"/>
    </row>
    <row r="1636" spans="3:3" ht="15">
      <c r="C1636" s="9"/>
    </row>
    <row r="1637" spans="3:3" ht="15">
      <c r="C1637" s="9"/>
    </row>
    <row r="1638" spans="3:3" ht="15">
      <c r="C1638" s="9"/>
    </row>
    <row r="1639" spans="3:3" ht="15">
      <c r="C1639" s="9"/>
    </row>
    <row r="1640" spans="3:3" ht="15">
      <c r="C1640" s="9"/>
    </row>
    <row r="1641" spans="3:3" ht="15">
      <c r="C1641" s="9"/>
    </row>
    <row r="1642" spans="3:3" ht="15">
      <c r="C1642" s="9"/>
    </row>
    <row r="1643" spans="3:3" ht="15">
      <c r="C1643" s="9"/>
    </row>
    <row r="1644" spans="3:3" ht="15">
      <c r="C1644" s="9"/>
    </row>
    <row r="1645" spans="3:3" ht="15">
      <c r="C1645" s="9"/>
    </row>
    <row r="1646" spans="3:3" ht="15">
      <c r="C1646" s="9"/>
    </row>
    <row r="1647" spans="3:3" ht="15">
      <c r="C1647" s="9"/>
    </row>
    <row r="1648" spans="3:3" ht="15">
      <c r="C1648" s="9"/>
    </row>
    <row r="1649" spans="3:3" ht="15">
      <c r="C1649" s="9"/>
    </row>
    <row r="1650" spans="3:3" ht="15">
      <c r="C1650" s="9"/>
    </row>
    <row r="1651" spans="3:3" ht="15">
      <c r="C1651" s="9"/>
    </row>
    <row r="1652" spans="3:3" ht="15">
      <c r="C1652" s="9"/>
    </row>
    <row r="1653" spans="3:3" ht="15">
      <c r="C1653" s="9"/>
    </row>
    <row r="1654" spans="3:3" ht="15">
      <c r="C1654" s="9"/>
    </row>
    <row r="1655" spans="3:3" ht="15">
      <c r="C1655" s="9"/>
    </row>
    <row r="1656" spans="3:3" ht="15">
      <c r="C1656" s="9"/>
    </row>
    <row r="1657" spans="3:3" ht="15">
      <c r="C1657" s="9"/>
    </row>
    <row r="1658" spans="3:3" ht="15">
      <c r="C1658" s="9"/>
    </row>
    <row r="1659" spans="3:3" ht="15">
      <c r="C1659" s="9"/>
    </row>
    <row r="1660" spans="3:3" ht="15">
      <c r="C1660" s="9"/>
    </row>
    <row r="1661" spans="3:3" ht="15">
      <c r="C1661" s="9"/>
    </row>
    <row r="1662" spans="3:3" ht="15">
      <c r="C1662" s="9"/>
    </row>
    <row r="1663" spans="3:3" ht="15">
      <c r="C1663" s="9"/>
    </row>
    <row r="1664" spans="3:3" ht="15">
      <c r="C1664" s="9"/>
    </row>
    <row r="1665" spans="3:3" ht="15">
      <c r="C1665" s="9"/>
    </row>
    <row r="1666" spans="3:3" ht="15">
      <c r="C1666" s="9"/>
    </row>
    <row r="1667" spans="3:3" ht="15">
      <c r="C1667" s="9"/>
    </row>
    <row r="1668" spans="3:3" ht="15">
      <c r="C1668" s="9"/>
    </row>
    <row r="1669" spans="3:3" ht="15">
      <c r="C1669" s="9"/>
    </row>
    <row r="1670" spans="3:3" ht="15">
      <c r="C1670" s="9"/>
    </row>
    <row r="1671" spans="3:3" ht="15">
      <c r="C1671" s="9"/>
    </row>
    <row r="1672" spans="3:3" ht="15">
      <c r="C1672" s="9"/>
    </row>
    <row r="1673" spans="3:3" ht="15">
      <c r="C1673" s="9"/>
    </row>
    <row r="1674" spans="3:3" ht="15">
      <c r="C1674" s="9"/>
    </row>
    <row r="1675" spans="3:3" ht="15">
      <c r="C1675" s="9"/>
    </row>
    <row r="1676" spans="3:3" ht="15">
      <c r="C1676" s="9"/>
    </row>
    <row r="1677" spans="3:3" ht="15">
      <c r="C1677" s="9"/>
    </row>
    <row r="1678" spans="3:3" ht="15">
      <c r="C1678" s="9"/>
    </row>
    <row r="1679" spans="3:3" ht="15">
      <c r="C1679" s="9"/>
    </row>
    <row r="1680" spans="3:3" ht="15">
      <c r="C1680" s="9"/>
    </row>
    <row r="1681" spans="3:3" ht="15">
      <c r="C1681" s="9"/>
    </row>
    <row r="1682" spans="3:3" ht="15">
      <c r="C1682" s="9"/>
    </row>
    <row r="1683" spans="3:3" ht="15">
      <c r="C1683" s="9"/>
    </row>
    <row r="1684" spans="3:3" ht="15">
      <c r="C1684" s="9"/>
    </row>
    <row r="1685" spans="3:3" ht="15">
      <c r="C1685" s="9"/>
    </row>
    <row r="1686" spans="3:3" ht="15">
      <c r="C1686" s="9"/>
    </row>
    <row r="1687" spans="3:3" ht="15">
      <c r="C1687" s="9"/>
    </row>
    <row r="1688" spans="3:3" ht="15">
      <c r="C1688" s="9"/>
    </row>
    <row r="1689" spans="3:3" ht="15">
      <c r="C1689" s="9"/>
    </row>
    <row r="1690" spans="3:3" ht="15">
      <c r="C1690" s="9"/>
    </row>
    <row r="1691" spans="3:3" ht="15">
      <c r="C1691" s="9"/>
    </row>
    <row r="1692" spans="3:3" ht="15">
      <c r="C1692" s="9"/>
    </row>
    <row r="1693" spans="3:3" ht="15">
      <c r="C1693" s="9"/>
    </row>
    <row r="1694" spans="3:3" ht="15">
      <c r="C1694" s="9"/>
    </row>
    <row r="1695" spans="3:3" ht="15">
      <c r="C1695" s="9"/>
    </row>
    <row r="1696" spans="3:3" ht="15">
      <c r="C1696" s="9"/>
    </row>
    <row r="1697" spans="3:3" ht="15">
      <c r="C1697" s="9"/>
    </row>
    <row r="1698" spans="3:3" ht="15">
      <c r="C1698" s="9"/>
    </row>
    <row r="1699" spans="3:3" ht="15">
      <c r="C1699" s="9"/>
    </row>
    <row r="1700" spans="3:3" ht="15">
      <c r="C1700" s="9"/>
    </row>
    <row r="1701" spans="3:3" ht="15">
      <c r="C1701" s="9"/>
    </row>
    <row r="1702" spans="3:3" ht="15">
      <c r="C1702" s="9"/>
    </row>
    <row r="1703" spans="3:3" ht="15">
      <c r="C1703" s="9"/>
    </row>
    <row r="1704" spans="3:3" ht="15">
      <c r="C1704" s="9"/>
    </row>
    <row r="1705" spans="3:3" ht="15">
      <c r="C1705" s="9"/>
    </row>
    <row r="1706" spans="3:3" ht="15">
      <c r="C1706" s="9"/>
    </row>
    <row r="1707" spans="3:3" ht="15">
      <c r="C1707" s="9"/>
    </row>
    <row r="1708" spans="3:3" ht="15">
      <c r="C1708" s="9"/>
    </row>
    <row r="1709" spans="3:3" ht="15">
      <c r="C1709" s="9"/>
    </row>
    <row r="1710" spans="3:3" ht="15">
      <c r="C1710" s="9"/>
    </row>
    <row r="1711" spans="3:3" ht="15">
      <c r="C1711" s="9"/>
    </row>
    <row r="1712" spans="3:3" ht="15">
      <c r="C1712" s="9"/>
    </row>
    <row r="1713" spans="3:3" ht="15">
      <c r="C1713" s="9"/>
    </row>
    <row r="1714" spans="3:3" ht="15">
      <c r="C1714" s="9"/>
    </row>
    <row r="1715" spans="3:3" ht="15">
      <c r="C1715" s="9"/>
    </row>
    <row r="1716" spans="3:3" ht="15">
      <c r="C1716" s="9"/>
    </row>
    <row r="1717" spans="3:3" ht="15">
      <c r="C1717" s="9"/>
    </row>
    <row r="1718" spans="3:3" ht="15">
      <c r="C1718" s="9"/>
    </row>
    <row r="1719" spans="3:3" ht="15">
      <c r="C1719" s="9"/>
    </row>
    <row r="1720" spans="3:3" ht="15">
      <c r="C1720" s="9"/>
    </row>
    <row r="1721" spans="3:3" ht="15">
      <c r="C1721" s="9"/>
    </row>
    <row r="1722" spans="3:3" ht="15">
      <c r="C1722" s="9"/>
    </row>
    <row r="1723" spans="3:3" ht="15">
      <c r="C1723" s="9"/>
    </row>
    <row r="1724" spans="3:3" ht="15">
      <c r="C1724" s="9"/>
    </row>
    <row r="1725" spans="3:3" ht="15">
      <c r="C1725" s="9"/>
    </row>
    <row r="1726" spans="3:3" ht="15">
      <c r="C1726" s="9"/>
    </row>
    <row r="1727" spans="3:3" ht="15">
      <c r="C1727" s="9"/>
    </row>
    <row r="1728" spans="3:3" ht="15">
      <c r="C1728" s="9"/>
    </row>
    <row r="1729" spans="3:3" ht="15">
      <c r="C1729" s="9"/>
    </row>
    <row r="1730" spans="3:3" ht="15">
      <c r="C1730" s="9"/>
    </row>
    <row r="1731" spans="3:3" ht="15">
      <c r="C1731" s="9"/>
    </row>
    <row r="1732" spans="3:3" ht="15">
      <c r="C1732" s="9"/>
    </row>
    <row r="1733" spans="3:3" ht="15">
      <c r="C1733" s="9"/>
    </row>
    <row r="1734" spans="3:3" ht="15">
      <c r="C1734" s="9"/>
    </row>
    <row r="1735" spans="3:3" ht="15">
      <c r="C1735" s="9"/>
    </row>
    <row r="1736" spans="3:3" ht="15">
      <c r="C1736" s="9"/>
    </row>
    <row r="1737" spans="3:3" ht="15">
      <c r="C1737" s="9"/>
    </row>
    <row r="1738" spans="3:3" ht="15">
      <c r="C1738" s="9"/>
    </row>
    <row r="1739" spans="3:3" ht="15">
      <c r="C1739" s="9"/>
    </row>
    <row r="1740" spans="3:3" ht="15">
      <c r="C1740" s="9"/>
    </row>
    <row r="1741" spans="3:3" ht="15">
      <c r="C1741" s="9"/>
    </row>
    <row r="1742" spans="3:3" ht="15">
      <c r="C1742" s="9"/>
    </row>
    <row r="1743" spans="3:3" ht="15">
      <c r="C1743" s="9"/>
    </row>
    <row r="1744" spans="3:3" ht="15">
      <c r="C1744" s="9"/>
    </row>
    <row r="1745" spans="3:3" ht="15">
      <c r="C1745" s="9"/>
    </row>
    <row r="1746" spans="3:3" ht="15">
      <c r="C1746" s="9"/>
    </row>
    <row r="1747" spans="3:3" ht="15">
      <c r="C1747" s="9"/>
    </row>
    <row r="1748" spans="3:3" ht="15">
      <c r="C1748" s="9"/>
    </row>
    <row r="1749" spans="3:3" ht="15">
      <c r="C1749" s="9"/>
    </row>
    <row r="1750" spans="3:3" ht="15">
      <c r="C1750" s="9"/>
    </row>
    <row r="1751" spans="3:3" ht="15">
      <c r="C1751" s="9"/>
    </row>
    <row r="1752" spans="3:3" ht="15">
      <c r="C1752" s="9"/>
    </row>
    <row r="1753" spans="3:3" ht="15">
      <c r="C1753" s="9"/>
    </row>
    <row r="1754" spans="3:3" ht="15">
      <c r="C1754" s="9"/>
    </row>
    <row r="1755" spans="3:3" ht="15">
      <c r="C1755" s="9"/>
    </row>
    <row r="1756" spans="3:3" ht="15">
      <c r="C1756" s="9"/>
    </row>
    <row r="1757" spans="3:3" ht="15">
      <c r="C1757" s="9"/>
    </row>
    <row r="1758" spans="3:3" ht="15">
      <c r="C1758" s="9"/>
    </row>
    <row r="1759" spans="3:3" ht="15">
      <c r="C1759" s="9"/>
    </row>
    <row r="1760" spans="3:3" ht="15">
      <c r="C1760" s="9"/>
    </row>
    <row r="1761" spans="3:3" ht="15">
      <c r="C1761" s="9"/>
    </row>
    <row r="1762" spans="3:3" ht="15">
      <c r="C1762" s="9"/>
    </row>
    <row r="1763" spans="3:3" ht="15">
      <c r="C1763" s="9"/>
    </row>
    <row r="1764" spans="3:3" ht="15">
      <c r="C1764" s="9"/>
    </row>
    <row r="1765" spans="3:3" ht="15">
      <c r="C1765" s="9"/>
    </row>
    <row r="1766" spans="3:3" ht="15">
      <c r="C1766" s="9"/>
    </row>
    <row r="1767" spans="3:3" ht="15">
      <c r="C1767" s="9"/>
    </row>
    <row r="1768" spans="3:3" ht="15">
      <c r="C1768" s="9"/>
    </row>
    <row r="1769" spans="3:3" ht="15">
      <c r="C1769" s="9"/>
    </row>
    <row r="1770" spans="3:3" ht="15">
      <c r="C1770" s="9"/>
    </row>
    <row r="1771" spans="3:3" ht="15">
      <c r="C1771" s="9"/>
    </row>
    <row r="1772" spans="3:3" ht="15">
      <c r="C1772" s="9"/>
    </row>
    <row r="1773" spans="3:3" ht="15">
      <c r="C1773" s="9"/>
    </row>
    <row r="1774" spans="3:3" ht="15">
      <c r="C1774" s="9"/>
    </row>
    <row r="1775" spans="3:3" ht="15">
      <c r="C1775" s="9"/>
    </row>
    <row r="1776" spans="3:3" ht="15">
      <c r="C1776" s="9"/>
    </row>
    <row r="1777" spans="3:3" ht="15">
      <c r="C1777" s="9"/>
    </row>
    <row r="1778" spans="3:3" ht="15">
      <c r="C1778" s="9"/>
    </row>
    <row r="1779" spans="3:3" ht="15">
      <c r="C1779" s="9"/>
    </row>
    <row r="1780" spans="3:3" ht="15">
      <c r="C1780" s="9"/>
    </row>
    <row r="1781" spans="3:3" ht="15">
      <c r="C1781" s="9"/>
    </row>
    <row r="1782" spans="3:3" ht="15">
      <c r="C1782" s="9"/>
    </row>
    <row r="1783" spans="3:3" ht="15">
      <c r="C1783" s="9"/>
    </row>
    <row r="1784" spans="3:3" ht="15">
      <c r="C1784" s="9"/>
    </row>
    <row r="1785" spans="3:3" ht="15">
      <c r="C1785" s="9"/>
    </row>
    <row r="1786" spans="3:3" ht="15">
      <c r="C1786" s="9"/>
    </row>
    <row r="1787" spans="3:3" ht="15">
      <c r="C1787" s="9"/>
    </row>
    <row r="1788" spans="3:3" ht="15">
      <c r="C1788" s="9"/>
    </row>
    <row r="1789" spans="3:3" ht="15">
      <c r="C1789" s="9"/>
    </row>
    <row r="1790" spans="3:3" ht="15">
      <c r="C1790" s="9"/>
    </row>
    <row r="1791" spans="3:3" ht="15">
      <c r="C1791" s="9"/>
    </row>
    <row r="1792" spans="3:3" ht="15">
      <c r="C1792" s="9"/>
    </row>
    <row r="1793" spans="3:3" ht="15">
      <c r="C1793" s="9"/>
    </row>
    <row r="1794" spans="3:3" ht="15">
      <c r="C1794" s="9"/>
    </row>
    <row r="1795" spans="3:3" ht="15">
      <c r="C1795" s="9"/>
    </row>
    <row r="1796" spans="3:3" ht="15">
      <c r="C1796" s="9"/>
    </row>
    <row r="1797" spans="3:3" ht="15">
      <c r="C1797" s="9"/>
    </row>
    <row r="1798" spans="3:3" ht="15">
      <c r="C1798" s="9"/>
    </row>
    <row r="1799" spans="3:3" ht="15">
      <c r="C1799" s="9"/>
    </row>
    <row r="1800" spans="3:3" ht="15">
      <c r="C1800" s="9"/>
    </row>
    <row r="1801" spans="3:3" ht="15">
      <c r="C1801" s="9"/>
    </row>
    <row r="1802" spans="3:3" ht="15">
      <c r="C1802" s="9"/>
    </row>
    <row r="1803" spans="3:3" ht="15">
      <c r="C1803" s="9"/>
    </row>
    <row r="1804" spans="3:3" ht="15">
      <c r="C1804" s="9"/>
    </row>
    <row r="1805" spans="3:3" ht="15">
      <c r="C1805" s="9"/>
    </row>
    <row r="1806" spans="3:3" ht="15">
      <c r="C1806" s="9"/>
    </row>
    <row r="1807" spans="3:3" ht="15">
      <c r="C1807" s="9"/>
    </row>
    <row r="1808" spans="3:3" ht="15">
      <c r="C1808" s="9"/>
    </row>
    <row r="1809" spans="3:3" ht="15">
      <c r="C1809" s="9"/>
    </row>
    <row r="1810" spans="3:3" ht="15">
      <c r="C1810" s="9"/>
    </row>
    <row r="1811" spans="3:3" ht="15">
      <c r="C1811" s="9"/>
    </row>
    <row r="1812" spans="3:3" ht="15">
      <c r="C1812" s="9"/>
    </row>
    <row r="1813" spans="3:3" ht="15">
      <c r="C1813" s="9"/>
    </row>
    <row r="1814" spans="3:3" ht="15">
      <c r="C1814" s="9"/>
    </row>
    <row r="1815" spans="3:3" ht="15">
      <c r="C1815" s="9"/>
    </row>
    <row r="1816" spans="3:3" ht="15">
      <c r="C1816" s="9"/>
    </row>
    <row r="1817" spans="3:3" ht="15">
      <c r="C1817" s="9"/>
    </row>
    <row r="1818" spans="3:3" ht="15">
      <c r="C1818" s="9"/>
    </row>
    <row r="1819" spans="3:3" ht="15">
      <c r="C1819" s="9"/>
    </row>
    <row r="1820" spans="3:3" ht="15">
      <c r="C1820" s="9"/>
    </row>
    <row r="1821" spans="3:3" ht="15">
      <c r="C1821" s="9"/>
    </row>
    <row r="1822" spans="3:3" ht="15">
      <c r="C1822" s="9"/>
    </row>
    <row r="1823" spans="3:3" ht="15">
      <c r="C1823" s="9"/>
    </row>
    <row r="1824" spans="3:3" ht="15">
      <c r="C1824" s="9"/>
    </row>
    <row r="1825" spans="3:3" ht="15">
      <c r="C1825" s="9"/>
    </row>
    <row r="1826" spans="3:3" ht="15">
      <c r="C1826" s="9"/>
    </row>
    <row r="1827" spans="3:3" ht="15">
      <c r="C1827" s="9"/>
    </row>
    <row r="1828" spans="3:3" ht="15">
      <c r="C1828" s="9"/>
    </row>
    <row r="1829" spans="3:3" ht="15">
      <c r="C1829" s="9"/>
    </row>
    <row r="1830" spans="3:3" ht="15">
      <c r="C1830" s="9"/>
    </row>
    <row r="1831" spans="3:3" ht="15">
      <c r="C1831" s="9"/>
    </row>
    <row r="1832" spans="3:3" ht="15">
      <c r="C1832" s="9"/>
    </row>
    <row r="1833" spans="3:3" ht="15">
      <c r="C1833" s="9"/>
    </row>
    <row r="1834" spans="3:3" ht="15">
      <c r="C1834" s="9"/>
    </row>
    <row r="1835" spans="3:3" ht="15">
      <c r="C1835" s="9"/>
    </row>
    <row r="1836" spans="3:3" ht="15">
      <c r="C1836" s="9"/>
    </row>
    <row r="1837" spans="3:3" ht="15">
      <c r="C1837" s="9"/>
    </row>
    <row r="1838" spans="3:3" ht="15">
      <c r="C1838" s="9"/>
    </row>
    <row r="1839" spans="3:3" ht="15">
      <c r="C1839" s="9"/>
    </row>
    <row r="1840" spans="3:3" ht="15">
      <c r="C1840" s="9"/>
    </row>
    <row r="1841" spans="3:3" ht="15">
      <c r="C1841" s="9"/>
    </row>
    <row r="1842" spans="3:3" ht="15">
      <c r="C1842" s="9"/>
    </row>
    <row r="1843" spans="3:3" ht="15">
      <c r="C1843" s="9"/>
    </row>
    <row r="1844" spans="3:3" ht="15">
      <c r="C1844" s="9"/>
    </row>
    <row r="1845" spans="3:3" ht="15">
      <c r="C1845" s="9"/>
    </row>
    <row r="1846" spans="3:3" ht="15">
      <c r="C1846" s="9"/>
    </row>
    <row r="1847" spans="3:3" ht="15">
      <c r="C1847" s="9"/>
    </row>
    <row r="1848" spans="3:3" ht="15">
      <c r="C1848" s="9"/>
    </row>
    <row r="1849" spans="3:3" ht="15">
      <c r="C1849" s="9"/>
    </row>
    <row r="1850" spans="3:3" ht="15">
      <c r="C1850" s="9"/>
    </row>
    <row r="1851" spans="3:3" ht="15">
      <c r="C1851" s="9"/>
    </row>
    <row r="1852" spans="3:3" ht="15">
      <c r="C1852" s="9"/>
    </row>
    <row r="1853" spans="3:3" ht="15">
      <c r="C1853" s="9"/>
    </row>
    <row r="1854" spans="3:3" ht="15">
      <c r="C1854" s="9"/>
    </row>
    <row r="1855" spans="3:3" ht="15">
      <c r="C1855" s="9"/>
    </row>
    <row r="1856" spans="3:3" ht="15">
      <c r="C1856" s="9"/>
    </row>
    <row r="1857" spans="3:3" ht="15">
      <c r="C1857" s="9"/>
    </row>
    <row r="1858" spans="3:3" ht="15">
      <c r="C1858" s="9"/>
    </row>
    <row r="1859" spans="3:3" ht="15">
      <c r="C1859" s="9"/>
    </row>
    <row r="1860" spans="3:3" ht="15">
      <c r="C1860" s="9"/>
    </row>
    <row r="1861" spans="3:3" ht="15">
      <c r="C1861" s="9"/>
    </row>
    <row r="1862" spans="3:3" ht="15">
      <c r="C1862" s="9"/>
    </row>
    <row r="1863" spans="3:3" ht="15">
      <c r="C1863" s="9"/>
    </row>
    <row r="1864" spans="3:3" ht="15">
      <c r="C1864" s="9"/>
    </row>
    <row r="1865" spans="3:3" ht="15">
      <c r="C1865" s="9"/>
    </row>
    <row r="1866" spans="3:3" ht="15">
      <c r="C1866" s="9"/>
    </row>
    <row r="1867" spans="3:3" ht="15">
      <c r="C1867" s="9"/>
    </row>
    <row r="1868" spans="3:3" ht="15">
      <c r="C1868" s="9"/>
    </row>
    <row r="1869" spans="3:3" ht="15">
      <c r="C1869" s="9"/>
    </row>
    <row r="1870" spans="3:3" ht="15">
      <c r="C1870" s="9"/>
    </row>
    <row r="1871" spans="3:3" ht="15">
      <c r="C1871" s="9"/>
    </row>
    <row r="1872" spans="3:3" ht="15">
      <c r="C1872" s="9"/>
    </row>
    <row r="1873" spans="3:3" ht="15">
      <c r="C1873" s="9"/>
    </row>
    <row r="1874" spans="3:3" ht="15">
      <c r="C1874" s="9"/>
    </row>
    <row r="1875" spans="3:3" ht="15">
      <c r="C1875" s="9"/>
    </row>
    <row r="1876" spans="3:3" ht="15">
      <c r="C1876" s="9"/>
    </row>
    <row r="1877" spans="3:3" ht="15">
      <c r="C1877" s="9"/>
    </row>
    <row r="1878" spans="3:3" ht="15">
      <c r="C1878" s="9"/>
    </row>
    <row r="1879" spans="3:3" ht="15">
      <c r="C1879" s="9"/>
    </row>
    <row r="1880" spans="3:3" ht="15">
      <c r="C1880" s="9"/>
    </row>
    <row r="1881" spans="3:3" ht="15">
      <c r="C1881" s="9"/>
    </row>
    <row r="1882" spans="3:3" ht="15">
      <c r="C1882" s="9"/>
    </row>
    <row r="1883" spans="3:3" ht="15">
      <c r="C1883" s="9"/>
    </row>
    <row r="1884" spans="3:3" ht="15">
      <c r="C1884" s="9"/>
    </row>
    <row r="1885" spans="3:3" ht="15">
      <c r="C1885" s="9"/>
    </row>
    <row r="1886" spans="3:3" ht="15">
      <c r="C1886" s="9"/>
    </row>
    <row r="1887" spans="3:3" ht="15">
      <c r="C1887" s="9"/>
    </row>
    <row r="1888" spans="3:3" ht="15">
      <c r="C1888" s="9"/>
    </row>
    <row r="1889" spans="3:3" ht="15">
      <c r="C1889" s="9"/>
    </row>
    <row r="1890" spans="3:3" ht="15">
      <c r="C1890" s="9"/>
    </row>
    <row r="1891" spans="3:3" ht="15">
      <c r="C1891" s="9"/>
    </row>
    <row r="1892" spans="3:3" ht="15">
      <c r="C1892" s="9"/>
    </row>
    <row r="1893" spans="3:3" ht="15">
      <c r="C1893" s="9"/>
    </row>
    <row r="1894" spans="3:3" ht="15">
      <c r="C1894" s="9"/>
    </row>
    <row r="1895" spans="3:3" ht="15">
      <c r="C1895" s="9"/>
    </row>
    <row r="1896" spans="3:3" ht="15">
      <c r="C1896" s="9"/>
    </row>
    <row r="1897" spans="3:3" ht="15">
      <c r="C1897" s="9"/>
    </row>
    <row r="1898" spans="3:3" ht="15">
      <c r="C1898" s="9"/>
    </row>
    <row r="1899" spans="3:3" ht="15">
      <c r="C1899" s="9"/>
    </row>
    <row r="1900" spans="3:3" ht="15">
      <c r="C1900" s="9"/>
    </row>
    <row r="1901" spans="3:3" ht="15">
      <c r="C1901" s="9"/>
    </row>
    <row r="1902" spans="3:3" ht="15">
      <c r="C1902" s="9"/>
    </row>
    <row r="1903" spans="3:3" ht="15">
      <c r="C1903" s="9"/>
    </row>
    <row r="1904" spans="3:3" ht="15">
      <c r="C1904" s="9"/>
    </row>
    <row r="1905" spans="3:3" ht="15">
      <c r="C1905" s="9"/>
    </row>
    <row r="1906" spans="3:3" ht="15">
      <c r="C1906" s="9"/>
    </row>
    <row r="1907" spans="3:3" ht="15">
      <c r="C1907" s="9"/>
    </row>
    <row r="1908" spans="3:3" ht="15">
      <c r="C1908" s="9"/>
    </row>
    <row r="1909" spans="3:3" ht="15">
      <c r="C1909" s="9"/>
    </row>
    <row r="1910" spans="3:3" ht="15">
      <c r="C1910" s="9"/>
    </row>
    <row r="1911" spans="3:3" ht="15">
      <c r="C1911" s="9"/>
    </row>
    <row r="1912" spans="3:3" ht="15">
      <c r="C1912" s="9"/>
    </row>
    <row r="1913" spans="3:3" ht="15">
      <c r="C1913" s="9"/>
    </row>
    <row r="1914" spans="3:3" ht="15">
      <c r="C1914" s="9"/>
    </row>
    <row r="1915" spans="3:3" ht="15">
      <c r="C1915" s="9"/>
    </row>
    <row r="1916" spans="3:3" ht="15">
      <c r="C1916" s="9"/>
    </row>
    <row r="1917" spans="3:3" ht="15">
      <c r="C1917" s="9"/>
    </row>
    <row r="1918" spans="3:3" ht="15">
      <c r="C1918" s="9"/>
    </row>
    <row r="1919" spans="3:3" ht="15">
      <c r="C1919" s="9"/>
    </row>
    <row r="1920" spans="3:3" ht="15">
      <c r="C1920" s="9"/>
    </row>
    <row r="1921" spans="3:3" ht="15">
      <c r="C1921" s="9"/>
    </row>
    <row r="1922" spans="3:3" ht="15">
      <c r="C1922" s="9"/>
    </row>
    <row r="1923" spans="3:3" ht="15">
      <c r="C1923" s="9"/>
    </row>
    <row r="1924" spans="3:3" ht="15">
      <c r="C1924" s="9"/>
    </row>
    <row r="1925" spans="3:3" ht="15">
      <c r="C1925" s="9"/>
    </row>
    <row r="1926" spans="3:3" ht="15">
      <c r="C1926" s="9"/>
    </row>
    <row r="1927" spans="3:3" ht="15">
      <c r="C1927" s="9"/>
    </row>
    <row r="1928" spans="3:3" ht="15">
      <c r="C1928" s="9"/>
    </row>
    <row r="1929" spans="3:3" ht="15">
      <c r="C1929" s="9"/>
    </row>
    <row r="1930" spans="3:3" ht="15">
      <c r="C1930" s="9"/>
    </row>
    <row r="1931" spans="3:3" ht="15">
      <c r="C1931" s="9"/>
    </row>
    <row r="1932" spans="3:3" ht="15">
      <c r="C1932" s="9"/>
    </row>
    <row r="1933" spans="3:3" ht="15">
      <c r="C1933" s="9"/>
    </row>
    <row r="1934" spans="3:3" ht="15">
      <c r="C1934" s="9"/>
    </row>
    <row r="1935" spans="3:3" ht="15">
      <c r="C1935" s="9"/>
    </row>
    <row r="1936" spans="3:3" ht="15">
      <c r="C1936" s="9"/>
    </row>
    <row r="1937" spans="3:3" ht="15">
      <c r="C1937" s="9"/>
    </row>
    <row r="1938" spans="3:3" ht="15">
      <c r="C1938" s="9"/>
    </row>
    <row r="1939" spans="3:3" ht="15">
      <c r="C1939" s="9"/>
    </row>
    <row r="1940" spans="3:3" ht="15">
      <c r="C1940" s="9"/>
    </row>
    <row r="1941" spans="3:3" ht="15">
      <c r="C1941" s="9"/>
    </row>
    <row r="1942" spans="3:3" ht="15">
      <c r="C1942" s="9"/>
    </row>
    <row r="1943" spans="3:3" ht="15">
      <c r="C1943" s="9"/>
    </row>
    <row r="1944" spans="3:3" ht="15">
      <c r="C1944" s="9"/>
    </row>
    <row r="1945" spans="3:3" ht="15">
      <c r="C1945" s="9"/>
    </row>
    <row r="1946" spans="3:3" ht="15">
      <c r="C1946" s="9"/>
    </row>
    <row r="1947" spans="3:3" ht="15">
      <c r="C1947" s="9"/>
    </row>
    <row r="1948" spans="3:3" ht="15">
      <c r="C1948" s="9"/>
    </row>
    <row r="1949" spans="3:3" ht="15">
      <c r="C1949" s="9"/>
    </row>
    <row r="1950" spans="3:3" ht="15">
      <c r="C1950" s="9"/>
    </row>
    <row r="1951" spans="3:3" ht="15">
      <c r="C1951" s="9"/>
    </row>
    <row r="1952" spans="3:3" ht="15">
      <c r="C1952" s="9"/>
    </row>
    <row r="1953" spans="3:3" ht="15">
      <c r="C1953" s="9"/>
    </row>
    <row r="1954" spans="3:3" ht="15">
      <c r="C1954" s="9"/>
    </row>
    <row r="1955" spans="3:3" ht="15">
      <c r="C1955" s="9"/>
    </row>
    <row r="1956" spans="3:3" ht="15">
      <c r="C1956" s="9"/>
    </row>
    <row r="1957" spans="3:3" ht="15">
      <c r="C1957" s="9"/>
    </row>
    <row r="1958" spans="3:3" ht="15">
      <c r="C1958" s="9"/>
    </row>
    <row r="1959" spans="3:3" ht="15">
      <c r="C1959" s="9"/>
    </row>
    <row r="1960" spans="3:3" ht="15">
      <c r="C1960" s="9"/>
    </row>
    <row r="1961" spans="3:3" ht="15">
      <c r="C1961" s="9"/>
    </row>
    <row r="1962" spans="3:3" ht="15">
      <c r="C1962" s="9"/>
    </row>
    <row r="1963" spans="3:3" ht="15">
      <c r="C1963" s="9"/>
    </row>
    <row r="1964" spans="3:3" ht="15">
      <c r="C1964" s="9"/>
    </row>
    <row r="1965" spans="3:3" ht="15">
      <c r="C1965" s="9"/>
    </row>
    <row r="1966" spans="3:3" ht="15">
      <c r="C1966" s="9"/>
    </row>
    <row r="1967" spans="3:3" ht="15">
      <c r="C1967" s="9"/>
    </row>
    <row r="1968" spans="3:3" ht="15">
      <c r="C1968" s="9"/>
    </row>
    <row r="1969" spans="3:3" ht="15">
      <c r="C1969" s="9"/>
    </row>
    <row r="1970" spans="3:3" ht="15">
      <c r="C1970" s="9"/>
    </row>
    <row r="1971" spans="3:3" ht="15">
      <c r="C1971" s="9"/>
    </row>
    <row r="1972" spans="3:3" ht="15">
      <c r="C1972" s="9"/>
    </row>
    <row r="1973" spans="3:3" ht="15">
      <c r="C1973" s="9"/>
    </row>
    <row r="1974" spans="3:3" ht="15">
      <c r="C1974" s="9"/>
    </row>
    <row r="1975" spans="3:3" ht="15">
      <c r="C1975" s="9"/>
    </row>
    <row r="1976" spans="3:3" ht="15">
      <c r="C1976" s="9"/>
    </row>
    <row r="1977" spans="3:3" ht="15">
      <c r="C1977" s="9"/>
    </row>
    <row r="1978" spans="3:3" ht="15">
      <c r="C1978" s="9"/>
    </row>
    <row r="1979" spans="3:3" ht="15">
      <c r="C1979" s="9"/>
    </row>
    <row r="1980" spans="3:3" ht="15">
      <c r="C1980" s="9"/>
    </row>
    <row r="1981" spans="3:3" ht="15">
      <c r="C1981" s="9"/>
    </row>
    <row r="1982" spans="3:3" ht="15">
      <c r="C1982" s="9"/>
    </row>
    <row r="1983" spans="3:3" ht="15">
      <c r="C1983" s="9"/>
    </row>
    <row r="1984" spans="3:3" ht="15">
      <c r="C1984" s="9"/>
    </row>
    <row r="1985" spans="3:3" ht="15">
      <c r="C1985" s="9"/>
    </row>
    <row r="1986" spans="3:3" ht="15">
      <c r="C1986" s="9"/>
    </row>
    <row r="1987" spans="3:3" ht="15">
      <c r="C1987" s="9"/>
    </row>
    <row r="1988" spans="3:3" ht="15">
      <c r="C1988" s="9"/>
    </row>
    <row r="1989" spans="3:3" ht="15">
      <c r="C1989" s="9"/>
    </row>
    <row r="1990" spans="3:3" ht="15">
      <c r="C1990" s="9"/>
    </row>
    <row r="1991" spans="3:3" ht="15">
      <c r="C1991" s="9"/>
    </row>
    <row r="1992" spans="3:3" ht="15">
      <c r="C1992" s="9"/>
    </row>
    <row r="1993" spans="3:3" ht="15">
      <c r="C1993" s="9"/>
    </row>
    <row r="1994" spans="3:3" ht="15">
      <c r="C1994" s="9"/>
    </row>
    <row r="1995" spans="3:3" ht="15">
      <c r="C1995" s="9"/>
    </row>
    <row r="1996" spans="3:3" ht="15">
      <c r="C1996" s="9"/>
    </row>
    <row r="1997" spans="3:3" ht="15">
      <c r="C1997" s="9"/>
    </row>
    <row r="1998" spans="3:3" ht="15">
      <c r="C1998" s="9"/>
    </row>
    <row r="1999" spans="3:3" ht="15">
      <c r="C1999" s="9"/>
    </row>
    <row r="2000" spans="3:3" ht="15">
      <c r="C2000" s="9"/>
    </row>
    <row r="2001" spans="3:3" ht="15">
      <c r="C2001" s="9"/>
    </row>
    <row r="2002" spans="3:3" ht="15">
      <c r="C2002" s="9"/>
    </row>
    <row r="2003" spans="3:3" ht="15">
      <c r="C2003" s="9"/>
    </row>
    <row r="2004" spans="3:3" ht="15">
      <c r="C2004" s="9"/>
    </row>
    <row r="2005" spans="3:3" ht="15">
      <c r="C2005" s="9"/>
    </row>
    <row r="2006" spans="3:3" ht="15">
      <c r="C2006" s="9"/>
    </row>
    <row r="2007" spans="3:3" ht="15">
      <c r="C2007" s="9"/>
    </row>
    <row r="2008" spans="3:3" ht="15">
      <c r="C2008" s="9"/>
    </row>
    <row r="2009" spans="3:3" ht="15">
      <c r="C2009" s="9"/>
    </row>
    <row r="2010" spans="3:3" ht="15">
      <c r="C2010" s="9"/>
    </row>
    <row r="2011" spans="3:3" ht="15">
      <c r="C2011" s="9"/>
    </row>
    <row r="2012" spans="3:3" ht="15">
      <c r="C2012" s="9"/>
    </row>
    <row r="2013" spans="3:3" ht="15">
      <c r="C2013" s="9"/>
    </row>
    <row r="2014" spans="3:3" ht="15">
      <c r="C2014" s="9"/>
    </row>
    <row r="2015" spans="3:3" ht="15">
      <c r="C2015" s="9"/>
    </row>
    <row r="2016" spans="3:3" ht="15">
      <c r="C2016" s="9"/>
    </row>
    <row r="2017" spans="3:3" ht="15">
      <c r="C2017" s="9"/>
    </row>
    <row r="2018" spans="3:3" ht="15">
      <c r="C2018" s="9"/>
    </row>
    <row r="2019" spans="3:3" ht="15">
      <c r="C2019" s="9"/>
    </row>
    <row r="2020" spans="3:3" ht="15">
      <c r="C2020" s="9"/>
    </row>
    <row r="2021" spans="3:3" ht="15">
      <c r="C2021" s="9"/>
    </row>
    <row r="2022" spans="3:3" ht="15">
      <c r="C2022" s="9"/>
    </row>
    <row r="2023" spans="3:3" ht="15">
      <c r="C2023" s="9"/>
    </row>
    <row r="2024" spans="3:3" ht="15">
      <c r="C2024" s="9"/>
    </row>
    <row r="2025" spans="3:3" ht="15">
      <c r="C2025" s="9"/>
    </row>
    <row r="2026" spans="3:3" ht="15">
      <c r="C2026" s="9"/>
    </row>
    <row r="2027" spans="3:3" ht="15">
      <c r="C2027" s="9"/>
    </row>
    <row r="2028" spans="3:3" ht="15">
      <c r="C2028" s="9"/>
    </row>
    <row r="2029" spans="3:3" ht="15">
      <c r="C2029" s="9"/>
    </row>
    <row r="2030" spans="3:3" ht="15">
      <c r="C2030" s="9"/>
    </row>
    <row r="2031" spans="3:3" ht="15">
      <c r="C2031" s="9"/>
    </row>
    <row r="2032" spans="3:3" ht="15">
      <c r="C2032" s="9"/>
    </row>
    <row r="2033" spans="3:3" ht="15">
      <c r="C2033" s="9"/>
    </row>
    <row r="2034" spans="3:3" ht="15">
      <c r="C2034" s="9"/>
    </row>
    <row r="2035" spans="3:3" ht="15">
      <c r="C2035" s="9"/>
    </row>
    <row r="2036" spans="3:3" ht="15">
      <c r="C2036" s="9"/>
    </row>
    <row r="2037" spans="3:3" ht="15">
      <c r="C2037" s="9"/>
    </row>
    <row r="2038" spans="3:3" ht="15">
      <c r="C2038" s="9"/>
    </row>
    <row r="2039" spans="3:3" ht="15">
      <c r="C2039" s="9"/>
    </row>
    <row r="2040" spans="3:3" ht="15">
      <c r="C2040" s="9"/>
    </row>
    <row r="2041" spans="3:3" ht="15">
      <c r="C2041" s="9"/>
    </row>
    <row r="2042" spans="3:3" ht="15">
      <c r="C2042" s="9"/>
    </row>
    <row r="2043" spans="3:3" ht="15">
      <c r="C2043" s="9"/>
    </row>
    <row r="2044" spans="3:3" ht="15">
      <c r="C2044" s="9"/>
    </row>
    <row r="2045" spans="3:3" ht="15">
      <c r="C2045" s="9"/>
    </row>
    <row r="2046" spans="3:3" ht="15">
      <c r="C2046" s="9"/>
    </row>
    <row r="2047" spans="3:3" ht="15">
      <c r="C2047" s="9"/>
    </row>
    <row r="2048" spans="3:3" ht="15">
      <c r="C2048" s="9"/>
    </row>
    <row r="2049" spans="3:3" ht="15">
      <c r="C2049" s="9"/>
    </row>
    <row r="2050" spans="3:3" ht="15">
      <c r="C2050" s="9"/>
    </row>
    <row r="2051" spans="3:3" ht="15">
      <c r="C2051" s="9"/>
    </row>
    <row r="2052" spans="3:3" ht="15">
      <c r="C2052" s="9"/>
    </row>
    <row r="2053" spans="3:3" ht="15">
      <c r="C2053" s="9"/>
    </row>
    <row r="2054" spans="3:3" ht="15">
      <c r="C2054" s="9"/>
    </row>
    <row r="2055" spans="3:3" ht="15">
      <c r="C2055" s="9"/>
    </row>
    <row r="2056" spans="3:3" ht="15">
      <c r="C2056" s="9"/>
    </row>
    <row r="2057" spans="3:3" ht="15">
      <c r="C2057" s="9"/>
    </row>
    <row r="2058" spans="3:3" ht="15">
      <c r="C2058" s="9"/>
    </row>
    <row r="2059" spans="3:3" ht="15">
      <c r="C2059" s="9"/>
    </row>
    <row r="2060" spans="3:3" ht="15">
      <c r="C2060" s="9"/>
    </row>
    <row r="2061" spans="3:3" ht="15">
      <c r="C2061" s="9"/>
    </row>
    <row r="2062" spans="3:3" ht="15">
      <c r="C2062" s="9"/>
    </row>
    <row r="2063" spans="3:3" ht="15">
      <c r="C2063" s="9"/>
    </row>
    <row r="2064" spans="3:3" ht="15">
      <c r="C2064" s="9"/>
    </row>
    <row r="2065" spans="3:3" ht="15">
      <c r="C2065" s="9"/>
    </row>
    <row r="2066" spans="3:3" ht="15">
      <c r="C2066" s="9"/>
    </row>
    <row r="2067" spans="3:3" ht="15">
      <c r="C2067" s="9"/>
    </row>
    <row r="2068" spans="3:3" ht="15">
      <c r="C2068" s="9"/>
    </row>
    <row r="2069" spans="3:3" ht="15">
      <c r="C2069" s="9"/>
    </row>
    <row r="2070" spans="3:3" ht="15">
      <c r="C2070" s="9"/>
    </row>
    <row r="2071" spans="3:3" ht="15">
      <c r="C2071" s="9"/>
    </row>
    <row r="2072" spans="3:3" ht="15">
      <c r="C2072" s="9"/>
    </row>
    <row r="2073" spans="3:3" ht="15">
      <c r="C2073" s="9"/>
    </row>
    <row r="2074" spans="3:3" ht="15">
      <c r="C2074" s="9"/>
    </row>
    <row r="2075" spans="3:3" ht="15">
      <c r="C2075" s="9"/>
    </row>
    <row r="2076" spans="3:3" ht="15">
      <c r="C2076" s="9"/>
    </row>
    <row r="2077" spans="3:3" ht="15">
      <c r="C2077" s="9"/>
    </row>
    <row r="2078" spans="3:3" ht="15">
      <c r="C2078" s="9"/>
    </row>
    <row r="2079" spans="3:3" ht="15">
      <c r="C2079" s="9"/>
    </row>
    <row r="2080" spans="3:3" ht="15">
      <c r="C2080" s="9"/>
    </row>
    <row r="2081" spans="3:3" ht="15">
      <c r="C2081" s="9"/>
    </row>
    <row r="2082" spans="3:3" ht="15">
      <c r="C2082" s="9"/>
    </row>
    <row r="2083" spans="3:3" ht="15">
      <c r="C2083" s="9"/>
    </row>
    <row r="2084" spans="3:3" ht="15">
      <c r="C2084" s="9"/>
    </row>
    <row r="2085" spans="3:3" ht="15">
      <c r="C2085" s="9"/>
    </row>
    <row r="2086" spans="3:3" ht="15">
      <c r="C2086" s="9"/>
    </row>
    <row r="2087" spans="3:3" ht="15">
      <c r="C2087" s="9"/>
    </row>
    <row r="2088" spans="3:3" ht="15">
      <c r="C2088" s="9"/>
    </row>
    <row r="2089" spans="3:3" ht="15">
      <c r="C2089" s="9"/>
    </row>
    <row r="2090" spans="3:3" ht="15">
      <c r="C2090" s="9"/>
    </row>
    <row r="2091" spans="3:3" ht="15">
      <c r="C2091" s="9"/>
    </row>
    <row r="2092" spans="3:3" ht="15">
      <c r="C2092" s="9"/>
    </row>
    <row r="2093" spans="3:3" ht="15">
      <c r="C2093" s="9"/>
    </row>
    <row r="2094" spans="3:3" ht="15">
      <c r="C2094" s="9"/>
    </row>
    <row r="2095" spans="3:3" ht="15">
      <c r="C2095" s="9"/>
    </row>
    <row r="2096" spans="3:3" ht="15">
      <c r="C2096" s="9"/>
    </row>
    <row r="2097" spans="3:3" ht="15">
      <c r="C2097" s="9"/>
    </row>
    <row r="2098" spans="3:3" ht="15">
      <c r="C2098" s="9"/>
    </row>
    <row r="2099" spans="3:3" ht="15">
      <c r="C2099" s="9"/>
    </row>
    <row r="2100" spans="3:3" ht="15">
      <c r="C2100" s="9"/>
    </row>
    <row r="2101" spans="3:3" ht="15">
      <c r="C2101" s="9"/>
    </row>
    <row r="2102" spans="3:3" ht="15">
      <c r="C2102" s="9"/>
    </row>
    <row r="2103" spans="3:3" ht="15">
      <c r="C2103" s="9"/>
    </row>
    <row r="2104" spans="3:3" ht="15">
      <c r="C2104" s="9"/>
    </row>
    <row r="2105" spans="3:3" ht="15">
      <c r="C2105" s="9"/>
    </row>
    <row r="2106" spans="3:3" ht="15">
      <c r="C2106" s="9"/>
    </row>
    <row r="2107" spans="3:3" ht="15">
      <c r="C2107" s="9"/>
    </row>
    <row r="2108" spans="3:3" ht="15">
      <c r="C2108" s="9"/>
    </row>
    <row r="2109" spans="3:3" ht="15">
      <c r="C2109" s="9"/>
    </row>
    <row r="2110" spans="3:3" ht="15">
      <c r="C2110" s="9"/>
    </row>
    <row r="2111" spans="3:3" ht="15">
      <c r="C2111" s="9"/>
    </row>
    <row r="2112" spans="3:3" ht="15">
      <c r="C2112" s="9"/>
    </row>
    <row r="2113" spans="3:3" ht="15">
      <c r="C2113" s="9"/>
    </row>
    <row r="2114" spans="3:3" ht="15">
      <c r="C2114" s="9"/>
    </row>
    <row r="2115" spans="3:3" ht="15">
      <c r="C2115" s="9"/>
    </row>
    <row r="2116" spans="3:3" ht="15">
      <c r="C2116" s="9"/>
    </row>
    <row r="2117" spans="3:3" ht="15">
      <c r="C2117" s="9"/>
    </row>
    <row r="2118" spans="3:3" ht="15">
      <c r="C2118" s="9"/>
    </row>
    <row r="2119" spans="3:3" ht="15">
      <c r="C2119" s="9"/>
    </row>
    <row r="2120" spans="3:3" ht="15">
      <c r="C2120" s="9"/>
    </row>
    <row r="2121" spans="3:3" ht="15">
      <c r="C2121" s="9"/>
    </row>
    <row r="2122" spans="3:3" ht="15">
      <c r="C2122" s="9"/>
    </row>
    <row r="2123" spans="3:3" ht="15">
      <c r="C2123" s="9"/>
    </row>
    <row r="2124" spans="3:3" ht="15">
      <c r="C2124" s="9"/>
    </row>
    <row r="2125" spans="3:3" ht="15">
      <c r="C2125" s="9"/>
    </row>
    <row r="2126" spans="3:3" ht="15">
      <c r="C2126" s="9"/>
    </row>
    <row r="2127" spans="3:3" ht="15">
      <c r="C2127" s="9"/>
    </row>
    <row r="2128" spans="3:3" ht="15">
      <c r="C2128" s="9"/>
    </row>
    <row r="2129" spans="3:3" ht="15">
      <c r="C2129" s="9"/>
    </row>
    <row r="2130" spans="3:3" ht="15">
      <c r="C2130" s="9"/>
    </row>
    <row r="2131" spans="3:3" ht="15">
      <c r="C2131" s="9"/>
    </row>
    <row r="2132" spans="3:3" ht="15">
      <c r="C2132" s="9"/>
    </row>
    <row r="2133" spans="3:3" ht="15">
      <c r="C2133" s="9"/>
    </row>
    <row r="2134" spans="3:3" ht="15">
      <c r="C2134" s="9"/>
    </row>
    <row r="2135" spans="3:3" ht="15">
      <c r="C2135" s="9"/>
    </row>
    <row r="2136" spans="3:3" ht="15">
      <c r="C2136" s="9"/>
    </row>
    <row r="2137" spans="3:3" ht="15">
      <c r="C2137" s="9"/>
    </row>
    <row r="2138" spans="3:3" ht="15">
      <c r="C2138" s="9"/>
    </row>
    <row r="2139" spans="3:3" ht="15">
      <c r="C2139" s="9"/>
    </row>
    <row r="2140" spans="3:3" ht="15">
      <c r="C2140" s="9"/>
    </row>
    <row r="2141" spans="3:3" ht="15">
      <c r="C2141" s="9"/>
    </row>
    <row r="2142" spans="3:3" ht="15">
      <c r="C2142" s="9"/>
    </row>
    <row r="2143" spans="3:3" ht="15">
      <c r="C2143" s="9"/>
    </row>
    <row r="2144" spans="3:3" ht="15">
      <c r="C2144" s="9"/>
    </row>
    <row r="2145" spans="3:3" ht="15">
      <c r="C2145" s="9"/>
    </row>
    <row r="2146" spans="3:3" ht="15">
      <c r="C2146" s="9"/>
    </row>
    <row r="2147" spans="3:3" ht="15">
      <c r="C2147" s="9"/>
    </row>
    <row r="2148" spans="3:3" ht="15">
      <c r="C2148" s="9"/>
    </row>
    <row r="2149" spans="3:3" ht="15">
      <c r="C2149" s="9"/>
    </row>
    <row r="2150" spans="3:3" ht="15">
      <c r="C2150" s="9"/>
    </row>
    <row r="2151" spans="3:3" ht="15">
      <c r="C2151" s="9"/>
    </row>
    <row r="2152" spans="3:3" ht="15">
      <c r="C2152" s="9"/>
    </row>
    <row r="2153" spans="3:3" ht="15">
      <c r="C2153" s="9"/>
    </row>
    <row r="2154" spans="3:3" ht="15">
      <c r="C2154" s="9"/>
    </row>
    <row r="2155" spans="3:3" ht="15">
      <c r="C2155" s="9"/>
    </row>
    <row r="2156" spans="3:3" ht="15">
      <c r="C2156" s="9"/>
    </row>
    <row r="2157" spans="3:3" ht="15">
      <c r="C2157" s="9"/>
    </row>
    <row r="2158" spans="3:3" ht="15">
      <c r="C2158" s="9"/>
    </row>
    <row r="2159" spans="3:3" ht="15">
      <c r="C2159" s="9"/>
    </row>
    <row r="2160" spans="3:3" ht="15">
      <c r="C2160" s="9"/>
    </row>
    <row r="2161" spans="3:3" ht="15">
      <c r="C2161" s="9"/>
    </row>
    <row r="2162" spans="3:3" ht="15">
      <c r="C2162" s="9"/>
    </row>
    <row r="2163" spans="3:3" ht="15">
      <c r="C2163" s="9"/>
    </row>
    <row r="2164" spans="3:3" ht="15">
      <c r="C2164" s="9"/>
    </row>
    <row r="2165" spans="3:3" ht="15">
      <c r="C2165" s="9"/>
    </row>
    <row r="2166" spans="3:3" ht="15">
      <c r="C2166" s="9"/>
    </row>
    <row r="2167" spans="3:3" ht="15">
      <c r="C2167" s="9"/>
    </row>
    <row r="2168" spans="3:3" ht="15">
      <c r="C2168" s="9"/>
    </row>
    <row r="2169" spans="3:3" ht="15">
      <c r="C2169" s="9"/>
    </row>
    <row r="2170" spans="3:3" ht="15">
      <c r="C2170" s="9"/>
    </row>
    <row r="2171" spans="3:3" ht="15">
      <c r="C2171" s="9"/>
    </row>
    <row r="2172" spans="3:3" ht="15">
      <c r="C2172" s="9"/>
    </row>
    <row r="2173" spans="3:3" ht="15">
      <c r="C2173" s="9"/>
    </row>
    <row r="2174" spans="3:3" ht="15">
      <c r="C2174" s="9"/>
    </row>
    <row r="2175" spans="3:3" ht="15">
      <c r="C2175" s="9"/>
    </row>
    <row r="2176" spans="3:3" ht="15">
      <c r="C2176" s="9"/>
    </row>
    <row r="2177" spans="3:3" ht="15">
      <c r="C2177" s="9"/>
    </row>
    <row r="2178" spans="3:3" ht="15">
      <c r="C2178" s="9"/>
    </row>
    <row r="2179" spans="3:3" ht="15">
      <c r="C2179" s="9"/>
    </row>
    <row r="2180" spans="3:3" ht="15">
      <c r="C2180" s="9"/>
    </row>
    <row r="2181" spans="3:3" ht="15">
      <c r="C2181" s="9"/>
    </row>
    <row r="2182" spans="3:3" ht="15">
      <c r="C2182" s="9"/>
    </row>
    <row r="2183" spans="3:3" ht="15">
      <c r="C2183" s="9"/>
    </row>
    <row r="2184" spans="3:3" ht="15">
      <c r="C2184" s="9"/>
    </row>
    <row r="2185" spans="3:3" ht="15">
      <c r="C2185" s="9"/>
    </row>
    <row r="2186" spans="3:3" ht="15">
      <c r="C2186" s="9"/>
    </row>
    <row r="2187" spans="3:3" ht="15">
      <c r="C2187" s="9"/>
    </row>
    <row r="2188" spans="3:3" ht="15">
      <c r="C2188" s="9"/>
    </row>
    <row r="2189" spans="3:3" ht="15">
      <c r="C2189" s="9"/>
    </row>
    <row r="2190" spans="3:3" ht="15">
      <c r="C2190" s="9"/>
    </row>
    <row r="2191" spans="3:3" ht="15">
      <c r="C2191" s="9"/>
    </row>
    <row r="2192" spans="3:3" ht="15">
      <c r="C2192" s="9"/>
    </row>
    <row r="2193" spans="3:3" ht="15">
      <c r="C2193" s="9"/>
    </row>
    <row r="2194" spans="3:3" ht="15">
      <c r="C2194" s="9"/>
    </row>
    <row r="2195" spans="3:3" ht="15">
      <c r="C2195" s="9"/>
    </row>
    <row r="2196" spans="3:3" ht="15">
      <c r="C2196" s="9"/>
    </row>
    <row r="2197" spans="3:3" ht="15">
      <c r="C2197" s="9"/>
    </row>
    <row r="2198" spans="3:3" ht="15">
      <c r="C2198" s="9"/>
    </row>
    <row r="2199" spans="3:3" ht="15">
      <c r="C2199" s="9"/>
    </row>
    <row r="2200" spans="3:3" ht="15">
      <c r="C2200" s="9"/>
    </row>
    <row r="2201" spans="3:3" ht="15">
      <c r="C2201" s="9"/>
    </row>
    <row r="2202" spans="3:3" ht="15">
      <c r="C2202" s="9"/>
    </row>
    <row r="2203" spans="3:3" ht="15">
      <c r="C2203" s="9"/>
    </row>
    <row r="2204" spans="3:3" ht="15">
      <c r="C2204" s="9"/>
    </row>
    <row r="2205" spans="3:3" ht="15">
      <c r="C2205" s="9"/>
    </row>
    <row r="2206" spans="3:3" ht="15">
      <c r="C2206" s="9"/>
    </row>
    <row r="2207" spans="3:3" ht="15">
      <c r="C2207" s="9"/>
    </row>
    <row r="2208" spans="3:3" ht="15">
      <c r="C2208" s="9"/>
    </row>
    <row r="2209" spans="3:3" ht="15">
      <c r="C2209" s="9"/>
    </row>
    <row r="2210" spans="3:3" ht="15">
      <c r="C2210" s="9"/>
    </row>
    <row r="2211" spans="3:3" ht="15">
      <c r="C2211" s="9"/>
    </row>
    <row r="2212" spans="3:3" ht="15">
      <c r="C2212" s="9"/>
    </row>
    <row r="2213" spans="3:3" ht="15">
      <c r="C2213" s="9"/>
    </row>
    <row r="2214" spans="3:3" ht="15">
      <c r="C2214" s="9"/>
    </row>
    <row r="2215" spans="3:3" ht="15">
      <c r="C2215" s="9"/>
    </row>
    <row r="2216" spans="3:3" ht="15">
      <c r="C2216" s="9"/>
    </row>
    <row r="2217" spans="3:3" ht="15">
      <c r="C2217" s="9"/>
    </row>
    <row r="2218" spans="3:3" ht="15">
      <c r="C2218" s="9"/>
    </row>
    <row r="2219" spans="3:3" ht="15">
      <c r="C2219" s="9"/>
    </row>
    <row r="2220" spans="3:3" ht="15">
      <c r="C2220" s="9"/>
    </row>
    <row r="2221" spans="3:3" ht="15">
      <c r="C2221" s="9"/>
    </row>
    <row r="2222" spans="3:3" ht="15">
      <c r="C2222" s="9"/>
    </row>
    <row r="2223" spans="3:3" ht="15">
      <c r="C2223" s="9"/>
    </row>
    <row r="2224" spans="3:3" ht="15">
      <c r="C2224" s="9"/>
    </row>
    <row r="2225" spans="3:3" ht="15">
      <c r="C2225" s="9"/>
    </row>
    <row r="2226" spans="3:3" ht="15">
      <c r="C2226" s="9"/>
    </row>
    <row r="2227" spans="3:3" ht="15">
      <c r="C2227" s="9"/>
    </row>
    <row r="2228" spans="3:3" ht="15">
      <c r="C2228" s="9"/>
    </row>
    <row r="2229" spans="3:3" ht="15">
      <c r="C2229" s="9"/>
    </row>
    <row r="2230" spans="3:3" ht="15">
      <c r="C2230" s="9"/>
    </row>
    <row r="2231" spans="3:3" ht="15">
      <c r="C2231" s="9"/>
    </row>
    <row r="2232" spans="3:3" ht="15">
      <c r="C2232" s="9"/>
    </row>
    <row r="2233" spans="3:3" ht="15">
      <c r="C2233" s="9"/>
    </row>
    <row r="2234" spans="3:3" ht="15">
      <c r="C2234" s="9"/>
    </row>
    <row r="2235" spans="3:3" ht="15">
      <c r="C2235" s="9"/>
    </row>
    <row r="2236" spans="3:3" ht="15">
      <c r="C2236" s="9"/>
    </row>
    <row r="2237" spans="3:3" ht="15">
      <c r="C2237" s="9"/>
    </row>
    <row r="2238" spans="3:3" ht="15">
      <c r="C2238" s="9"/>
    </row>
    <row r="2239" spans="3:3" ht="15">
      <c r="C2239" s="9"/>
    </row>
    <row r="2240" spans="3:3" ht="15">
      <c r="C2240" s="9"/>
    </row>
    <row r="2241" spans="3:3" ht="15">
      <c r="C2241" s="9"/>
    </row>
    <row r="2242" spans="3:3" ht="15">
      <c r="C2242" s="9"/>
    </row>
    <row r="2243" spans="3:3" ht="15">
      <c r="C2243" s="9"/>
    </row>
    <row r="2244" spans="3:3" ht="15">
      <c r="C2244" s="9"/>
    </row>
    <row r="2245" spans="3:3" ht="15">
      <c r="C2245" s="9"/>
    </row>
    <row r="2246" spans="3:3" ht="15">
      <c r="C2246" s="9"/>
    </row>
    <row r="2247" spans="3:3" ht="15">
      <c r="C2247" s="9"/>
    </row>
    <row r="2248" spans="3:3" ht="15">
      <c r="C2248" s="9"/>
    </row>
    <row r="2249" spans="3:3" ht="15">
      <c r="C2249" s="9"/>
    </row>
    <row r="2250" spans="3:3" ht="15">
      <c r="C2250" s="9"/>
    </row>
    <row r="2251" spans="3:3" ht="15">
      <c r="C2251" s="9"/>
    </row>
    <row r="2252" spans="3:3" ht="15">
      <c r="C2252" s="9"/>
    </row>
    <row r="2253" spans="3:3" ht="15">
      <c r="C2253" s="9"/>
    </row>
    <row r="2254" spans="3:3" ht="15">
      <c r="C2254" s="9"/>
    </row>
    <row r="2255" spans="3:3" ht="15">
      <c r="C2255" s="9"/>
    </row>
    <row r="2256" spans="3:3" ht="15">
      <c r="C2256" s="9"/>
    </row>
    <row r="2257" spans="3:3" ht="15">
      <c r="C2257" s="9"/>
    </row>
    <row r="2258" spans="3:3" ht="15">
      <c r="C2258" s="9"/>
    </row>
    <row r="2259" spans="3:3" ht="15">
      <c r="C2259" s="9"/>
    </row>
    <row r="2260" spans="3:3" ht="15">
      <c r="C2260" s="9"/>
    </row>
    <row r="2261" spans="3:3" ht="15">
      <c r="C2261" s="9"/>
    </row>
    <row r="2262" spans="3:3" ht="15">
      <c r="C2262" s="9"/>
    </row>
    <row r="2263" spans="3:3" ht="15">
      <c r="C2263" s="9"/>
    </row>
    <row r="2264" spans="3:3" ht="15">
      <c r="C2264" s="9"/>
    </row>
    <row r="2265" spans="3:3" ht="15">
      <c r="C2265" s="9"/>
    </row>
    <row r="2266" spans="3:3" ht="15">
      <c r="C2266" s="9"/>
    </row>
    <row r="2267" spans="3:3" ht="15">
      <c r="C2267" s="9"/>
    </row>
    <row r="2268" spans="3:3" ht="15">
      <c r="C2268" s="9"/>
    </row>
    <row r="2269" spans="3:3" ht="15">
      <c r="C2269" s="9"/>
    </row>
    <row r="2270" spans="3:3" ht="15">
      <c r="C2270" s="9"/>
    </row>
    <row r="2271" spans="3:3" ht="15">
      <c r="C2271" s="9"/>
    </row>
    <row r="2272" spans="3:3" ht="15">
      <c r="C2272" s="9"/>
    </row>
    <row r="2273" spans="3:3" ht="15">
      <c r="C2273" s="9"/>
    </row>
    <row r="2274" spans="3:3" ht="15">
      <c r="C2274" s="9"/>
    </row>
    <row r="2275" spans="3:3" ht="15">
      <c r="C2275" s="9"/>
    </row>
    <row r="2276" spans="3:3" ht="15">
      <c r="C2276" s="9"/>
    </row>
    <row r="2277" spans="3:3" ht="15">
      <c r="C2277" s="9"/>
    </row>
    <row r="2278" spans="3:3" ht="15">
      <c r="C2278" s="9"/>
    </row>
    <row r="2279" spans="3:3" ht="15">
      <c r="C2279" s="9"/>
    </row>
    <row r="2280" spans="3:3" ht="15">
      <c r="C2280" s="9"/>
    </row>
    <row r="2281" spans="3:3" ht="15">
      <c r="C2281" s="9"/>
    </row>
    <row r="2282" spans="3:3" ht="15">
      <c r="C2282" s="9"/>
    </row>
    <row r="2283" spans="3:3" ht="15">
      <c r="C2283" s="9"/>
    </row>
    <row r="2284" spans="3:3" ht="15">
      <c r="C2284" s="9"/>
    </row>
    <row r="2285" spans="3:3" ht="15">
      <c r="C2285" s="9"/>
    </row>
    <row r="2286" spans="3:3" ht="15">
      <c r="C2286" s="9"/>
    </row>
    <row r="2287" spans="3:3" ht="15">
      <c r="C2287" s="9"/>
    </row>
    <row r="2288" spans="3:3" ht="15">
      <c r="C2288" s="9"/>
    </row>
    <row r="2289" spans="3:3" ht="15">
      <c r="C2289" s="9"/>
    </row>
    <row r="2290" spans="3:3" ht="15">
      <c r="C2290" s="9"/>
    </row>
    <row r="2291" spans="3:3" ht="15">
      <c r="C2291" s="9"/>
    </row>
    <row r="2292" spans="3:3" ht="15">
      <c r="C2292" s="9"/>
    </row>
    <row r="2293" spans="3:3" ht="15">
      <c r="C2293" s="9"/>
    </row>
    <row r="2294" spans="3:3" ht="15">
      <c r="C2294" s="9"/>
    </row>
    <row r="2295" spans="3:3" ht="15">
      <c r="C2295" s="9"/>
    </row>
    <row r="2296" spans="3:3" ht="15">
      <c r="C2296" s="9"/>
    </row>
    <row r="2297" spans="3:3" ht="15">
      <c r="C2297" s="9"/>
    </row>
    <row r="2298" spans="3:3" ht="15">
      <c r="C2298" s="9"/>
    </row>
    <row r="2299" spans="3:3" ht="15">
      <c r="C2299" s="9"/>
    </row>
    <row r="2300" spans="3:3" ht="15">
      <c r="C2300" s="9"/>
    </row>
    <row r="2301" spans="3:3" ht="15">
      <c r="C2301" s="9"/>
    </row>
    <row r="2302" spans="3:3" ht="15">
      <c r="C2302" s="9"/>
    </row>
    <row r="2303" spans="3:3" ht="15">
      <c r="C2303" s="9"/>
    </row>
    <row r="2304" spans="3:3" ht="15">
      <c r="C2304" s="9"/>
    </row>
    <row r="2305" spans="3:3" ht="15">
      <c r="C2305" s="9"/>
    </row>
    <row r="2306" spans="3:3" ht="15">
      <c r="C2306" s="9"/>
    </row>
    <row r="2307" spans="3:3" ht="15">
      <c r="C2307" s="9"/>
    </row>
    <row r="2308" spans="3:3" ht="15">
      <c r="C2308" s="9"/>
    </row>
    <row r="2309" spans="3:3" ht="15">
      <c r="C2309" s="9"/>
    </row>
    <row r="2310" spans="3:3" ht="15">
      <c r="C2310" s="9"/>
    </row>
    <row r="2311" spans="3:3" ht="15">
      <c r="C2311" s="9"/>
    </row>
    <row r="2312" spans="3:3" ht="15">
      <c r="C2312" s="9"/>
    </row>
    <row r="2313" spans="3:3" ht="15">
      <c r="C2313" s="9"/>
    </row>
    <row r="2314" spans="3:3" ht="15">
      <c r="C2314" s="9"/>
    </row>
    <row r="2315" spans="3:3" ht="15">
      <c r="C2315" s="9"/>
    </row>
    <row r="2316" spans="3:3" ht="15">
      <c r="C2316" s="9"/>
    </row>
    <row r="2317" spans="3:3" ht="15">
      <c r="C2317" s="9"/>
    </row>
    <row r="2318" spans="3:3" ht="15">
      <c r="C2318" s="9"/>
    </row>
    <row r="2319" spans="3:3" ht="15">
      <c r="C2319" s="9"/>
    </row>
    <row r="2320" spans="3:3" ht="15">
      <c r="C2320" s="9"/>
    </row>
    <row r="2321" spans="3:3" ht="15">
      <c r="C2321" s="9"/>
    </row>
    <row r="2322" spans="3:3" ht="15">
      <c r="C2322" s="9"/>
    </row>
    <row r="2323" spans="3:3" ht="15">
      <c r="C2323" s="9"/>
    </row>
    <row r="2324" spans="3:3" ht="15">
      <c r="C2324" s="9"/>
    </row>
    <row r="2325" spans="3:3" ht="15">
      <c r="C2325" s="9"/>
    </row>
    <row r="2326" spans="3:3" ht="15">
      <c r="C2326" s="9"/>
    </row>
    <row r="2327" spans="3:3" ht="15">
      <c r="C2327" s="9"/>
    </row>
    <row r="2328" spans="3:3" ht="15">
      <c r="C2328" s="9"/>
    </row>
    <row r="2329" spans="3:3" ht="15">
      <c r="C2329" s="9"/>
    </row>
    <row r="2330" spans="3:3" ht="15">
      <c r="C2330" s="9"/>
    </row>
    <row r="2331" spans="3:3" ht="15">
      <c r="C2331" s="9"/>
    </row>
    <row r="2332" spans="3:3" ht="15">
      <c r="C2332" s="9"/>
    </row>
    <row r="2333" spans="3:3" ht="15">
      <c r="C2333" s="9"/>
    </row>
    <row r="2334" spans="3:3" ht="15">
      <c r="C2334" s="9"/>
    </row>
    <row r="2335" spans="3:3" ht="15">
      <c r="C2335" s="9"/>
    </row>
    <row r="2336" spans="3:3" ht="15">
      <c r="C2336" s="9"/>
    </row>
    <row r="2337" spans="3:3" ht="15">
      <c r="C2337" s="9"/>
    </row>
    <row r="2338" spans="3:3" ht="15">
      <c r="C2338" s="9"/>
    </row>
    <row r="2339" spans="3:3" ht="15">
      <c r="C2339" s="9"/>
    </row>
    <row r="2340" spans="3:3" ht="15">
      <c r="C2340" s="9"/>
    </row>
    <row r="2341" spans="3:3" ht="15">
      <c r="C2341" s="9"/>
    </row>
    <row r="2342" spans="3:3" ht="15">
      <c r="C2342" s="9"/>
    </row>
    <row r="2343" spans="3:3" ht="15">
      <c r="C2343" s="9"/>
    </row>
    <row r="2344" spans="3:3" ht="15">
      <c r="C2344" s="9"/>
    </row>
    <row r="2345" spans="3:3" ht="15">
      <c r="C2345" s="9"/>
    </row>
    <row r="2346" spans="3:3" ht="15">
      <c r="C2346" s="9"/>
    </row>
    <row r="2347" spans="3:3" ht="15">
      <c r="C2347" s="9"/>
    </row>
    <row r="2348" spans="3:3" ht="15">
      <c r="C2348" s="9"/>
    </row>
    <row r="2349" spans="3:3" ht="15">
      <c r="C2349" s="9"/>
    </row>
    <row r="2350" spans="3:3" ht="15">
      <c r="C2350" s="9"/>
    </row>
    <row r="2351" spans="3:3" ht="15">
      <c r="C2351" s="9"/>
    </row>
    <row r="2352" spans="3:3" ht="15">
      <c r="C2352" s="9"/>
    </row>
    <row r="2353" spans="3:3" ht="15">
      <c r="C2353" s="9"/>
    </row>
    <row r="2354" spans="3:3" ht="15">
      <c r="C2354" s="9"/>
    </row>
    <row r="2355" spans="3:3" ht="15">
      <c r="C2355" s="9"/>
    </row>
    <row r="2356" spans="3:3" ht="15">
      <c r="C2356" s="9"/>
    </row>
    <row r="2357" spans="3:3" ht="15">
      <c r="C2357" s="9"/>
    </row>
    <row r="2358" spans="3:3" ht="15">
      <c r="C2358" s="9"/>
    </row>
    <row r="2359" spans="3:3" ht="15">
      <c r="C2359" s="9"/>
    </row>
    <row r="2360" spans="3:3" ht="15">
      <c r="C2360" s="9"/>
    </row>
    <row r="2361" spans="3:3" ht="15">
      <c r="C2361" s="9"/>
    </row>
    <row r="2362" spans="3:3" ht="15">
      <c r="C2362" s="9"/>
    </row>
    <row r="2363" spans="3:3" ht="15">
      <c r="C2363" s="9"/>
    </row>
    <row r="2364" spans="3:3" ht="15">
      <c r="C2364" s="9"/>
    </row>
    <row r="2365" spans="3:3" ht="15">
      <c r="C2365" s="9"/>
    </row>
    <row r="2366" spans="3:3" ht="15">
      <c r="C2366" s="9"/>
    </row>
    <row r="2367" spans="3:3" ht="15">
      <c r="C2367" s="9"/>
    </row>
    <row r="2368" spans="3:3" ht="15">
      <c r="C2368" s="9"/>
    </row>
    <row r="2369" spans="3:3" ht="15">
      <c r="C2369" s="9"/>
    </row>
    <row r="2370" spans="3:3" ht="15">
      <c r="C2370" s="9"/>
    </row>
    <row r="2371" spans="3:3" ht="15">
      <c r="C2371" s="9"/>
    </row>
    <row r="2372" spans="3:3" ht="15">
      <c r="C2372" s="9"/>
    </row>
    <row r="2373" spans="3:3" ht="15">
      <c r="C2373" s="9"/>
    </row>
    <row r="2374" spans="3:3" ht="15">
      <c r="C2374" s="9"/>
    </row>
    <row r="2375" spans="3:3" ht="15">
      <c r="C2375" s="9"/>
    </row>
    <row r="2376" spans="3:3" ht="15">
      <c r="C2376" s="9"/>
    </row>
    <row r="2377" spans="3:3" ht="15">
      <c r="C2377" s="9"/>
    </row>
    <row r="2378" spans="3:3" ht="15">
      <c r="C2378" s="9"/>
    </row>
    <row r="2379" spans="3:3" ht="15">
      <c r="C2379" s="9"/>
    </row>
    <row r="2380" spans="3:3" ht="15">
      <c r="C2380" s="9"/>
    </row>
    <row r="2381" spans="3:3" ht="15">
      <c r="C2381" s="9"/>
    </row>
    <row r="2382" spans="3:3" ht="15">
      <c r="C2382" s="9"/>
    </row>
    <row r="2383" spans="3:3" ht="15">
      <c r="C2383" s="9"/>
    </row>
    <row r="2384" spans="3:3" ht="15">
      <c r="C2384" s="9"/>
    </row>
    <row r="2385" spans="3:3" ht="15">
      <c r="C2385" s="9"/>
    </row>
    <row r="2386" spans="3:3" ht="15">
      <c r="C2386" s="9"/>
    </row>
    <row r="2387" spans="3:3" ht="15">
      <c r="C2387" s="9"/>
    </row>
    <row r="2388" spans="3:3" ht="15">
      <c r="C2388" s="9"/>
    </row>
    <row r="2389" spans="3:3" ht="15">
      <c r="C2389" s="9"/>
    </row>
    <row r="2390" spans="3:3" ht="15">
      <c r="C2390" s="9"/>
    </row>
    <row r="2391" spans="3:3" ht="15">
      <c r="C2391" s="9"/>
    </row>
    <row r="2392" spans="3:3" ht="15">
      <c r="C2392" s="9"/>
    </row>
    <row r="2393" spans="3:3" ht="15">
      <c r="C2393" s="9"/>
    </row>
    <row r="2394" spans="3:3" ht="15">
      <c r="C2394" s="9"/>
    </row>
    <row r="2395" spans="3:3" ht="15">
      <c r="C2395" s="9"/>
    </row>
    <row r="2396" spans="3:3" ht="15">
      <c r="C2396" s="9"/>
    </row>
    <row r="2397" spans="3:3" ht="15">
      <c r="C2397" s="9"/>
    </row>
    <row r="2398" spans="3:3" ht="15">
      <c r="C2398" s="9"/>
    </row>
    <row r="2399" spans="3:3" ht="15">
      <c r="C2399" s="9"/>
    </row>
    <row r="2400" spans="3:3" ht="15">
      <c r="C2400" s="9"/>
    </row>
    <row r="2401" spans="3:3" ht="15">
      <c r="C2401" s="9"/>
    </row>
    <row r="2402" spans="3:3" ht="15">
      <c r="C2402" s="9"/>
    </row>
    <row r="2403" spans="3:3" ht="15">
      <c r="C2403" s="9"/>
    </row>
    <row r="2404" spans="3:3" ht="15">
      <c r="C2404" s="9"/>
    </row>
    <row r="2405" spans="3:3" ht="15">
      <c r="C2405" s="9"/>
    </row>
    <row r="2406" spans="3:3" ht="15">
      <c r="C2406" s="9"/>
    </row>
    <row r="2407" spans="3:3" ht="15">
      <c r="C2407" s="9"/>
    </row>
    <row r="2408" spans="3:3" ht="15">
      <c r="C2408" s="9"/>
    </row>
    <row r="2409" spans="3:3" ht="15">
      <c r="C2409" s="9"/>
    </row>
    <row r="2410" spans="3:3" ht="15">
      <c r="C2410" s="9"/>
    </row>
    <row r="2411" spans="3:3" ht="15">
      <c r="C2411" s="9"/>
    </row>
    <row r="2412" spans="3:3" ht="15">
      <c r="C2412" s="9"/>
    </row>
    <row r="2413" spans="3:3" ht="15">
      <c r="C2413" s="9"/>
    </row>
    <row r="2414" spans="3:3" ht="15">
      <c r="C2414" s="9"/>
    </row>
    <row r="2415" spans="3:3" ht="15">
      <c r="C2415" s="9"/>
    </row>
    <row r="2416" spans="3:3" ht="15">
      <c r="C2416" s="9"/>
    </row>
    <row r="2417" spans="3:3" ht="15">
      <c r="C2417" s="9"/>
    </row>
    <row r="2418" spans="3:3" ht="15">
      <c r="C2418" s="9"/>
    </row>
    <row r="2419" spans="3:3" ht="15">
      <c r="C2419" s="9"/>
    </row>
    <row r="2420" spans="3:3" ht="15">
      <c r="C2420" s="9"/>
    </row>
    <row r="2421" spans="3:3" ht="15">
      <c r="C2421" s="9"/>
    </row>
    <row r="2422" spans="3:3" ht="15">
      <c r="C2422" s="9"/>
    </row>
    <row r="2423" spans="3:3" ht="15">
      <c r="C2423" s="9"/>
    </row>
    <row r="2424" spans="3:3" ht="15">
      <c r="C2424" s="9"/>
    </row>
    <row r="2425" spans="3:3" ht="15">
      <c r="C2425" s="9"/>
    </row>
    <row r="2426" spans="3:3" ht="15">
      <c r="C2426" s="9"/>
    </row>
    <row r="2427" spans="3:3" ht="15">
      <c r="C2427" s="9"/>
    </row>
    <row r="2428" spans="3:3" ht="15">
      <c r="C2428" s="9"/>
    </row>
    <row r="2429" spans="3:3" ht="15">
      <c r="C2429" s="9"/>
    </row>
    <row r="2430" spans="3:3" ht="15">
      <c r="C2430" s="9"/>
    </row>
    <row r="2431" spans="3:3" ht="15">
      <c r="C2431" s="9"/>
    </row>
    <row r="2432" spans="3:3" ht="15">
      <c r="C2432" s="9"/>
    </row>
    <row r="2433" spans="3:3" ht="15">
      <c r="C2433" s="9"/>
    </row>
    <row r="2434" spans="3:3" ht="15">
      <c r="C2434" s="9"/>
    </row>
    <row r="2435" spans="3:3" ht="15">
      <c r="C2435" s="9"/>
    </row>
    <row r="2436" spans="3:3" ht="15">
      <c r="C2436" s="9"/>
    </row>
    <row r="2437" spans="3:3" ht="15">
      <c r="C2437" s="9"/>
    </row>
    <row r="2438" spans="3:3" ht="15">
      <c r="C2438" s="9"/>
    </row>
    <row r="2439" spans="3:3" ht="15">
      <c r="C2439" s="9"/>
    </row>
    <row r="2440" spans="3:3" ht="15">
      <c r="C2440" s="9"/>
    </row>
    <row r="2441" spans="3:3" ht="15">
      <c r="C2441" s="9"/>
    </row>
    <row r="2442" spans="3:3" ht="15">
      <c r="C2442" s="9"/>
    </row>
    <row r="2443" spans="3:3" ht="15">
      <c r="C2443" s="9"/>
    </row>
    <row r="2444" spans="3:3" ht="15">
      <c r="C2444" s="9"/>
    </row>
    <row r="2445" spans="3:3" ht="15">
      <c r="C2445" s="9"/>
    </row>
    <row r="2446" spans="3:3" ht="15">
      <c r="C2446" s="9"/>
    </row>
    <row r="2447" spans="3:3" ht="15">
      <c r="C2447" s="9"/>
    </row>
    <row r="2448" spans="3:3" ht="15">
      <c r="C2448" s="9"/>
    </row>
    <row r="2449" spans="3:3" ht="15">
      <c r="C2449" s="9"/>
    </row>
    <row r="2450" spans="3:3" ht="15">
      <c r="C2450" s="9"/>
    </row>
    <row r="2451" spans="3:3" ht="15">
      <c r="C2451" s="9"/>
    </row>
    <row r="2452" spans="3:3" ht="15">
      <c r="C2452" s="9"/>
    </row>
    <row r="2453" spans="3:3" ht="15">
      <c r="C2453" s="9"/>
    </row>
    <row r="2454" spans="3:3" ht="15">
      <c r="C2454" s="9"/>
    </row>
    <row r="2455" spans="3:3" ht="15">
      <c r="C2455" s="9"/>
    </row>
    <row r="2456" spans="3:3" ht="15">
      <c r="C2456" s="9"/>
    </row>
    <row r="2457" spans="3:3" ht="15">
      <c r="C2457" s="9"/>
    </row>
    <row r="2458" spans="3:3" ht="15">
      <c r="C2458" s="9"/>
    </row>
    <row r="2459" spans="3:3" ht="15">
      <c r="C2459" s="9"/>
    </row>
    <row r="2460" spans="3:3" ht="15">
      <c r="C2460" s="9"/>
    </row>
    <row r="2461" spans="3:3" ht="15">
      <c r="C2461" s="9"/>
    </row>
    <row r="2462" spans="3:3" ht="15">
      <c r="C2462" s="9"/>
    </row>
    <row r="2463" spans="3:3" ht="15">
      <c r="C2463" s="9"/>
    </row>
    <row r="2464" spans="3:3" ht="15">
      <c r="C2464" s="9"/>
    </row>
    <row r="2465" spans="3:3" ht="15">
      <c r="C2465" s="9"/>
    </row>
    <row r="2466" spans="3:3" ht="15">
      <c r="C2466" s="9"/>
    </row>
    <row r="2467" spans="3:3" ht="15">
      <c r="C2467" s="9"/>
    </row>
    <row r="2468" spans="3:3" ht="15">
      <c r="C2468" s="9"/>
    </row>
    <row r="2469" spans="3:3" ht="15">
      <c r="C2469" s="9"/>
    </row>
    <row r="2470" spans="3:3" ht="15">
      <c r="C2470" s="9"/>
    </row>
    <row r="2471" spans="3:3" ht="15">
      <c r="C2471" s="9"/>
    </row>
    <row r="2472" spans="3:3" ht="15">
      <c r="C2472" s="9"/>
    </row>
    <row r="2473" spans="3:3" ht="15">
      <c r="C2473" s="9"/>
    </row>
    <row r="2474" spans="3:3" ht="15">
      <c r="C2474" s="9"/>
    </row>
    <row r="2475" spans="3:3" ht="15">
      <c r="C2475" s="9"/>
    </row>
    <row r="2476" spans="3:3" ht="15">
      <c r="C2476" s="9"/>
    </row>
    <row r="2477" spans="3:3" ht="15">
      <c r="C2477" s="9"/>
    </row>
    <row r="2478" spans="3:3" ht="15">
      <c r="C2478" s="9"/>
    </row>
    <row r="2479" spans="3:3" ht="15">
      <c r="C2479" s="9"/>
    </row>
    <row r="2480" spans="3:3" ht="15">
      <c r="C2480" s="9"/>
    </row>
    <row r="2481" spans="3:3" ht="15">
      <c r="C2481" s="9"/>
    </row>
    <row r="2482" spans="3:3" ht="15">
      <c r="C2482" s="9"/>
    </row>
    <row r="2483" spans="3:3" ht="15">
      <c r="C2483" s="9"/>
    </row>
    <row r="2484" spans="3:3" ht="15">
      <c r="C2484" s="9"/>
    </row>
    <row r="2485" spans="3:3" ht="15">
      <c r="C2485" s="9"/>
    </row>
    <row r="2486" spans="3:3" ht="15">
      <c r="C2486" s="9"/>
    </row>
    <row r="2487" spans="3:3" ht="15">
      <c r="C2487" s="9"/>
    </row>
    <row r="2488" spans="3:3" ht="15">
      <c r="C2488" s="9"/>
    </row>
    <row r="2489" spans="3:3" ht="15">
      <c r="C2489" s="9"/>
    </row>
    <row r="2490" spans="3:3" ht="15">
      <c r="C2490" s="9"/>
    </row>
    <row r="2491" spans="3:3" ht="15">
      <c r="C2491" s="9"/>
    </row>
    <row r="2492" spans="3:3" ht="15">
      <c r="C2492" s="9"/>
    </row>
    <row r="2493" spans="3:3" ht="15">
      <c r="C2493" s="9"/>
    </row>
    <row r="2494" spans="3:3" ht="15">
      <c r="C2494" s="9"/>
    </row>
    <row r="2495" spans="3:3" ht="15">
      <c r="C2495" s="9"/>
    </row>
    <row r="2496" spans="3:3" ht="15">
      <c r="C2496" s="9"/>
    </row>
    <row r="2497" spans="3:3" ht="15">
      <c r="C2497" s="9"/>
    </row>
    <row r="2498" spans="3:3" ht="15">
      <c r="C2498" s="9"/>
    </row>
    <row r="2499" spans="3:3" ht="15">
      <c r="C2499" s="9"/>
    </row>
    <row r="2500" spans="3:3" ht="15">
      <c r="C2500" s="9"/>
    </row>
    <row r="2501" spans="3:3" ht="15">
      <c r="C2501" s="9"/>
    </row>
    <row r="2502" spans="3:3" ht="15">
      <c r="C2502" s="9"/>
    </row>
    <row r="2503" spans="3:3" ht="15">
      <c r="C2503" s="9"/>
    </row>
    <row r="2504" spans="3:3" ht="15">
      <c r="C2504" s="9"/>
    </row>
    <row r="2505" spans="3:3" ht="15">
      <c r="C2505" s="9"/>
    </row>
    <row r="2506" spans="3:3" ht="15">
      <c r="C2506" s="9"/>
    </row>
    <row r="2507" spans="3:3" ht="15">
      <c r="C2507" s="9"/>
    </row>
    <row r="2508" spans="3:3" ht="15">
      <c r="C2508" s="9"/>
    </row>
    <row r="2509" spans="3:3" ht="15">
      <c r="C2509" s="9"/>
    </row>
    <row r="2510" spans="3:3" ht="15">
      <c r="C2510" s="9"/>
    </row>
    <row r="2511" spans="3:3" ht="15">
      <c r="C2511" s="9"/>
    </row>
    <row r="2512" spans="3:3" ht="15">
      <c r="C2512" s="9"/>
    </row>
    <row r="2513" spans="3:3" ht="15">
      <c r="C2513" s="9"/>
    </row>
    <row r="2514" spans="3:3" ht="15">
      <c r="C2514" s="9"/>
    </row>
    <row r="2515" spans="3:3" ht="15">
      <c r="C2515" s="9"/>
    </row>
    <row r="2516" spans="3:3" ht="15">
      <c r="C2516" s="9"/>
    </row>
    <row r="2517" spans="3:3" ht="15">
      <c r="C2517" s="9"/>
    </row>
    <row r="2518" spans="3:3" ht="15">
      <c r="C2518" s="9"/>
    </row>
    <row r="2519" spans="3:3" ht="15">
      <c r="C2519" s="9"/>
    </row>
    <row r="2520" spans="3:3" ht="15">
      <c r="C2520" s="9"/>
    </row>
    <row r="2521" spans="3:3" ht="15">
      <c r="C2521" s="9"/>
    </row>
    <row r="2522" spans="3:3" ht="15">
      <c r="C2522" s="9"/>
    </row>
    <row r="2523" spans="3:3" ht="15">
      <c r="C2523" s="9"/>
    </row>
    <row r="2524" spans="3:3" ht="15">
      <c r="C2524" s="9"/>
    </row>
    <row r="2525" spans="3:3" ht="15">
      <c r="C2525" s="9"/>
    </row>
    <row r="2526" spans="3:3" ht="15">
      <c r="C2526" s="9"/>
    </row>
    <row r="2527" spans="3:3" ht="15">
      <c r="C2527" s="9"/>
    </row>
    <row r="2528" spans="3:3" ht="15">
      <c r="C2528" s="9"/>
    </row>
    <row r="2529" spans="3:3" ht="15">
      <c r="C2529" s="9"/>
    </row>
    <row r="2530" spans="3:3" ht="15">
      <c r="C2530" s="9"/>
    </row>
    <row r="2531" spans="3:3" ht="15">
      <c r="C2531" s="9"/>
    </row>
    <row r="2532" spans="3:3" ht="15">
      <c r="C2532" s="9"/>
    </row>
    <row r="2533" spans="3:3" ht="15">
      <c r="C2533" s="9"/>
    </row>
    <row r="2534" spans="3:3" ht="15">
      <c r="C2534" s="9"/>
    </row>
    <row r="2535" spans="3:3" ht="15">
      <c r="C2535" s="9"/>
    </row>
    <row r="2536" spans="3:3" ht="15">
      <c r="C2536" s="9"/>
    </row>
    <row r="2537" spans="3:3" ht="15">
      <c r="C2537" s="9"/>
    </row>
    <row r="2538" spans="3:3" ht="15">
      <c r="C2538" s="9"/>
    </row>
    <row r="2539" spans="3:3" ht="15">
      <c r="C2539" s="9"/>
    </row>
    <row r="2540" spans="3:3" ht="15">
      <c r="C2540" s="9"/>
    </row>
    <row r="2541" spans="3:3" ht="15">
      <c r="C2541" s="9"/>
    </row>
    <row r="2542" spans="3:3" ht="15">
      <c r="C2542" s="9"/>
    </row>
    <row r="2543" spans="3:3" ht="15">
      <c r="C2543" s="9"/>
    </row>
    <row r="2544" spans="3:3" ht="15">
      <c r="C2544" s="9"/>
    </row>
    <row r="2545" spans="3:3" ht="15">
      <c r="C2545" s="9"/>
    </row>
    <row r="2546" spans="3:3" ht="15">
      <c r="C2546" s="9"/>
    </row>
    <row r="2547" spans="3:3" ht="15">
      <c r="C2547" s="9"/>
    </row>
    <row r="2548" spans="3:3" ht="15">
      <c r="C2548" s="9"/>
    </row>
    <row r="2549" spans="3:3" ht="15">
      <c r="C2549" s="9"/>
    </row>
    <row r="2550" spans="3:3" ht="15">
      <c r="C2550" s="9"/>
    </row>
    <row r="2551" spans="3:3" ht="15">
      <c r="C2551" s="9"/>
    </row>
    <row r="2552" spans="3:3" ht="15">
      <c r="C2552" s="9"/>
    </row>
    <row r="2553" spans="3:3" ht="15">
      <c r="C2553" s="9"/>
    </row>
    <row r="2554" spans="3:3" ht="15">
      <c r="C2554" s="9"/>
    </row>
    <row r="2555" spans="3:3" ht="15">
      <c r="C2555" s="9"/>
    </row>
    <row r="2556" spans="3:3" ht="15">
      <c r="C2556" s="9"/>
    </row>
    <row r="2557" spans="3:3" ht="15">
      <c r="C2557" s="9"/>
    </row>
    <row r="2558" spans="3:3" ht="15">
      <c r="C2558" s="9"/>
    </row>
    <row r="2559" spans="3:3" ht="15">
      <c r="C2559" s="9"/>
    </row>
    <row r="2560" spans="3:3" ht="15">
      <c r="C2560" s="9"/>
    </row>
    <row r="2561" spans="3:3" ht="15">
      <c r="C2561" s="9"/>
    </row>
    <row r="2562" spans="3:3" ht="15">
      <c r="C2562" s="9"/>
    </row>
    <row r="2563" spans="3:3" ht="15">
      <c r="C2563" s="9"/>
    </row>
    <row r="2564" spans="3:3" ht="15">
      <c r="C2564" s="9"/>
    </row>
    <row r="2565" spans="3:3" ht="15">
      <c r="C2565" s="9"/>
    </row>
    <row r="2566" spans="3:3" ht="15">
      <c r="C2566" s="9"/>
    </row>
    <row r="2567" spans="3:3" ht="15">
      <c r="C2567" s="9"/>
    </row>
    <row r="2568" spans="3:3" ht="15">
      <c r="C2568" s="9"/>
    </row>
    <row r="2569" spans="3:3" ht="15">
      <c r="C2569" s="9"/>
    </row>
    <row r="2570" spans="3:3" ht="15">
      <c r="C2570" s="9"/>
    </row>
    <row r="2571" spans="3:3" ht="15">
      <c r="C2571" s="9"/>
    </row>
    <row r="2572" spans="3:3" ht="15">
      <c r="C2572" s="9"/>
    </row>
    <row r="2573" spans="3:3" ht="15">
      <c r="C2573" s="9"/>
    </row>
    <row r="2574" spans="3:3" ht="15">
      <c r="C2574" s="9"/>
    </row>
    <row r="2575" spans="3:3" ht="15">
      <c r="C2575" s="9"/>
    </row>
    <row r="2576" spans="3:3" ht="15">
      <c r="C2576" s="9"/>
    </row>
    <row r="2577" spans="3:3" ht="15">
      <c r="C2577" s="9"/>
    </row>
    <row r="2578" spans="3:3" ht="15">
      <c r="C2578" s="9"/>
    </row>
    <row r="2579" spans="3:3" ht="15">
      <c r="C2579" s="9"/>
    </row>
    <row r="2580" spans="3:3" ht="15">
      <c r="C2580" s="9"/>
    </row>
    <row r="2581" spans="3:3" ht="15">
      <c r="C2581" s="9"/>
    </row>
    <row r="2582" spans="3:3" ht="15">
      <c r="C2582" s="9"/>
    </row>
    <row r="2583" spans="3:3" ht="15">
      <c r="C2583" s="9"/>
    </row>
    <row r="2584" spans="3:3" ht="15">
      <c r="C2584" s="9"/>
    </row>
    <row r="2585" spans="3:3" ht="15">
      <c r="C2585" s="9"/>
    </row>
    <row r="2586" spans="3:3" ht="15">
      <c r="C2586" s="9"/>
    </row>
    <row r="2587" spans="3:3" ht="15">
      <c r="C2587" s="9"/>
    </row>
    <row r="2588" spans="3:3" ht="15">
      <c r="C2588" s="9"/>
    </row>
    <row r="2589" spans="3:3" ht="15">
      <c r="C2589" s="9"/>
    </row>
    <row r="2590" spans="3:3" ht="15">
      <c r="C2590" s="9"/>
    </row>
    <row r="2591" spans="3:3" ht="15">
      <c r="C2591" s="9"/>
    </row>
    <row r="2592" spans="3:3" ht="15">
      <c r="C2592" s="9"/>
    </row>
    <row r="2593" spans="3:3" ht="15">
      <c r="C2593" s="9"/>
    </row>
    <row r="2594" spans="3:3" ht="15">
      <c r="C2594" s="9"/>
    </row>
    <row r="2595" spans="3:3" ht="15">
      <c r="C2595" s="9"/>
    </row>
    <row r="2596" spans="3:3" ht="15">
      <c r="C2596" s="9"/>
    </row>
    <row r="2597" spans="3:3" ht="15">
      <c r="C2597" s="9"/>
    </row>
    <row r="2598" spans="3:3" ht="15">
      <c r="C2598" s="9"/>
    </row>
    <row r="2599" spans="3:3" ht="15">
      <c r="C2599" s="9"/>
    </row>
    <row r="2600" spans="3:3" ht="15">
      <c r="C2600" s="9"/>
    </row>
    <row r="2601" spans="3:3" ht="15">
      <c r="C2601" s="9"/>
    </row>
    <row r="2602" spans="3:3" ht="15">
      <c r="C2602" s="9"/>
    </row>
    <row r="2603" spans="3:3" ht="15">
      <c r="C2603" s="9"/>
    </row>
    <row r="2604" spans="3:3" ht="15">
      <c r="C2604" s="9"/>
    </row>
    <row r="2605" spans="3:3" ht="15">
      <c r="C2605" s="9"/>
    </row>
    <row r="2606" spans="3:3" ht="15">
      <c r="C2606" s="9"/>
    </row>
    <row r="2607" spans="3:3" ht="15">
      <c r="C2607" s="9"/>
    </row>
    <row r="2608" spans="3:3" ht="15">
      <c r="C2608" s="9"/>
    </row>
    <row r="2609" spans="3:3" ht="15">
      <c r="C2609" s="9"/>
    </row>
    <row r="2610" spans="3:3" ht="15">
      <c r="C2610" s="9"/>
    </row>
    <row r="2611" spans="3:3" ht="15">
      <c r="C2611" s="9"/>
    </row>
    <row r="2612" spans="3:3" ht="15">
      <c r="C2612" s="9"/>
    </row>
    <row r="2613" spans="3:3" ht="15">
      <c r="C2613" s="9"/>
    </row>
    <row r="2614" spans="3:3" ht="15">
      <c r="C2614" s="9"/>
    </row>
    <row r="2615" spans="3:3" ht="15">
      <c r="C2615" s="9"/>
    </row>
    <row r="2616" spans="3:3" ht="15">
      <c r="C2616" s="9"/>
    </row>
    <row r="2617" spans="3:3" ht="15">
      <c r="C2617" s="9"/>
    </row>
    <row r="2618" spans="3:3" ht="15">
      <c r="C2618" s="9"/>
    </row>
    <row r="2619" spans="3:3" ht="15">
      <c r="C2619" s="9"/>
    </row>
    <row r="2620" spans="3:3" ht="15">
      <c r="C2620" s="9"/>
    </row>
    <row r="2621" spans="3:3" ht="15">
      <c r="C2621" s="9"/>
    </row>
    <row r="2622" spans="3:3" ht="15">
      <c r="C2622" s="9"/>
    </row>
    <row r="2623" spans="3:3" ht="15">
      <c r="C2623" s="9"/>
    </row>
    <row r="2624" spans="3:3" ht="15">
      <c r="C2624" s="9"/>
    </row>
    <row r="2625" spans="3:3" ht="15">
      <c r="C2625" s="9"/>
    </row>
    <row r="2626" spans="3:3" ht="15">
      <c r="C2626" s="9"/>
    </row>
    <row r="2627" spans="3:3" ht="15">
      <c r="C2627" s="9"/>
    </row>
    <row r="2628" spans="3:3" ht="15">
      <c r="C2628" s="9"/>
    </row>
    <row r="2629" spans="3:3" ht="15">
      <c r="C2629" s="9"/>
    </row>
    <row r="2630" spans="3:3" ht="15">
      <c r="C2630" s="9"/>
    </row>
    <row r="2631" spans="3:3" ht="15">
      <c r="C2631" s="9"/>
    </row>
    <row r="2632" spans="3:3" ht="15">
      <c r="C2632" s="9"/>
    </row>
    <row r="2633" spans="3:3" ht="15">
      <c r="C2633" s="9"/>
    </row>
    <row r="2634" spans="3:3" ht="15">
      <c r="C2634" s="9"/>
    </row>
    <row r="2635" spans="3:3" ht="15">
      <c r="C2635" s="9"/>
    </row>
    <row r="2636" spans="3:3" ht="15">
      <c r="C2636" s="9"/>
    </row>
    <row r="2637" spans="3:3" ht="15">
      <c r="C2637" s="9"/>
    </row>
    <row r="2638" spans="3:3" ht="15">
      <c r="C2638" s="9"/>
    </row>
    <row r="2639" spans="3:3" ht="15">
      <c r="C2639" s="9"/>
    </row>
    <row r="2640" spans="3:3" ht="15">
      <c r="C2640" s="9"/>
    </row>
    <row r="2641" spans="3:3" ht="15">
      <c r="C2641" s="9"/>
    </row>
    <row r="2642" spans="3:3" ht="15">
      <c r="C2642" s="9"/>
    </row>
    <row r="2643" spans="3:3" ht="15">
      <c r="C2643" s="9"/>
    </row>
    <row r="2644" spans="3:3" ht="15">
      <c r="C2644" s="9"/>
    </row>
    <row r="2645" spans="3:3" ht="15">
      <c r="C2645" s="9"/>
    </row>
    <row r="2646" spans="3:3" ht="15">
      <c r="C2646" s="9"/>
    </row>
    <row r="2647" spans="3:3" ht="15">
      <c r="C2647" s="9"/>
    </row>
    <row r="2648" spans="3:3" ht="15">
      <c r="C2648" s="9"/>
    </row>
    <row r="2649" spans="3:3" ht="15">
      <c r="C2649" s="9"/>
    </row>
    <row r="2650" spans="3:3" ht="15">
      <c r="C2650" s="9"/>
    </row>
    <row r="2651" spans="3:3" ht="15">
      <c r="C2651" s="9"/>
    </row>
    <row r="2652" spans="3:3" ht="15">
      <c r="C2652" s="9"/>
    </row>
    <row r="2653" spans="3:3" ht="15">
      <c r="C2653" s="9"/>
    </row>
    <row r="2654" spans="3:3" ht="15">
      <c r="C2654" s="9"/>
    </row>
    <row r="2655" spans="3:3" ht="15">
      <c r="C2655" s="9"/>
    </row>
    <row r="2656" spans="3:3" ht="15">
      <c r="C2656" s="9"/>
    </row>
    <row r="2657" spans="3:3" ht="15">
      <c r="C2657" s="9"/>
    </row>
    <row r="2658" spans="3:3" ht="15">
      <c r="C2658" s="9"/>
    </row>
    <row r="2659" spans="3:3" ht="15">
      <c r="C2659" s="9"/>
    </row>
    <row r="2660" spans="3:3" ht="15">
      <c r="C2660" s="9"/>
    </row>
    <row r="2661" spans="3:3" ht="15">
      <c r="C2661" s="9"/>
    </row>
    <row r="2662" spans="3:3" ht="15">
      <c r="C2662" s="9"/>
    </row>
    <row r="2663" spans="3:3" ht="15">
      <c r="C2663" s="9"/>
    </row>
    <row r="2664" spans="3:3" ht="15">
      <c r="C2664" s="9"/>
    </row>
    <row r="2665" spans="3:3" ht="15">
      <c r="C2665" s="9"/>
    </row>
    <row r="2666" spans="3:3" ht="15">
      <c r="C2666" s="9"/>
    </row>
    <row r="2667" spans="3:3" ht="15">
      <c r="C2667" s="9"/>
    </row>
    <row r="2668" spans="3:3" ht="15">
      <c r="C2668" s="9"/>
    </row>
    <row r="2669" spans="3:3" ht="15">
      <c r="C2669" s="9"/>
    </row>
    <row r="2670" spans="3:3" ht="15">
      <c r="C2670" s="9"/>
    </row>
    <row r="2671" spans="3:3" ht="15">
      <c r="C2671" s="9"/>
    </row>
    <row r="2672" spans="3:3" ht="15">
      <c r="C2672" s="9"/>
    </row>
    <row r="2673" spans="3:3" ht="15">
      <c r="C2673" s="9"/>
    </row>
    <row r="2674" spans="3:3" ht="15">
      <c r="C2674" s="9"/>
    </row>
    <row r="2675" spans="3:3" ht="15">
      <c r="C2675" s="9"/>
    </row>
    <row r="2676" spans="3:3" ht="15">
      <c r="C2676" s="9"/>
    </row>
    <row r="2677" spans="3:3" ht="15">
      <c r="C2677" s="9"/>
    </row>
    <row r="2678" spans="3:3" ht="15">
      <c r="C2678" s="9"/>
    </row>
    <row r="2679" spans="3:3" ht="15">
      <c r="C2679" s="9"/>
    </row>
    <row r="2680" spans="3:3" ht="15">
      <c r="C2680" s="9"/>
    </row>
    <row r="2681" spans="3:3" ht="15">
      <c r="C2681" s="9"/>
    </row>
    <row r="2682" spans="3:3" ht="15">
      <c r="C2682" s="9"/>
    </row>
    <row r="2683" spans="3:3" ht="15">
      <c r="C2683" s="9"/>
    </row>
    <row r="2684" spans="3:3" ht="15">
      <c r="C2684" s="9"/>
    </row>
    <row r="2685" spans="3:3" ht="15">
      <c r="C2685" s="9"/>
    </row>
    <row r="2686" spans="3:3" ht="15">
      <c r="C2686" s="9"/>
    </row>
    <row r="2687" spans="3:3" ht="15">
      <c r="C2687" s="9"/>
    </row>
    <row r="2688" spans="3:3" ht="15">
      <c r="C2688" s="9"/>
    </row>
    <row r="2689" spans="3:3" ht="15">
      <c r="C2689" s="9"/>
    </row>
    <row r="2690" spans="3:3" ht="15">
      <c r="C2690" s="9"/>
    </row>
    <row r="2691" spans="3:3" ht="15">
      <c r="C2691" s="9"/>
    </row>
    <row r="2692" spans="3:3" ht="15">
      <c r="C2692" s="9"/>
    </row>
    <row r="2693" spans="3:3" ht="15">
      <c r="C2693" s="9"/>
    </row>
    <row r="2694" spans="3:3" ht="15">
      <c r="C2694" s="9"/>
    </row>
    <row r="2695" spans="3:3" ht="15">
      <c r="C2695" s="9"/>
    </row>
    <row r="2696" spans="3:3" ht="15">
      <c r="C2696" s="9"/>
    </row>
    <row r="2697" spans="3:3" ht="15">
      <c r="C2697" s="9"/>
    </row>
    <row r="2698" spans="3:3" ht="15">
      <c r="C2698" s="9"/>
    </row>
    <row r="2699" spans="3:3" ht="15">
      <c r="C2699" s="9"/>
    </row>
    <row r="2700" spans="3:3" ht="15">
      <c r="C2700" s="9"/>
    </row>
    <row r="2701" spans="3:3" ht="15">
      <c r="C2701" s="9"/>
    </row>
    <row r="2702" spans="3:3" ht="15">
      <c r="C2702" s="9"/>
    </row>
    <row r="2703" spans="3:3" ht="15">
      <c r="C2703" s="9"/>
    </row>
    <row r="2704" spans="3:3" ht="15">
      <c r="C2704" s="9"/>
    </row>
    <row r="2705" spans="3:3" ht="15">
      <c r="C2705" s="9"/>
    </row>
    <row r="2706" spans="3:3" ht="15">
      <c r="C2706" s="9"/>
    </row>
    <row r="2707" spans="3:3" ht="15">
      <c r="C2707" s="9"/>
    </row>
    <row r="2708" spans="3:3" ht="15">
      <c r="C2708" s="9"/>
    </row>
    <row r="2709" spans="3:3" ht="15">
      <c r="C2709" s="9"/>
    </row>
    <row r="2710" spans="3:3" ht="15">
      <c r="C2710" s="9"/>
    </row>
    <row r="2711" spans="3:3" ht="15">
      <c r="C2711" s="9"/>
    </row>
    <row r="2712" spans="3:3" ht="15">
      <c r="C2712" s="9"/>
    </row>
    <row r="2713" spans="3:3" ht="15">
      <c r="C2713" s="9"/>
    </row>
    <row r="2714" spans="3:3" ht="15">
      <c r="C2714" s="9"/>
    </row>
    <row r="2715" spans="3:3" ht="15">
      <c r="C2715" s="9"/>
    </row>
    <row r="2716" spans="3:3" ht="15">
      <c r="C2716" s="9"/>
    </row>
    <row r="2717" spans="3:3" ht="15">
      <c r="C2717" s="9"/>
    </row>
    <row r="2718" spans="3:3" ht="15">
      <c r="C2718" s="9"/>
    </row>
    <row r="2719" spans="3:3" ht="15">
      <c r="C2719" s="9"/>
    </row>
    <row r="2720" spans="3:3" ht="15">
      <c r="C2720" s="9"/>
    </row>
    <row r="2721" spans="3:3" ht="15">
      <c r="C2721" s="9"/>
    </row>
    <row r="2722" spans="3:3" ht="15">
      <c r="C2722" s="9"/>
    </row>
    <row r="2723" spans="3:3" ht="15">
      <c r="C2723" s="9"/>
    </row>
    <row r="2724" spans="3:3" ht="15">
      <c r="C2724" s="9"/>
    </row>
    <row r="2725" spans="3:3" ht="15">
      <c r="C2725" s="9"/>
    </row>
    <row r="2726" spans="3:3" ht="15">
      <c r="C2726" s="9"/>
    </row>
    <row r="2727" spans="3:3" ht="15">
      <c r="C2727" s="9"/>
    </row>
    <row r="2728" spans="3:3" ht="15">
      <c r="C2728" s="9"/>
    </row>
    <row r="2729" spans="3:3" ht="15">
      <c r="C2729" s="9"/>
    </row>
    <row r="2730" spans="3:3" ht="15">
      <c r="C2730" s="9"/>
    </row>
    <row r="2731" spans="3:3" ht="15">
      <c r="C2731" s="9"/>
    </row>
    <row r="2732" spans="3:3" ht="15">
      <c r="C2732" s="9"/>
    </row>
    <row r="2733" spans="3:3" ht="15">
      <c r="C2733" s="9"/>
    </row>
    <row r="2734" spans="3:3" ht="15">
      <c r="C2734" s="9"/>
    </row>
    <row r="2735" spans="3:3" ht="15">
      <c r="C2735" s="9"/>
    </row>
    <row r="2736" spans="3:3" ht="15">
      <c r="C2736" s="9"/>
    </row>
    <row r="2737" spans="3:3" ht="15">
      <c r="C2737" s="9"/>
    </row>
    <row r="2738" spans="3:3" ht="15">
      <c r="C2738" s="9"/>
    </row>
    <row r="2739" spans="3:3" ht="15">
      <c r="C2739" s="9"/>
    </row>
    <row r="2740" spans="3:3" ht="15">
      <c r="C2740" s="9"/>
    </row>
    <row r="2741" spans="3:3" ht="15">
      <c r="C2741" s="9"/>
    </row>
    <row r="2742" spans="3:3" ht="15">
      <c r="C2742" s="9"/>
    </row>
    <row r="2743" spans="3:3" ht="15">
      <c r="C2743" s="9"/>
    </row>
    <row r="2744" spans="3:3" ht="15">
      <c r="C2744" s="9"/>
    </row>
    <row r="2745" spans="3:3" ht="15">
      <c r="C2745" s="9"/>
    </row>
    <row r="2746" spans="3:3" ht="15">
      <c r="C2746" s="9"/>
    </row>
    <row r="2747" spans="3:3" ht="15">
      <c r="C2747" s="9"/>
    </row>
    <row r="2748" spans="3:3" ht="15">
      <c r="C2748" s="9"/>
    </row>
    <row r="2749" spans="3:3" ht="15">
      <c r="C2749" s="9"/>
    </row>
    <row r="2750" spans="3:3" ht="15">
      <c r="C2750" s="9"/>
    </row>
    <row r="2751" spans="3:3" ht="15">
      <c r="C2751" s="9"/>
    </row>
    <row r="2752" spans="3:3" ht="15">
      <c r="C2752" s="9"/>
    </row>
    <row r="2753" spans="3:3" ht="15">
      <c r="C2753" s="9"/>
    </row>
    <row r="2754" spans="3:3" ht="15">
      <c r="C2754" s="9"/>
    </row>
    <row r="2755" spans="3:3" ht="15">
      <c r="C2755" s="9"/>
    </row>
    <row r="2756" spans="3:3" ht="15">
      <c r="C2756" s="9"/>
    </row>
    <row r="2757" spans="3:3" ht="15">
      <c r="C2757" s="9"/>
    </row>
    <row r="2758" spans="3:3" ht="15">
      <c r="C2758" s="9"/>
    </row>
    <row r="2759" spans="3:3" ht="15">
      <c r="C2759" s="9"/>
    </row>
    <row r="2760" spans="3:3" ht="15">
      <c r="C2760" s="9"/>
    </row>
    <row r="2761" spans="3:3" ht="15">
      <c r="C2761" s="9"/>
    </row>
    <row r="2762" spans="3:3" ht="15">
      <c r="C2762" s="9"/>
    </row>
    <row r="2763" spans="3:3" ht="15">
      <c r="C2763" s="9"/>
    </row>
    <row r="2764" spans="3:3" ht="15">
      <c r="C2764" s="9"/>
    </row>
    <row r="2765" spans="3:3" ht="15">
      <c r="C2765" s="9"/>
    </row>
    <row r="2766" spans="3:3" ht="15">
      <c r="C2766" s="9"/>
    </row>
    <row r="2767" spans="3:3" ht="15">
      <c r="C2767" s="9"/>
    </row>
    <row r="2768" spans="3:3" ht="15">
      <c r="C2768" s="9"/>
    </row>
    <row r="2769" spans="3:3" ht="15">
      <c r="C2769" s="9"/>
    </row>
    <row r="2770" spans="3:3" ht="15">
      <c r="C2770" s="9"/>
    </row>
    <row r="2771" spans="3:3" ht="15">
      <c r="C2771" s="9"/>
    </row>
    <row r="2772" spans="3:3" ht="15">
      <c r="C2772" s="9"/>
    </row>
    <row r="2773" spans="3:3" ht="15">
      <c r="C2773" s="9"/>
    </row>
    <row r="2774" spans="3:3" ht="15">
      <c r="C2774" s="9"/>
    </row>
    <row r="2775" spans="3:3" ht="15">
      <c r="C2775" s="9"/>
    </row>
    <row r="2776" spans="3:3" ht="15">
      <c r="C2776" s="9"/>
    </row>
    <row r="2777" spans="3:3" ht="15">
      <c r="C2777" s="9"/>
    </row>
    <row r="2778" spans="3:3" ht="15">
      <c r="C2778" s="9"/>
    </row>
    <row r="2779" spans="3:3" ht="15">
      <c r="C2779" s="9"/>
    </row>
    <row r="2780" spans="3:3" ht="15">
      <c r="C2780" s="9"/>
    </row>
    <row r="2781" spans="3:3" ht="15">
      <c r="C2781" s="9"/>
    </row>
    <row r="2782" spans="3:3" ht="15">
      <c r="C2782" s="9"/>
    </row>
    <row r="2783" spans="3:3" ht="15">
      <c r="C2783" s="9"/>
    </row>
    <row r="2784" spans="3:3" ht="15">
      <c r="C2784" s="9"/>
    </row>
    <row r="2785" spans="3:3" ht="15">
      <c r="C2785" s="9"/>
    </row>
    <row r="2786" spans="3:3" ht="15">
      <c r="C2786" s="9"/>
    </row>
    <row r="2787" spans="3:3" ht="15">
      <c r="C2787" s="9"/>
    </row>
    <row r="2788" spans="3:3" ht="15">
      <c r="C2788" s="9"/>
    </row>
    <row r="2789" spans="3:3" ht="15">
      <c r="C2789" s="9"/>
    </row>
    <row r="2790" spans="3:3" ht="15">
      <c r="C2790" s="9"/>
    </row>
    <row r="2791" spans="3:3" ht="15">
      <c r="C2791" s="9"/>
    </row>
    <row r="2792" spans="3:3" ht="15">
      <c r="C2792" s="9"/>
    </row>
    <row r="2793" spans="3:3" ht="15">
      <c r="C2793" s="9"/>
    </row>
    <row r="2794" spans="3:3" ht="15">
      <c r="C2794" s="9"/>
    </row>
    <row r="2795" spans="3:3" ht="15">
      <c r="C2795" s="9"/>
    </row>
    <row r="2796" spans="3:3" ht="15">
      <c r="C2796" s="9"/>
    </row>
    <row r="2797" spans="3:3" ht="15">
      <c r="C2797" s="9"/>
    </row>
    <row r="2798" spans="3:3" ht="15">
      <c r="C2798" s="9"/>
    </row>
    <row r="2799" spans="3:3" ht="15">
      <c r="C2799" s="9"/>
    </row>
    <row r="2800" spans="3:3" ht="15">
      <c r="C2800" s="9"/>
    </row>
    <row r="2801" spans="3:3" ht="15">
      <c r="C2801" s="9"/>
    </row>
    <row r="2802" spans="3:3" ht="15">
      <c r="C2802" s="9"/>
    </row>
    <row r="2803" spans="3:3" ht="15">
      <c r="C2803" s="9"/>
    </row>
    <row r="2804" spans="3:3" ht="15">
      <c r="C2804" s="9"/>
    </row>
    <row r="2805" spans="3:3" ht="15">
      <c r="C2805" s="9"/>
    </row>
    <row r="2806" spans="3:3" ht="15">
      <c r="C2806" s="9"/>
    </row>
    <row r="2807" spans="3:3" ht="15">
      <c r="C2807" s="9"/>
    </row>
    <row r="2808" spans="3:3" ht="15">
      <c r="C2808" s="9"/>
    </row>
    <row r="2809" spans="3:3" ht="15">
      <c r="C2809" s="9"/>
    </row>
    <row r="2810" spans="3:3" ht="15">
      <c r="C2810" s="9"/>
    </row>
    <row r="2811" spans="3:3" ht="15">
      <c r="C2811" s="9"/>
    </row>
    <row r="2812" spans="3:3" ht="15">
      <c r="C2812" s="9"/>
    </row>
    <row r="2813" spans="3:3" ht="15">
      <c r="C2813" s="9"/>
    </row>
    <row r="2814" spans="3:3" ht="15">
      <c r="C2814" s="9"/>
    </row>
    <row r="2815" spans="3:3" ht="15">
      <c r="C2815" s="9"/>
    </row>
    <row r="2816" spans="3:3" ht="15">
      <c r="C2816" s="9"/>
    </row>
    <row r="2817" spans="3:3" ht="15">
      <c r="C2817" s="9"/>
    </row>
    <row r="2818" spans="3:3" ht="15">
      <c r="C2818" s="9"/>
    </row>
    <row r="2819" spans="3:3" ht="15">
      <c r="C2819" s="9"/>
    </row>
    <row r="2820" spans="3:3" ht="15">
      <c r="C2820" s="9"/>
    </row>
    <row r="2821" spans="3:3" ht="15">
      <c r="C2821" s="9"/>
    </row>
    <row r="2822" spans="3:3" ht="15">
      <c r="C2822" s="9"/>
    </row>
    <row r="2823" spans="3:3" ht="15">
      <c r="C2823" s="9"/>
    </row>
    <row r="2824" spans="3:3" ht="15">
      <c r="C2824" s="9"/>
    </row>
    <row r="2825" spans="3:3" ht="15">
      <c r="C2825" s="9"/>
    </row>
    <row r="2826" spans="3:3" ht="15">
      <c r="C2826" s="9"/>
    </row>
    <row r="2827" spans="3:3" ht="15">
      <c r="C2827" s="9"/>
    </row>
    <row r="2828" spans="3:3" ht="15">
      <c r="C2828" s="9"/>
    </row>
    <row r="2829" spans="3:3" ht="15">
      <c r="C2829" s="9"/>
    </row>
    <row r="2830" spans="3:3" ht="15">
      <c r="C2830" s="9"/>
    </row>
    <row r="2831" spans="3:3" ht="15">
      <c r="C2831" s="9"/>
    </row>
    <row r="2832" spans="3:3" ht="15">
      <c r="C2832" s="9"/>
    </row>
    <row r="2833" spans="3:3" ht="15">
      <c r="C2833" s="9"/>
    </row>
    <row r="2834" spans="3:3" ht="15">
      <c r="C2834" s="9"/>
    </row>
    <row r="2835" spans="3:3" ht="15">
      <c r="C2835" s="9"/>
    </row>
    <row r="2836" spans="3:3" ht="15">
      <c r="C2836" s="9"/>
    </row>
    <row r="2837" spans="3:3" ht="15">
      <c r="C2837" s="9"/>
    </row>
    <row r="2838" spans="3:3" ht="15">
      <c r="C2838" s="9"/>
    </row>
    <row r="2839" spans="3:3" ht="15">
      <c r="C2839" s="9"/>
    </row>
    <row r="2840" spans="3:3" ht="15">
      <c r="C2840" s="9"/>
    </row>
    <row r="2841" spans="3:3" ht="15">
      <c r="C2841" s="9"/>
    </row>
    <row r="2842" spans="3:3" ht="15">
      <c r="C2842" s="9"/>
    </row>
    <row r="2843" spans="3:3" ht="15">
      <c r="C2843" s="9"/>
    </row>
    <row r="2844" spans="3:3" ht="15">
      <c r="C2844" s="9"/>
    </row>
    <row r="2845" spans="3:3" ht="15">
      <c r="C2845" s="9"/>
    </row>
    <row r="2846" spans="3:3" ht="15">
      <c r="C2846" s="9"/>
    </row>
    <row r="2847" spans="3:3" ht="15">
      <c r="C2847" s="9"/>
    </row>
    <row r="2848" spans="3:3" ht="15">
      <c r="C2848" s="9"/>
    </row>
    <row r="2849" spans="3:3" ht="15">
      <c r="C2849" s="9"/>
    </row>
    <row r="2850" spans="3:3" ht="15">
      <c r="C2850" s="9"/>
    </row>
    <row r="2851" spans="3:3" ht="15">
      <c r="C2851" s="9"/>
    </row>
    <row r="2852" spans="3:3" ht="15">
      <c r="C2852" s="9"/>
    </row>
    <row r="2853" spans="3:3" ht="15">
      <c r="C2853" s="9"/>
    </row>
    <row r="2854" spans="3:3" ht="15">
      <c r="C2854" s="9"/>
    </row>
    <row r="2855" spans="3:3" ht="15">
      <c r="C2855" s="9"/>
    </row>
    <row r="2856" spans="3:3" ht="15">
      <c r="C2856" s="9"/>
    </row>
    <row r="2857" spans="3:3" ht="15">
      <c r="C2857" s="9"/>
    </row>
    <row r="2858" spans="3:3" ht="15">
      <c r="C2858" s="9"/>
    </row>
    <row r="2859" spans="3:3" ht="15">
      <c r="C2859" s="9"/>
    </row>
    <row r="2860" spans="3:3" ht="15">
      <c r="C2860" s="9"/>
    </row>
    <row r="2861" spans="3:3" ht="15">
      <c r="C2861" s="9"/>
    </row>
    <row r="2862" spans="3:3" ht="15">
      <c r="C2862" s="9"/>
    </row>
    <row r="2863" spans="3:3" ht="15">
      <c r="C2863" s="9"/>
    </row>
    <row r="2864" spans="3:3" ht="15">
      <c r="C2864" s="9"/>
    </row>
    <row r="2865" spans="3:3" ht="15">
      <c r="C2865" s="9"/>
    </row>
    <row r="2866" spans="3:3" ht="15">
      <c r="C2866" s="9"/>
    </row>
    <row r="2867" spans="3:3" ht="15">
      <c r="C2867" s="9"/>
    </row>
    <row r="2868" spans="3:3" ht="15">
      <c r="C2868" s="9"/>
    </row>
    <row r="2869" spans="3:3" ht="15">
      <c r="C2869" s="9"/>
    </row>
    <row r="2870" spans="3:3" ht="15">
      <c r="C2870" s="9"/>
    </row>
    <row r="2871" spans="3:3" ht="15">
      <c r="C2871" s="9"/>
    </row>
    <row r="2872" spans="3:3" ht="15">
      <c r="C2872" s="9"/>
    </row>
    <row r="2873" spans="3:3" ht="15">
      <c r="C2873" s="9"/>
    </row>
    <row r="2874" spans="3:3" ht="15">
      <c r="C2874" s="9"/>
    </row>
    <row r="2875" spans="3:3" ht="15">
      <c r="C2875" s="9"/>
    </row>
    <row r="2876" spans="3:3" ht="15">
      <c r="C2876" s="9"/>
    </row>
    <row r="2877" spans="3:3" ht="15">
      <c r="C2877" s="9"/>
    </row>
    <row r="2878" spans="3:3" ht="15">
      <c r="C2878" s="9"/>
    </row>
    <row r="2879" spans="3:3" ht="15">
      <c r="C2879" s="9"/>
    </row>
    <row r="2880" spans="3:3" ht="15">
      <c r="C2880" s="9"/>
    </row>
    <row r="2881" spans="3:3" ht="15">
      <c r="C2881" s="9"/>
    </row>
    <row r="2882" spans="3:3" ht="15">
      <c r="C2882" s="9"/>
    </row>
    <row r="2883" spans="3:3" ht="15">
      <c r="C2883" s="9"/>
    </row>
    <row r="2884" spans="3:3" ht="15">
      <c r="C2884" s="9"/>
    </row>
    <row r="2885" spans="3:3" ht="15">
      <c r="C2885" s="9"/>
    </row>
    <row r="2886" spans="3:3" ht="15">
      <c r="C2886" s="9"/>
    </row>
    <row r="2887" spans="3:3" ht="15">
      <c r="C2887" s="9"/>
    </row>
    <row r="2888" spans="3:3" ht="15">
      <c r="C2888" s="9"/>
    </row>
    <row r="2889" spans="3:3" ht="15">
      <c r="C2889" s="9"/>
    </row>
    <row r="2890" spans="3:3" ht="15">
      <c r="C2890" s="9"/>
    </row>
    <row r="2891" spans="3:3" ht="15">
      <c r="C2891" s="9"/>
    </row>
    <row r="2892" spans="3:3" ht="15">
      <c r="C2892" s="9"/>
    </row>
    <row r="2893" spans="3:3" ht="15">
      <c r="C2893" s="9"/>
    </row>
    <row r="2894" spans="3:3" ht="15">
      <c r="C2894" s="9"/>
    </row>
    <row r="2895" spans="3:3" ht="15">
      <c r="C2895" s="9"/>
    </row>
    <row r="2896" spans="3:3" ht="15">
      <c r="C2896" s="9"/>
    </row>
    <row r="2897" spans="3:3" ht="15">
      <c r="C2897" s="9"/>
    </row>
    <row r="2898" spans="3:3" ht="15">
      <c r="C2898" s="9"/>
    </row>
    <row r="2899" spans="3:3" ht="15">
      <c r="C2899" s="9"/>
    </row>
    <row r="2900" spans="3:3" ht="15">
      <c r="C2900" s="9"/>
    </row>
    <row r="2901" spans="3:3" ht="15">
      <c r="C2901" s="9"/>
    </row>
    <row r="2902" spans="3:3" ht="15">
      <c r="C2902" s="9"/>
    </row>
    <row r="2903" spans="3:3" ht="15">
      <c r="C2903" s="9"/>
    </row>
    <row r="2904" spans="3:3" ht="15">
      <c r="C2904" s="9"/>
    </row>
    <row r="2905" spans="3:3" ht="15">
      <c r="C2905" s="9"/>
    </row>
    <row r="2906" spans="3:3" ht="15">
      <c r="C2906" s="9"/>
    </row>
    <row r="2907" spans="3:3" ht="15">
      <c r="C2907" s="9"/>
    </row>
    <row r="2908" spans="3:3" ht="15">
      <c r="C2908" s="9"/>
    </row>
    <row r="2909" spans="3:3" ht="15">
      <c r="C2909" s="9"/>
    </row>
    <row r="2910" spans="3:3" ht="15">
      <c r="C2910" s="9"/>
    </row>
    <row r="2911" spans="3:3" ht="15">
      <c r="C2911" s="9"/>
    </row>
    <row r="2912" spans="3:3" ht="15">
      <c r="C2912" s="9"/>
    </row>
    <row r="2913" spans="3:3" ht="15">
      <c r="C2913" s="9"/>
    </row>
    <row r="2914" spans="3:3" ht="15">
      <c r="C2914" s="9"/>
    </row>
    <row r="2915" spans="3:3" ht="15">
      <c r="C2915" s="9"/>
    </row>
    <row r="2916" spans="3:3" ht="15">
      <c r="C2916" s="9"/>
    </row>
    <row r="2917" spans="3:3" ht="15">
      <c r="C2917" s="9"/>
    </row>
    <row r="2918" spans="3:3" ht="15">
      <c r="C2918" s="9"/>
    </row>
    <row r="2919" spans="3:3" ht="15">
      <c r="C2919" s="9"/>
    </row>
    <row r="2920" spans="3:3" ht="15">
      <c r="C2920" s="9"/>
    </row>
    <row r="2921" spans="3:3" ht="15">
      <c r="C2921" s="9"/>
    </row>
    <row r="2922" spans="3:3" ht="15">
      <c r="C2922" s="9"/>
    </row>
    <row r="2923" spans="3:3" ht="15">
      <c r="C2923" s="9"/>
    </row>
    <row r="2924" spans="3:3" ht="15">
      <c r="C2924" s="9"/>
    </row>
    <row r="2925" spans="3:3" ht="15">
      <c r="C2925" s="9"/>
    </row>
    <row r="2926" spans="3:3" ht="15">
      <c r="C2926" s="9"/>
    </row>
    <row r="2927" spans="3:3" ht="15">
      <c r="C2927" s="9"/>
    </row>
    <row r="2928" spans="3:3" ht="15">
      <c r="C2928" s="9"/>
    </row>
    <row r="2929" spans="3:3" ht="15">
      <c r="C2929" s="9"/>
    </row>
    <row r="2930" spans="3:3" ht="15">
      <c r="C2930" s="9"/>
    </row>
    <row r="2931" spans="3:3" ht="15">
      <c r="C2931" s="9"/>
    </row>
    <row r="2932" spans="3:3" ht="15">
      <c r="C2932" s="9"/>
    </row>
    <row r="2933" spans="3:3" ht="15">
      <c r="C2933" s="9"/>
    </row>
    <row r="2934" spans="3:3" ht="15">
      <c r="C2934" s="9"/>
    </row>
    <row r="2935" spans="3:3" ht="15">
      <c r="C2935" s="9"/>
    </row>
    <row r="2936" spans="3:3" ht="15">
      <c r="C2936" s="9"/>
    </row>
    <row r="2937" spans="3:3" ht="15">
      <c r="C2937" s="9"/>
    </row>
    <row r="2938" spans="3:3" ht="15">
      <c r="C2938" s="9"/>
    </row>
    <row r="2939" spans="3:3" ht="15">
      <c r="C2939" s="9"/>
    </row>
    <row r="2940" spans="3:3" ht="15">
      <c r="C2940" s="9"/>
    </row>
    <row r="2941" spans="3:3" ht="15">
      <c r="C2941" s="9"/>
    </row>
    <row r="2942" spans="3:3" ht="15">
      <c r="C2942" s="9"/>
    </row>
    <row r="2943" spans="3:3" ht="15">
      <c r="C2943" s="9"/>
    </row>
    <row r="2944" spans="3:3" ht="15">
      <c r="C2944" s="9"/>
    </row>
    <row r="2945" spans="3:3" ht="15">
      <c r="C2945" s="9"/>
    </row>
    <row r="2946" spans="3:3" ht="15">
      <c r="C2946" s="9"/>
    </row>
    <row r="2947" spans="3:3" ht="15">
      <c r="C2947" s="9"/>
    </row>
    <row r="2948" spans="3:3" ht="15">
      <c r="C2948" s="9"/>
    </row>
    <row r="2949" spans="3:3" ht="15">
      <c r="C2949" s="9"/>
    </row>
    <row r="2950" spans="3:3" ht="15">
      <c r="C2950" s="9"/>
    </row>
    <row r="2951" spans="3:3" ht="15">
      <c r="C2951" s="9"/>
    </row>
    <row r="2952" spans="3:3" ht="15">
      <c r="C2952" s="9"/>
    </row>
    <row r="2953" spans="3:3" ht="15">
      <c r="C2953" s="9"/>
    </row>
    <row r="2954" spans="3:3" ht="15">
      <c r="C2954" s="9"/>
    </row>
    <row r="2955" spans="3:3" ht="15">
      <c r="C2955" s="9"/>
    </row>
    <row r="2956" spans="3:3" ht="15">
      <c r="C2956" s="9"/>
    </row>
    <row r="2957" spans="3:3" ht="15">
      <c r="C2957" s="9"/>
    </row>
    <row r="2958" spans="3:3" ht="15">
      <c r="C2958" s="9"/>
    </row>
    <row r="2959" spans="3:3" ht="15">
      <c r="C2959" s="9"/>
    </row>
    <row r="2960" spans="3:3" ht="15">
      <c r="C2960" s="9"/>
    </row>
    <row r="2961" spans="3:3" ht="15">
      <c r="C2961" s="9"/>
    </row>
    <row r="2962" spans="3:3" ht="15">
      <c r="C2962" s="9"/>
    </row>
    <row r="2963" spans="3:3" ht="15">
      <c r="C2963" s="9"/>
    </row>
    <row r="2964" spans="3:3" ht="15">
      <c r="C2964" s="9"/>
    </row>
    <row r="2965" spans="3:3" ht="15">
      <c r="C2965" s="9"/>
    </row>
    <row r="2966" spans="3:3" ht="15">
      <c r="C2966" s="9"/>
    </row>
    <row r="2967" spans="3:3" ht="15">
      <c r="C2967" s="9"/>
    </row>
    <row r="2968" spans="3:3" ht="15">
      <c r="C2968" s="9"/>
    </row>
    <row r="2969" spans="3:3" ht="15">
      <c r="C2969" s="9"/>
    </row>
    <row r="2970" spans="3:3" ht="15">
      <c r="C2970" s="9"/>
    </row>
    <row r="2971" spans="3:3" ht="15">
      <c r="C2971" s="9"/>
    </row>
    <row r="2972" spans="3:3" ht="15">
      <c r="C2972" s="9"/>
    </row>
    <row r="2973" spans="3:3" ht="15">
      <c r="C2973" s="9"/>
    </row>
    <row r="2974" spans="3:3" ht="15">
      <c r="C2974" s="9"/>
    </row>
    <row r="2975" spans="3:3" ht="15">
      <c r="C2975" s="9"/>
    </row>
    <row r="2976" spans="3:3" ht="15">
      <c r="C2976" s="9"/>
    </row>
    <row r="2977" spans="3:3" ht="15">
      <c r="C2977" s="9"/>
    </row>
    <row r="2978" spans="3:3" ht="15">
      <c r="C2978" s="9"/>
    </row>
    <row r="2979" spans="3:3" ht="15">
      <c r="C2979" s="9"/>
    </row>
    <row r="2980" spans="3:3" ht="15">
      <c r="C2980" s="9"/>
    </row>
    <row r="2981" spans="3:3" ht="15">
      <c r="C2981" s="9"/>
    </row>
    <row r="2982" spans="3:3" ht="15">
      <c r="C2982" s="9"/>
    </row>
    <row r="2983" spans="3:3" ht="15">
      <c r="C2983" s="9"/>
    </row>
    <row r="2984" spans="3:3" ht="15">
      <c r="C2984" s="9"/>
    </row>
    <row r="2985" spans="3:3" ht="15">
      <c r="C2985" s="9"/>
    </row>
    <row r="2986" spans="3:3" ht="15">
      <c r="C2986" s="9"/>
    </row>
    <row r="2987" spans="3:3" ht="15">
      <c r="C2987" s="9"/>
    </row>
    <row r="2988" spans="3:3" ht="15">
      <c r="C2988" s="9"/>
    </row>
    <row r="2989" spans="3:3" ht="15">
      <c r="C2989" s="9"/>
    </row>
    <row r="2990" spans="3:3" ht="15">
      <c r="C2990" s="9"/>
    </row>
    <row r="2991" spans="3:3" ht="15">
      <c r="C2991" s="9"/>
    </row>
    <row r="2992" spans="3:3" ht="15">
      <c r="C2992" s="9"/>
    </row>
    <row r="2993" spans="3:3" ht="15">
      <c r="C2993" s="9"/>
    </row>
    <row r="2994" spans="3:3" ht="15">
      <c r="C2994" s="9"/>
    </row>
    <row r="2995" spans="3:3" ht="15">
      <c r="C2995" s="9"/>
    </row>
    <row r="2996" spans="3:3" ht="15">
      <c r="C2996" s="9"/>
    </row>
    <row r="2997" spans="3:3" ht="15">
      <c r="C2997" s="9"/>
    </row>
    <row r="2998" spans="3:3" ht="15">
      <c r="C2998" s="9"/>
    </row>
    <row r="2999" spans="3:3" ht="15">
      <c r="C2999" s="9"/>
    </row>
    <row r="3000" spans="3:3" ht="15">
      <c r="C3000" s="9"/>
    </row>
    <row r="3001" spans="3:3" ht="15">
      <c r="C3001" s="9"/>
    </row>
    <row r="3002" spans="3:3" ht="15">
      <c r="C3002" s="9"/>
    </row>
    <row r="3003" spans="3:3" ht="15">
      <c r="C3003" s="9"/>
    </row>
    <row r="3004" spans="3:3" ht="15">
      <c r="C3004" s="9"/>
    </row>
    <row r="3005" spans="3:3" ht="15">
      <c r="C3005" s="9"/>
    </row>
    <row r="3006" spans="3:3" ht="15">
      <c r="C3006" s="9"/>
    </row>
    <row r="3007" spans="3:3" ht="15">
      <c r="C3007" s="9"/>
    </row>
    <row r="3008" spans="3:3" ht="15">
      <c r="C3008" s="9"/>
    </row>
    <row r="3009" spans="3:3" ht="15">
      <c r="C3009" s="9"/>
    </row>
    <row r="3010" spans="3:3" ht="15">
      <c r="C3010" s="9"/>
    </row>
    <row r="3011" spans="3:3" ht="15">
      <c r="C3011" s="9"/>
    </row>
    <row r="3012" spans="3:3" ht="15">
      <c r="C3012" s="9"/>
    </row>
    <row r="3013" spans="3:3" ht="15">
      <c r="C3013" s="9"/>
    </row>
    <row r="3014" spans="3:3" ht="15">
      <c r="C3014" s="9"/>
    </row>
    <row r="3015" spans="3:3" ht="15">
      <c r="C3015" s="9"/>
    </row>
    <row r="3016" spans="3:3" ht="15">
      <c r="C3016" s="9"/>
    </row>
    <row r="3017" spans="3:3" ht="15">
      <c r="C3017" s="9"/>
    </row>
    <row r="3018" spans="3:3" ht="15">
      <c r="C3018" s="9"/>
    </row>
    <row r="3019" spans="3:3" ht="15">
      <c r="C3019" s="9"/>
    </row>
    <row r="3020" spans="3:3" ht="15">
      <c r="C3020" s="9"/>
    </row>
    <row r="3021" spans="3:3" ht="15">
      <c r="C3021" s="9"/>
    </row>
    <row r="3022" spans="3:3" ht="15">
      <c r="C3022" s="9"/>
    </row>
    <row r="3023" spans="3:3" ht="15">
      <c r="C3023" s="9"/>
    </row>
    <row r="3024" spans="3:3" ht="15">
      <c r="C3024" s="9"/>
    </row>
    <row r="3025" spans="3:3" ht="15">
      <c r="C3025" s="9"/>
    </row>
    <row r="3026" spans="3:3" ht="15">
      <c r="C3026" s="9"/>
    </row>
    <row r="3027" spans="3:3" ht="15">
      <c r="C3027" s="9"/>
    </row>
    <row r="3028" spans="3:3" ht="15">
      <c r="C3028" s="9"/>
    </row>
    <row r="3029" spans="3:3" ht="15">
      <c r="C3029" s="9"/>
    </row>
    <row r="3030" spans="3:3" ht="15">
      <c r="C3030" s="9"/>
    </row>
    <row r="3031" spans="3:3" ht="15">
      <c r="C3031" s="9"/>
    </row>
    <row r="3032" spans="3:3" ht="15">
      <c r="C3032" s="9"/>
    </row>
    <row r="3033" spans="3:3" ht="15">
      <c r="C3033" s="9"/>
    </row>
    <row r="3034" spans="3:3" ht="15">
      <c r="C3034" s="9"/>
    </row>
    <row r="3035" spans="3:3" ht="15">
      <c r="C3035" s="9"/>
    </row>
    <row r="3036" spans="3:3" ht="15">
      <c r="C3036" s="9"/>
    </row>
    <row r="3037" spans="3:3" ht="15">
      <c r="C3037" s="9"/>
    </row>
    <row r="3038" spans="3:3" ht="15">
      <c r="C3038" s="9"/>
    </row>
    <row r="3039" spans="3:3" ht="15">
      <c r="C3039" s="9"/>
    </row>
    <row r="3040" spans="3:3" ht="15">
      <c r="C3040" s="9"/>
    </row>
    <row r="3041" spans="3:3" ht="15">
      <c r="C3041" s="9"/>
    </row>
    <row r="3042" spans="3:3" ht="15">
      <c r="C3042" s="9"/>
    </row>
    <row r="3043" spans="3:3" ht="15">
      <c r="C3043" s="9"/>
    </row>
    <row r="3044" spans="3:3" ht="15">
      <c r="C3044" s="9"/>
    </row>
    <row r="3045" spans="3:3" ht="15">
      <c r="C3045" s="9"/>
    </row>
    <row r="3046" spans="3:3" ht="15">
      <c r="C3046" s="9"/>
    </row>
    <row r="3047" spans="3:3" ht="15">
      <c r="C3047" s="9"/>
    </row>
    <row r="3048" spans="3:3" ht="15">
      <c r="C3048" s="9"/>
    </row>
    <row r="3049" spans="3:3" ht="15">
      <c r="C3049" s="9"/>
    </row>
    <row r="3050" spans="3:3" ht="15">
      <c r="C3050" s="9"/>
    </row>
    <row r="3051" spans="3:3" ht="15">
      <c r="C3051" s="9"/>
    </row>
    <row r="3052" spans="3:3" ht="15">
      <c r="C3052" s="9"/>
    </row>
    <row r="3053" spans="3:3" ht="15">
      <c r="C3053" s="9"/>
    </row>
    <row r="3054" spans="3:3" ht="15">
      <c r="C3054" s="9"/>
    </row>
    <row r="3055" spans="3:3" ht="15">
      <c r="C3055" s="9"/>
    </row>
    <row r="3056" spans="3:3" ht="15">
      <c r="C3056" s="9"/>
    </row>
    <row r="3057" spans="3:3" ht="15">
      <c r="C3057" s="9"/>
    </row>
    <row r="3058" spans="3:3" ht="15">
      <c r="C3058" s="9"/>
    </row>
    <row r="3059" spans="3:3" ht="15">
      <c r="C3059" s="9"/>
    </row>
    <row r="3060" spans="3:3" ht="15">
      <c r="C3060" s="9"/>
    </row>
    <row r="3061" spans="3:3" ht="15">
      <c r="C3061" s="9"/>
    </row>
    <row r="3062" spans="3:3" ht="15">
      <c r="C3062" s="9"/>
    </row>
    <row r="3063" spans="3:3" ht="15">
      <c r="C3063" s="9"/>
    </row>
    <row r="3064" spans="3:3" ht="15">
      <c r="C3064" s="9"/>
    </row>
    <row r="3065" spans="3:3" ht="15">
      <c r="C3065" s="9"/>
    </row>
    <row r="3066" spans="3:3" ht="15">
      <c r="C3066" s="9"/>
    </row>
    <row r="3067" spans="3:3" ht="15">
      <c r="C3067" s="9"/>
    </row>
    <row r="3068" spans="3:3" ht="15">
      <c r="C3068" s="9"/>
    </row>
    <row r="3069" spans="3:3" ht="15">
      <c r="C3069" s="9"/>
    </row>
    <row r="3070" spans="3:3" ht="15">
      <c r="C3070" s="9"/>
    </row>
    <row r="3071" spans="3:3" ht="15">
      <c r="C3071" s="9"/>
    </row>
    <row r="3072" spans="3:3" ht="15">
      <c r="C3072" s="9"/>
    </row>
    <row r="3073" spans="3:3" ht="15">
      <c r="C3073" s="9"/>
    </row>
    <row r="3074" spans="3:3" ht="15">
      <c r="C3074" s="9"/>
    </row>
    <row r="3075" spans="3:3" ht="15">
      <c r="C3075" s="9"/>
    </row>
    <row r="3076" spans="3:3" ht="15">
      <c r="C3076" s="9"/>
    </row>
    <row r="3077" spans="3:3" ht="15">
      <c r="C3077" s="9"/>
    </row>
    <row r="3078" spans="3:3" ht="15">
      <c r="C3078" s="9"/>
    </row>
    <row r="3079" spans="3:3" ht="15">
      <c r="C3079" s="9"/>
    </row>
    <row r="3080" spans="3:3" ht="15">
      <c r="C3080" s="9"/>
    </row>
    <row r="3081" spans="3:3" ht="15">
      <c r="C3081" s="9"/>
    </row>
    <row r="3082" spans="3:3" ht="15">
      <c r="C3082" s="9"/>
    </row>
    <row r="3083" spans="3:3" ht="15">
      <c r="C3083" s="9"/>
    </row>
    <row r="3084" spans="3:3" ht="15">
      <c r="C3084" s="9"/>
    </row>
    <row r="3085" spans="3:3" ht="15">
      <c r="C3085" s="9"/>
    </row>
    <row r="3086" spans="3:3" ht="15">
      <c r="C3086" s="9"/>
    </row>
    <row r="3087" spans="3:3" ht="15">
      <c r="C3087" s="9"/>
    </row>
    <row r="3088" spans="3:3" ht="15">
      <c r="C3088" s="9"/>
    </row>
    <row r="3089" spans="3:3" ht="15">
      <c r="C3089" s="9"/>
    </row>
    <row r="3090" spans="3:3" ht="15">
      <c r="C3090" s="9"/>
    </row>
    <row r="3091" spans="3:3" ht="15">
      <c r="C3091" s="9"/>
    </row>
    <row r="3092" spans="3:3" ht="15">
      <c r="C3092" s="9"/>
    </row>
    <row r="3093" spans="3:3" ht="15">
      <c r="C3093" s="9"/>
    </row>
    <row r="3094" spans="3:3" ht="15">
      <c r="C3094" s="9"/>
    </row>
    <row r="3095" spans="3:3" ht="15">
      <c r="C3095" s="9"/>
    </row>
    <row r="3096" spans="3:3" ht="15">
      <c r="C3096" s="9"/>
    </row>
    <row r="3097" spans="3:3" ht="15">
      <c r="C3097" s="9"/>
    </row>
    <row r="3098" spans="3:3" ht="15">
      <c r="C3098" s="9"/>
    </row>
    <row r="3099" spans="3:3" ht="15">
      <c r="C3099" s="9"/>
    </row>
    <row r="3100" spans="3:3" ht="15">
      <c r="C3100" s="9"/>
    </row>
    <row r="3101" spans="3:3" ht="15">
      <c r="C3101" s="9"/>
    </row>
    <row r="3102" spans="3:3" ht="15">
      <c r="C3102" s="9"/>
    </row>
    <row r="3103" spans="3:3" ht="15">
      <c r="C3103" s="9"/>
    </row>
    <row r="3104" spans="3:3" ht="15">
      <c r="C3104" s="9"/>
    </row>
    <row r="3105" spans="3:3" ht="15">
      <c r="C3105" s="9"/>
    </row>
    <row r="3106" spans="3:3" ht="15">
      <c r="C3106" s="9"/>
    </row>
    <row r="3107" spans="3:3" ht="15">
      <c r="C3107" s="9"/>
    </row>
    <row r="3108" spans="3:3" ht="15">
      <c r="C3108" s="9"/>
    </row>
    <row r="3109" spans="3:3" ht="15">
      <c r="C3109" s="9"/>
    </row>
    <row r="3110" spans="3:3" ht="15">
      <c r="C3110" s="9"/>
    </row>
    <row r="3111" spans="3:3" ht="15">
      <c r="C3111" s="9"/>
    </row>
    <row r="3112" spans="3:3" ht="15">
      <c r="C3112" s="9"/>
    </row>
    <row r="3113" spans="3:3" ht="15">
      <c r="C3113" s="9"/>
    </row>
    <row r="3114" spans="3:3" ht="15">
      <c r="C3114" s="9"/>
    </row>
    <row r="3115" spans="3:3" ht="15">
      <c r="C3115" s="9"/>
    </row>
    <row r="3116" spans="3:3" ht="15">
      <c r="C3116" s="9"/>
    </row>
    <row r="3117" spans="3:3" ht="15">
      <c r="C3117" s="9"/>
    </row>
    <row r="3118" spans="3:3" ht="15">
      <c r="C3118" s="9"/>
    </row>
    <row r="3119" spans="3:3" ht="15">
      <c r="C3119" s="9"/>
    </row>
    <row r="3120" spans="3:3" ht="15">
      <c r="C3120" s="9"/>
    </row>
    <row r="3121" spans="3:3" ht="15">
      <c r="C3121" s="9"/>
    </row>
    <row r="3122" spans="3:3" ht="15">
      <c r="C3122" s="9"/>
    </row>
    <row r="3123" spans="3:3" ht="15">
      <c r="C3123" s="9"/>
    </row>
    <row r="3124" spans="3:3" ht="15">
      <c r="C3124" s="9"/>
    </row>
    <row r="3125" spans="3:3" ht="15">
      <c r="C3125" s="9"/>
    </row>
    <row r="3126" spans="3:3" ht="15">
      <c r="C3126" s="9"/>
    </row>
    <row r="3127" spans="3:3" ht="15">
      <c r="C3127" s="9"/>
    </row>
    <row r="3128" spans="3:3" ht="15">
      <c r="C3128" s="9"/>
    </row>
    <row r="3129" spans="3:3" ht="15">
      <c r="C3129" s="9"/>
    </row>
    <row r="3130" spans="3:3" ht="15">
      <c r="C3130" s="9"/>
    </row>
    <row r="3131" spans="3:3" ht="15">
      <c r="C3131" s="9"/>
    </row>
    <row r="3132" spans="3:3" ht="15">
      <c r="C3132" s="9"/>
    </row>
    <row r="3133" spans="3:3" ht="15">
      <c r="C3133" s="9"/>
    </row>
    <row r="3134" spans="3:3" ht="15">
      <c r="C3134" s="9"/>
    </row>
    <row r="3135" spans="3:3" ht="15">
      <c r="C3135" s="9"/>
    </row>
    <row r="3136" spans="3:3" ht="15">
      <c r="C3136" s="9"/>
    </row>
    <row r="3137" spans="3:3" ht="15">
      <c r="C3137" s="9"/>
    </row>
    <row r="3138" spans="3:3" ht="15">
      <c r="C3138" s="9"/>
    </row>
    <row r="3139" spans="3:3" ht="15">
      <c r="C3139" s="9"/>
    </row>
    <row r="3140" spans="3:3" ht="15">
      <c r="C3140" s="9"/>
    </row>
    <row r="3141" spans="3:3" ht="15">
      <c r="C3141" s="9"/>
    </row>
    <row r="3142" spans="3:3" ht="15">
      <c r="C3142" s="9"/>
    </row>
    <row r="3143" spans="3:3" ht="15">
      <c r="C3143" s="9"/>
    </row>
    <row r="3144" spans="3:3" ht="15">
      <c r="C3144" s="9"/>
    </row>
    <row r="3145" spans="3:3" ht="15">
      <c r="C3145" s="9"/>
    </row>
    <row r="3146" spans="3:3" ht="15">
      <c r="C3146" s="9"/>
    </row>
    <row r="3147" spans="3:3" ht="15">
      <c r="C3147" s="9"/>
    </row>
    <row r="3148" spans="3:3" ht="15">
      <c r="C3148" s="9"/>
    </row>
    <row r="3149" spans="3:3" ht="15">
      <c r="C3149" s="9"/>
    </row>
    <row r="3150" spans="3:3" ht="15">
      <c r="C3150" s="9"/>
    </row>
    <row r="3151" spans="3:3" ht="15">
      <c r="C3151" s="9"/>
    </row>
    <row r="3152" spans="3:3" ht="15">
      <c r="C3152" s="9"/>
    </row>
    <row r="3153" spans="3:3" ht="15">
      <c r="C3153" s="9"/>
    </row>
    <row r="3154" spans="3:3" ht="15">
      <c r="C3154" s="9"/>
    </row>
    <row r="3155" spans="3:3" ht="15">
      <c r="C3155" s="9"/>
    </row>
    <row r="3156" spans="3:3" ht="15">
      <c r="C3156" s="9"/>
    </row>
    <row r="3157" spans="3:3" ht="15">
      <c r="C3157" s="9"/>
    </row>
    <row r="3158" spans="3:3" ht="15">
      <c r="C3158" s="9"/>
    </row>
    <row r="3159" spans="3:3" ht="15">
      <c r="C3159" s="9"/>
    </row>
    <row r="3160" spans="3:3" ht="15">
      <c r="C3160" s="9"/>
    </row>
    <row r="3161" spans="3:3" ht="15">
      <c r="C3161" s="9"/>
    </row>
    <row r="3162" spans="3:3" ht="15">
      <c r="C3162" s="9"/>
    </row>
    <row r="3163" spans="3:3" ht="15">
      <c r="C3163" s="9"/>
    </row>
    <row r="3164" spans="3:3" ht="15">
      <c r="C3164" s="9"/>
    </row>
    <row r="3165" spans="3:3" ht="15">
      <c r="C3165" s="9"/>
    </row>
    <row r="3166" spans="3:3" ht="15">
      <c r="C3166" s="9"/>
    </row>
    <row r="3167" spans="3:3" ht="15">
      <c r="C3167" s="9"/>
    </row>
    <row r="3168" spans="3:3" ht="15">
      <c r="C3168" s="9"/>
    </row>
    <row r="3169" spans="3:3" ht="15">
      <c r="C3169" s="9"/>
    </row>
    <row r="3170" spans="3:3" ht="15">
      <c r="C3170" s="9"/>
    </row>
    <row r="3171" spans="3:3" ht="15">
      <c r="C3171" s="9"/>
    </row>
    <row r="3172" spans="3:3" ht="15">
      <c r="C3172" s="9"/>
    </row>
    <row r="3173" spans="3:3" ht="15">
      <c r="C3173" s="9"/>
    </row>
    <row r="3174" spans="3:3" ht="15">
      <c r="C3174" s="9"/>
    </row>
    <row r="3175" spans="3:3" ht="15">
      <c r="C3175" s="9"/>
    </row>
    <row r="3176" spans="3:3" ht="15">
      <c r="C3176" s="9"/>
    </row>
    <row r="3177" spans="3:3" ht="15">
      <c r="C3177" s="9"/>
    </row>
    <row r="3178" spans="3:3" ht="15">
      <c r="C3178" s="9"/>
    </row>
    <row r="3179" spans="3:3" ht="15">
      <c r="C3179" s="9"/>
    </row>
    <row r="3180" spans="3:3" ht="15">
      <c r="C3180" s="9"/>
    </row>
    <row r="3181" spans="3:3" ht="15">
      <c r="C3181" s="9"/>
    </row>
    <row r="3182" spans="3:3" ht="15">
      <c r="C3182" s="9"/>
    </row>
    <row r="3183" spans="3:3" ht="15">
      <c r="C3183" s="9"/>
    </row>
    <row r="3184" spans="3:3" ht="15">
      <c r="C3184" s="9"/>
    </row>
    <row r="3185" spans="3:3" ht="15">
      <c r="C3185" s="9"/>
    </row>
    <row r="3186" spans="3:3" ht="15">
      <c r="C3186" s="9"/>
    </row>
    <row r="3187" spans="3:3" ht="15">
      <c r="C3187" s="9"/>
    </row>
    <row r="3188" spans="3:3" ht="15">
      <c r="C3188" s="9"/>
    </row>
    <row r="3189" spans="3:3" ht="15">
      <c r="C3189" s="9"/>
    </row>
    <row r="3190" spans="3:3" ht="15">
      <c r="C3190" s="9"/>
    </row>
    <row r="3191" spans="3:3" ht="15">
      <c r="C3191" s="9"/>
    </row>
    <row r="3192" spans="3:3" ht="15">
      <c r="C3192" s="9"/>
    </row>
    <row r="3193" spans="3:3" ht="15">
      <c r="C3193" s="9"/>
    </row>
    <row r="3194" spans="3:3" ht="15">
      <c r="C3194" s="9"/>
    </row>
    <row r="3195" spans="3:3" ht="15">
      <c r="C3195" s="9"/>
    </row>
    <row r="3196" spans="3:3" ht="15">
      <c r="C3196" s="9"/>
    </row>
    <row r="3197" spans="3:3" ht="15">
      <c r="C3197" s="9"/>
    </row>
    <row r="3198" spans="3:3" ht="15">
      <c r="C3198" s="9"/>
    </row>
    <row r="3199" spans="3:3" ht="15">
      <c r="C3199" s="9"/>
    </row>
    <row r="3200" spans="3:3" ht="15">
      <c r="C3200" s="9"/>
    </row>
    <row r="3201" spans="3:3" ht="15">
      <c r="C3201" s="9"/>
    </row>
    <row r="3202" spans="3:3" ht="15">
      <c r="C3202" s="9"/>
    </row>
    <row r="3203" spans="3:3" ht="15">
      <c r="C3203" s="9"/>
    </row>
    <row r="3204" spans="3:3" ht="15">
      <c r="C3204" s="9"/>
    </row>
    <row r="3205" spans="3:3" ht="15">
      <c r="C3205" s="9"/>
    </row>
    <row r="3206" spans="3:3" ht="15">
      <c r="C3206" s="9"/>
    </row>
    <row r="3207" spans="3:3" ht="15">
      <c r="C3207" s="9"/>
    </row>
    <row r="3208" spans="3:3" ht="15">
      <c r="C3208" s="9"/>
    </row>
    <row r="3209" spans="3:3" ht="15">
      <c r="C3209" s="9"/>
    </row>
    <row r="3210" spans="3:3" ht="15">
      <c r="C3210" s="9"/>
    </row>
    <row r="3211" spans="3:3" ht="15">
      <c r="C3211" s="9"/>
    </row>
    <row r="3212" spans="3:3" ht="15">
      <c r="C3212" s="9"/>
    </row>
    <row r="3213" spans="3:3" ht="15">
      <c r="C3213" s="9"/>
    </row>
    <row r="3214" spans="3:3" ht="15">
      <c r="C3214" s="9"/>
    </row>
    <row r="3215" spans="3:3" ht="15">
      <c r="C3215" s="9"/>
    </row>
    <row r="3216" spans="3:3" ht="15">
      <c r="C3216" s="9"/>
    </row>
    <row r="3217" spans="3:3" ht="15">
      <c r="C3217" s="9"/>
    </row>
    <row r="3218" spans="3:3" ht="15">
      <c r="C3218" s="9"/>
    </row>
    <row r="3219" spans="3:3" ht="15">
      <c r="C3219" s="9"/>
    </row>
    <row r="3220" spans="3:3" ht="15">
      <c r="C3220" s="9"/>
    </row>
    <row r="3221" spans="3:3" ht="15">
      <c r="C3221" s="9"/>
    </row>
    <row r="3222" spans="3:3" ht="15">
      <c r="C3222" s="9"/>
    </row>
    <row r="3223" spans="3:3" ht="15">
      <c r="C3223" s="9"/>
    </row>
    <row r="3224" spans="3:3" ht="15">
      <c r="C3224" s="9"/>
    </row>
    <row r="3225" spans="3:3" ht="15">
      <c r="C3225" s="9"/>
    </row>
    <row r="3226" spans="3:3" ht="15">
      <c r="C3226" s="9"/>
    </row>
    <row r="3227" spans="3:3" ht="15">
      <c r="C3227" s="9"/>
    </row>
    <row r="3228" spans="3:3" ht="15">
      <c r="C3228" s="9"/>
    </row>
    <row r="3229" spans="3:3" ht="15">
      <c r="C3229" s="9"/>
    </row>
    <row r="3230" spans="3:3" ht="15">
      <c r="C3230" s="9"/>
    </row>
    <row r="3231" spans="3:3" ht="15">
      <c r="C3231" s="9"/>
    </row>
    <row r="3232" spans="3:3" ht="15">
      <c r="C3232" s="9"/>
    </row>
    <row r="3233" spans="3:3" ht="15">
      <c r="C3233" s="9"/>
    </row>
    <row r="3234" spans="3:3" ht="15">
      <c r="C3234" s="9"/>
    </row>
    <row r="3235" spans="3:3" ht="15">
      <c r="C3235" s="9"/>
    </row>
    <row r="3236" spans="3:3" ht="15">
      <c r="C3236" s="9"/>
    </row>
    <row r="3237" spans="3:3" ht="15">
      <c r="C3237" s="9"/>
    </row>
    <row r="3238" spans="3:3" ht="15">
      <c r="C3238" s="9"/>
    </row>
    <row r="3239" spans="3:3" ht="15">
      <c r="C3239" s="9"/>
    </row>
    <row r="3240" spans="3:3" ht="15">
      <c r="C3240" s="9"/>
    </row>
    <row r="3241" spans="3:3" ht="15">
      <c r="C3241" s="9"/>
    </row>
    <row r="3242" spans="3:3" ht="15">
      <c r="C3242" s="9"/>
    </row>
    <row r="3243" spans="3:3" ht="15">
      <c r="C3243" s="9"/>
    </row>
    <row r="3244" spans="3:3" ht="15">
      <c r="C3244" s="9"/>
    </row>
    <row r="3245" spans="3:3" ht="15">
      <c r="C3245" s="9"/>
    </row>
    <row r="3246" spans="3:3" ht="15">
      <c r="C3246" s="9"/>
    </row>
    <row r="3247" spans="3:3" ht="15">
      <c r="C3247" s="9"/>
    </row>
    <row r="3248" spans="3:3" ht="15">
      <c r="C3248" s="9"/>
    </row>
    <row r="3249" spans="3:3" ht="15">
      <c r="C3249" s="9"/>
    </row>
    <row r="3250" spans="3:3" ht="15">
      <c r="C3250" s="9"/>
    </row>
    <row r="3251" spans="3:3" ht="15">
      <c r="C3251" s="9"/>
    </row>
    <row r="3252" spans="3:3" ht="15">
      <c r="C3252" s="9"/>
    </row>
    <row r="3253" spans="3:3" ht="15">
      <c r="C3253" s="9"/>
    </row>
    <row r="3254" spans="3:3" ht="15">
      <c r="C3254" s="9"/>
    </row>
    <row r="3255" spans="3:3" ht="15">
      <c r="C3255" s="9"/>
    </row>
    <row r="3256" spans="3:3" ht="15">
      <c r="C3256" s="9"/>
    </row>
    <row r="3257" spans="3:3" ht="15">
      <c r="C3257" s="9"/>
    </row>
    <row r="3258" spans="3:3" ht="15">
      <c r="C3258" s="9"/>
    </row>
    <row r="3259" spans="3:3" ht="15">
      <c r="C3259" s="9"/>
    </row>
    <row r="3260" spans="3:3" ht="15">
      <c r="C3260" s="9"/>
    </row>
    <row r="3261" spans="3:3" ht="15">
      <c r="C3261" s="9"/>
    </row>
    <row r="3262" spans="3:3" ht="15">
      <c r="C3262" s="9"/>
    </row>
    <row r="3263" spans="3:3" ht="15">
      <c r="C3263" s="9"/>
    </row>
    <row r="3264" spans="3:3" ht="15">
      <c r="C3264" s="9"/>
    </row>
    <row r="3265" spans="3:3" ht="15">
      <c r="C3265" s="9"/>
    </row>
    <row r="3266" spans="3:3" ht="15">
      <c r="C3266" s="9"/>
    </row>
    <row r="3267" spans="3:3" ht="15">
      <c r="C3267" s="9"/>
    </row>
    <row r="3268" spans="3:3" ht="15">
      <c r="C3268" s="9"/>
    </row>
    <row r="3269" spans="3:3" ht="15">
      <c r="C3269" s="9"/>
    </row>
    <row r="3270" spans="3:3" ht="15">
      <c r="C3270" s="9"/>
    </row>
    <row r="3271" spans="3:3" ht="15">
      <c r="C3271" s="9"/>
    </row>
    <row r="3272" spans="3:3" ht="15">
      <c r="C3272" s="9"/>
    </row>
    <row r="3273" spans="3:3" ht="15">
      <c r="C3273" s="9"/>
    </row>
    <row r="3274" spans="3:3" ht="15">
      <c r="C3274" s="9"/>
    </row>
    <row r="3275" spans="3:3" ht="15">
      <c r="C3275" s="9"/>
    </row>
    <row r="3276" spans="3:3" ht="15">
      <c r="C3276" s="9"/>
    </row>
    <row r="3277" spans="3:3" ht="15">
      <c r="C3277" s="9"/>
    </row>
    <row r="3278" spans="3:3" ht="15">
      <c r="C3278" s="9"/>
    </row>
    <row r="3279" spans="3:3" ht="15">
      <c r="C3279" s="9"/>
    </row>
    <row r="3280" spans="3:3" ht="15">
      <c r="C3280" s="9"/>
    </row>
    <row r="3281" spans="3:3" ht="15">
      <c r="C3281" s="9"/>
    </row>
    <row r="3282" spans="3:3" ht="15">
      <c r="C3282" s="9"/>
    </row>
    <row r="3283" spans="3:3" ht="15">
      <c r="C3283" s="9"/>
    </row>
    <row r="3284" spans="3:3" ht="15">
      <c r="C3284" s="9"/>
    </row>
    <row r="3285" spans="3:3" ht="15">
      <c r="C3285" s="9"/>
    </row>
    <row r="3286" spans="3:3" ht="15">
      <c r="C3286" s="9"/>
    </row>
    <row r="3287" spans="3:3" ht="15">
      <c r="C3287" s="9"/>
    </row>
    <row r="3288" spans="3:3" ht="15">
      <c r="C3288" s="9"/>
    </row>
    <row r="3289" spans="3:3" ht="15">
      <c r="C3289" s="9"/>
    </row>
    <row r="3290" spans="3:3" ht="15">
      <c r="C3290" s="9"/>
    </row>
    <row r="3291" spans="3:3" ht="15">
      <c r="C3291" s="9"/>
    </row>
    <row r="3292" spans="3:3" ht="15">
      <c r="C3292" s="9"/>
    </row>
    <row r="3293" spans="3:3" ht="15">
      <c r="C3293" s="9"/>
    </row>
    <row r="3294" spans="3:3" ht="15">
      <c r="C3294" s="9"/>
    </row>
    <row r="3295" spans="3:3" ht="15">
      <c r="C3295" s="9"/>
    </row>
    <row r="3296" spans="3:3" ht="15">
      <c r="C3296" s="9"/>
    </row>
    <row r="3297" spans="3:3" ht="15">
      <c r="C3297" s="9"/>
    </row>
    <row r="3298" spans="3:3" ht="15">
      <c r="C3298" s="9"/>
    </row>
    <row r="3299" spans="3:3" ht="15">
      <c r="C3299" s="9"/>
    </row>
    <row r="3300" spans="3:3" ht="15">
      <c r="C3300" s="9"/>
    </row>
    <row r="3301" spans="3:3" ht="15">
      <c r="C3301" s="9"/>
    </row>
    <row r="3302" spans="3:3" ht="15">
      <c r="C3302" s="9"/>
    </row>
    <row r="3303" spans="3:3" ht="15">
      <c r="C3303" s="9"/>
    </row>
    <row r="3304" spans="3:3" ht="15">
      <c r="C3304" s="9"/>
    </row>
    <row r="3305" spans="3:3" ht="15">
      <c r="C3305" s="9"/>
    </row>
    <row r="3306" spans="3:3" ht="15">
      <c r="C3306" s="9"/>
    </row>
    <row r="3307" spans="3:3" ht="15">
      <c r="C3307" s="9"/>
    </row>
    <row r="3308" spans="3:3" ht="15">
      <c r="C3308" s="9"/>
    </row>
    <row r="3309" spans="3:3" ht="15">
      <c r="C3309" s="9"/>
    </row>
    <row r="3310" spans="3:3" ht="15">
      <c r="C3310" s="9"/>
    </row>
    <row r="3311" spans="3:3" ht="15">
      <c r="C3311" s="9"/>
    </row>
    <row r="3312" spans="3:3" ht="15">
      <c r="C3312" s="9"/>
    </row>
    <row r="3313" spans="3:3" ht="15">
      <c r="C3313" s="9"/>
    </row>
    <row r="3314" spans="3:3" ht="15">
      <c r="C3314" s="9"/>
    </row>
    <row r="3315" spans="3:3" ht="15">
      <c r="C3315" s="9"/>
    </row>
    <row r="3316" spans="3:3" ht="15">
      <c r="C3316" s="9"/>
    </row>
    <row r="3317" spans="3:3" ht="15">
      <c r="C3317" s="9"/>
    </row>
    <row r="3318" spans="3:3" ht="15">
      <c r="C3318" s="9"/>
    </row>
    <row r="3319" spans="3:3" ht="15">
      <c r="C3319" s="9"/>
    </row>
    <row r="3320" spans="3:3" ht="15">
      <c r="C3320" s="9"/>
    </row>
    <row r="3321" spans="3:3" ht="15">
      <c r="C3321" s="9"/>
    </row>
    <row r="3322" spans="3:3" ht="15">
      <c r="C3322" s="9"/>
    </row>
    <row r="3323" spans="3:3" ht="15">
      <c r="C3323" s="9"/>
    </row>
    <row r="3324" spans="3:3" ht="15">
      <c r="C3324" s="9"/>
    </row>
    <row r="3325" spans="3:3" ht="15">
      <c r="C3325" s="9"/>
    </row>
    <row r="3326" spans="3:3" ht="15">
      <c r="C3326" s="9"/>
    </row>
    <row r="3327" spans="3:3" ht="15">
      <c r="C3327" s="9"/>
    </row>
    <row r="3328" spans="3:3" ht="15">
      <c r="C3328" s="9"/>
    </row>
    <row r="3329" spans="3:3" ht="15">
      <c r="C3329" s="9"/>
    </row>
    <row r="3330" spans="3:3" ht="15">
      <c r="C3330" s="9"/>
    </row>
    <row r="3331" spans="3:3" ht="15">
      <c r="C3331" s="9"/>
    </row>
    <row r="3332" spans="3:3" ht="15">
      <c r="C3332" s="9"/>
    </row>
    <row r="3333" spans="3:3" ht="15">
      <c r="C3333" s="9"/>
    </row>
    <row r="3334" spans="3:3" ht="15">
      <c r="C3334" s="9"/>
    </row>
    <row r="3335" spans="3:3" ht="15">
      <c r="C3335" s="9"/>
    </row>
    <row r="3336" spans="3:3" ht="15">
      <c r="C3336" s="9"/>
    </row>
    <row r="3337" spans="3:3" ht="15">
      <c r="C3337" s="9"/>
    </row>
    <row r="3338" spans="3:3" ht="15">
      <c r="C3338" s="9"/>
    </row>
    <row r="3339" spans="3:3" ht="15">
      <c r="C3339" s="9"/>
    </row>
    <row r="3340" spans="3:3" ht="15">
      <c r="C3340" s="9"/>
    </row>
    <row r="3341" spans="3:3" ht="15">
      <c r="C3341" s="9"/>
    </row>
    <row r="3342" spans="3:3" ht="15">
      <c r="C3342" s="9"/>
    </row>
    <row r="3343" spans="3:3" ht="15">
      <c r="C3343" s="9"/>
    </row>
    <row r="3344" spans="3:3" ht="15">
      <c r="C3344" s="9"/>
    </row>
    <row r="3345" spans="3:3" ht="15">
      <c r="C3345" s="9"/>
    </row>
    <row r="3346" spans="3:3" ht="15">
      <c r="C3346" s="9"/>
    </row>
    <row r="3347" spans="3:3" ht="15">
      <c r="C3347" s="9"/>
    </row>
    <row r="3348" spans="3:3" ht="15">
      <c r="C3348" s="9"/>
    </row>
    <row r="3349" spans="3:3" ht="15">
      <c r="C3349" s="9"/>
    </row>
    <row r="3350" spans="3:3" ht="15">
      <c r="C3350" s="9"/>
    </row>
    <row r="3351" spans="3:3" ht="15">
      <c r="C3351" s="9"/>
    </row>
    <row r="3352" spans="3:3" ht="15">
      <c r="C3352" s="9"/>
    </row>
    <row r="3353" spans="3:3" ht="15">
      <c r="C3353" s="9"/>
    </row>
    <row r="3354" spans="3:3" ht="15">
      <c r="C3354" s="9"/>
    </row>
    <row r="3355" spans="3:3" ht="15">
      <c r="C3355" s="9"/>
    </row>
    <row r="3356" spans="3:3" ht="15">
      <c r="C3356" s="9"/>
    </row>
    <row r="3357" spans="3:3" ht="15">
      <c r="C3357" s="9"/>
    </row>
    <row r="3358" spans="3:3" ht="15">
      <c r="C3358" s="9"/>
    </row>
    <row r="3359" spans="3:3" ht="15">
      <c r="C3359" s="9"/>
    </row>
    <row r="3360" spans="3:3" ht="15">
      <c r="C3360" s="9"/>
    </row>
    <row r="3361" spans="3:3" ht="15">
      <c r="C3361" s="9"/>
    </row>
    <row r="3362" spans="3:3" ht="15">
      <c r="C3362" s="9"/>
    </row>
    <row r="3363" spans="3:3" ht="15">
      <c r="C3363" s="9"/>
    </row>
    <row r="3364" spans="3:3" ht="15">
      <c r="C3364" s="9"/>
    </row>
    <row r="3365" spans="3:3" ht="15">
      <c r="C3365" s="9"/>
    </row>
    <row r="3366" spans="3:3" ht="15">
      <c r="C3366" s="9"/>
    </row>
    <row r="3367" spans="3:3" ht="15">
      <c r="C3367" s="9"/>
    </row>
    <row r="3368" spans="3:3" ht="15">
      <c r="C3368" s="9"/>
    </row>
    <row r="3369" spans="3:3" ht="15">
      <c r="C3369" s="9"/>
    </row>
    <row r="3370" spans="3:3" ht="15">
      <c r="C3370" s="9"/>
    </row>
    <row r="3371" spans="3:3" ht="15">
      <c r="C3371" s="9"/>
    </row>
    <row r="3372" spans="3:3" ht="15">
      <c r="C3372" s="9"/>
    </row>
    <row r="3373" spans="3:3" ht="15">
      <c r="C3373" s="9"/>
    </row>
    <row r="3374" spans="3:3" ht="15">
      <c r="C3374" s="9"/>
    </row>
    <row r="3375" spans="3:3" ht="15">
      <c r="C3375" s="9"/>
    </row>
    <row r="3376" spans="3:3" ht="15">
      <c r="C3376" s="9"/>
    </row>
    <row r="3377" spans="3:3" ht="15">
      <c r="C3377" s="9"/>
    </row>
    <row r="3378" spans="3:3" ht="15">
      <c r="C3378" s="9"/>
    </row>
    <row r="3379" spans="3:3" ht="15">
      <c r="C3379" s="9"/>
    </row>
    <row r="3380" spans="3:3" ht="15">
      <c r="C3380" s="9"/>
    </row>
    <row r="3381" spans="3:3" ht="15">
      <c r="C3381" s="9"/>
    </row>
    <row r="3382" spans="3:3" ht="15">
      <c r="C3382" s="9"/>
    </row>
    <row r="3383" spans="3:3" ht="15">
      <c r="C3383" s="9"/>
    </row>
    <row r="3384" spans="3:3" ht="15">
      <c r="C3384" s="9"/>
    </row>
    <row r="3385" spans="3:3" ht="15">
      <c r="C3385" s="9"/>
    </row>
    <row r="3386" spans="3:3" ht="15">
      <c r="C3386" s="9"/>
    </row>
    <row r="3387" spans="3:3" ht="15">
      <c r="C3387" s="9"/>
    </row>
    <row r="3388" spans="3:3" ht="15">
      <c r="C3388" s="9"/>
    </row>
    <row r="3389" spans="3:3" ht="15">
      <c r="C3389" s="9"/>
    </row>
    <row r="3390" spans="3:3" ht="15">
      <c r="C3390" s="9"/>
    </row>
    <row r="3391" spans="3:3" ht="15">
      <c r="C3391" s="9"/>
    </row>
    <row r="3392" spans="3:3" ht="15">
      <c r="C3392" s="9"/>
    </row>
    <row r="3393" spans="3:3" ht="15">
      <c r="C3393" s="9"/>
    </row>
    <row r="3394" spans="3:3" ht="15">
      <c r="C3394" s="9"/>
    </row>
    <row r="3395" spans="3:3" ht="15">
      <c r="C3395" s="9"/>
    </row>
    <row r="3396" spans="3:3" ht="15">
      <c r="C3396" s="9"/>
    </row>
    <row r="3397" spans="3:3" ht="15">
      <c r="C3397" s="9"/>
    </row>
    <row r="3398" spans="3:3" ht="15">
      <c r="C3398" s="9"/>
    </row>
    <row r="3399" spans="3:3" ht="15">
      <c r="C3399" s="9"/>
    </row>
    <row r="3400" spans="3:3" ht="15">
      <c r="C3400" s="9"/>
    </row>
    <row r="3401" spans="3:3" ht="15">
      <c r="C3401" s="9"/>
    </row>
    <row r="3402" spans="3:3" ht="15">
      <c r="C3402" s="9"/>
    </row>
    <row r="3403" spans="3:3" ht="15">
      <c r="C3403" s="9"/>
    </row>
    <row r="3404" spans="3:3" ht="15">
      <c r="C3404" s="9"/>
    </row>
    <row r="3405" spans="3:3" ht="15">
      <c r="C3405" s="9"/>
    </row>
    <row r="3406" spans="3:3" ht="15">
      <c r="C3406" s="9"/>
    </row>
    <row r="3407" spans="3:3" ht="15">
      <c r="C3407" s="9"/>
    </row>
    <row r="3408" spans="3:3" ht="15">
      <c r="C3408" s="9"/>
    </row>
    <row r="3409" spans="3:3" ht="15">
      <c r="C3409" s="9"/>
    </row>
    <row r="3410" spans="3:3" ht="15">
      <c r="C3410" s="9"/>
    </row>
    <row r="3411" spans="3:3" ht="15">
      <c r="C3411" s="9"/>
    </row>
    <row r="3412" spans="3:3" ht="15">
      <c r="C3412" s="9"/>
    </row>
    <row r="3413" spans="3:3" ht="15">
      <c r="C3413" s="9"/>
    </row>
    <row r="3414" spans="3:3" ht="15">
      <c r="C3414" s="9"/>
    </row>
    <row r="3415" spans="3:3" ht="15">
      <c r="C3415" s="9"/>
    </row>
    <row r="3416" spans="3:3" ht="15">
      <c r="C3416" s="9"/>
    </row>
    <row r="3417" spans="3:3" ht="15">
      <c r="C3417" s="9"/>
    </row>
    <row r="3418" spans="3:3" ht="15">
      <c r="C3418" s="9"/>
    </row>
    <row r="3419" spans="3:3" ht="15">
      <c r="C3419" s="9"/>
    </row>
    <row r="3420" spans="3:3" ht="15">
      <c r="C3420" s="9"/>
    </row>
    <row r="3421" spans="3:3" ht="15">
      <c r="C3421" s="9"/>
    </row>
    <row r="3422" spans="3:3" ht="15">
      <c r="C3422" s="9"/>
    </row>
    <row r="3423" spans="3:3" ht="15">
      <c r="C3423" s="9"/>
    </row>
    <row r="3424" spans="3:3" ht="15">
      <c r="C3424" s="9"/>
    </row>
    <row r="3425" spans="3:3" ht="15">
      <c r="C3425" s="9"/>
    </row>
    <row r="3426" spans="3:3" ht="15">
      <c r="C3426" s="9"/>
    </row>
    <row r="3427" spans="3:3" ht="15">
      <c r="C3427" s="9"/>
    </row>
    <row r="3428" spans="3:3" ht="15">
      <c r="C3428" s="9"/>
    </row>
    <row r="3429" spans="3:3" ht="15">
      <c r="C3429" s="9"/>
    </row>
    <row r="3430" spans="3:3" ht="15">
      <c r="C3430" s="9"/>
    </row>
    <row r="3431" spans="3:3" ht="15">
      <c r="C3431" s="9"/>
    </row>
    <row r="3432" spans="3:3" ht="15">
      <c r="C3432" s="9"/>
    </row>
    <row r="3433" spans="3:3" ht="15">
      <c r="C3433" s="9"/>
    </row>
    <row r="3434" spans="3:3" ht="15">
      <c r="C3434" s="9"/>
    </row>
    <row r="3435" spans="3:3" ht="15">
      <c r="C3435" s="9"/>
    </row>
    <row r="3436" spans="3:3" ht="15">
      <c r="C3436" s="9"/>
    </row>
    <row r="3437" spans="3:3" ht="15">
      <c r="C3437" s="9"/>
    </row>
    <row r="3438" spans="3:3" ht="15">
      <c r="C3438" s="9"/>
    </row>
    <row r="3439" spans="3:3" ht="15">
      <c r="C3439" s="9"/>
    </row>
    <row r="3440" spans="3:3" ht="15">
      <c r="C3440" s="9"/>
    </row>
    <row r="3441" spans="3:3" ht="15">
      <c r="C3441" s="9"/>
    </row>
    <row r="3442" spans="3:3" ht="15">
      <c r="C3442" s="9"/>
    </row>
    <row r="3443" spans="3:3" ht="15">
      <c r="C3443" s="9"/>
    </row>
    <row r="3444" spans="3:3" ht="15">
      <c r="C3444" s="9"/>
    </row>
    <row r="3445" spans="3:3" ht="15">
      <c r="C3445" s="9"/>
    </row>
    <row r="3446" spans="3:3" ht="15">
      <c r="C3446" s="9"/>
    </row>
    <row r="3447" spans="3:3" ht="15">
      <c r="C3447" s="9"/>
    </row>
    <row r="3448" spans="3:3" ht="15">
      <c r="C3448" s="9"/>
    </row>
    <row r="3449" spans="3:3" ht="15">
      <c r="C3449" s="9"/>
    </row>
    <row r="3450" spans="3:3" ht="15">
      <c r="C3450" s="9"/>
    </row>
    <row r="3451" spans="3:3" ht="15">
      <c r="C3451" s="9"/>
    </row>
    <row r="3452" spans="3:3" ht="15">
      <c r="C3452" s="9"/>
    </row>
    <row r="3453" spans="3:3" ht="15">
      <c r="C3453" s="9"/>
    </row>
    <row r="3454" spans="3:3" ht="15">
      <c r="C3454" s="9"/>
    </row>
    <row r="3455" spans="3:3" ht="15">
      <c r="C3455" s="9"/>
    </row>
    <row r="3456" spans="3:3" ht="15">
      <c r="C3456" s="9"/>
    </row>
    <row r="3457" spans="3:3" ht="15">
      <c r="C3457" s="9"/>
    </row>
    <row r="3458" spans="3:3" ht="15">
      <c r="C3458" s="9"/>
    </row>
    <row r="3459" spans="3:3" ht="15">
      <c r="C3459" s="9"/>
    </row>
    <row r="3460" spans="3:3" ht="15">
      <c r="C3460" s="9"/>
    </row>
    <row r="3461" spans="3:3" ht="15">
      <c r="C3461" s="9"/>
    </row>
    <row r="3462" spans="3:3" ht="15">
      <c r="C3462" s="9"/>
    </row>
    <row r="3463" spans="3:3" ht="15">
      <c r="C3463" s="9"/>
    </row>
    <row r="3464" spans="3:3" ht="15">
      <c r="C3464" s="9"/>
    </row>
    <row r="3465" spans="3:3" ht="15">
      <c r="C3465" s="9"/>
    </row>
    <row r="3466" spans="3:3" ht="15">
      <c r="C3466" s="9"/>
    </row>
    <row r="3467" spans="3:3" ht="15">
      <c r="C3467" s="9"/>
    </row>
    <row r="3468" spans="3:3" ht="15">
      <c r="C3468" s="9"/>
    </row>
    <row r="3469" spans="3:3" ht="15">
      <c r="C3469" s="9"/>
    </row>
    <row r="3470" spans="3:3" ht="15">
      <c r="C3470" s="9"/>
    </row>
    <row r="3471" spans="3:3" ht="15">
      <c r="C3471" s="9"/>
    </row>
    <row r="3472" spans="3:3" ht="15">
      <c r="C3472" s="9"/>
    </row>
    <row r="3473" spans="3:3" ht="15">
      <c r="C3473" s="9"/>
    </row>
    <row r="3474" spans="3:3" ht="15">
      <c r="C3474" s="9"/>
    </row>
    <row r="3475" spans="3:3" ht="15">
      <c r="C3475" s="9"/>
    </row>
    <row r="3476" spans="3:3" ht="15">
      <c r="C3476" s="9"/>
    </row>
    <row r="3477" spans="3:3" ht="15">
      <c r="C3477" s="9"/>
    </row>
    <row r="3478" spans="3:3" ht="15">
      <c r="C3478" s="9"/>
    </row>
    <row r="3479" spans="3:3" ht="15">
      <c r="C3479" s="9"/>
    </row>
    <row r="3480" spans="3:3" ht="15">
      <c r="C3480" s="9"/>
    </row>
    <row r="3481" spans="3:3" ht="15">
      <c r="C3481" s="9"/>
    </row>
    <row r="3482" spans="3:3" ht="15">
      <c r="C3482" s="9"/>
    </row>
    <row r="3483" spans="3:3" ht="15">
      <c r="C3483" s="9"/>
    </row>
    <row r="3484" spans="3:3" ht="15">
      <c r="C3484" s="9"/>
    </row>
    <row r="3485" spans="3:3" ht="15">
      <c r="C3485" s="9"/>
    </row>
    <row r="3486" spans="3:3" ht="15">
      <c r="C3486" s="9"/>
    </row>
    <row r="3487" spans="3:3" ht="15">
      <c r="C3487" s="9"/>
    </row>
    <row r="3488" spans="3:3" ht="15">
      <c r="C3488" s="9"/>
    </row>
    <row r="3489" spans="3:3" ht="15">
      <c r="C3489" s="9"/>
    </row>
    <row r="3490" spans="3:3" ht="15">
      <c r="C3490" s="9"/>
    </row>
    <row r="3491" spans="3:3" ht="15">
      <c r="C3491" s="9"/>
    </row>
    <row r="3492" spans="3:3" ht="15">
      <c r="C3492" s="9"/>
    </row>
    <row r="3493" spans="3:3" ht="15">
      <c r="C3493" s="9"/>
    </row>
    <row r="3494" spans="3:3" ht="15">
      <c r="C3494" s="9"/>
    </row>
    <row r="3495" spans="3:3" ht="15">
      <c r="C3495" s="9"/>
    </row>
    <row r="3496" spans="3:3" ht="15">
      <c r="C3496" s="9"/>
    </row>
    <row r="3497" spans="3:3" ht="15">
      <c r="C3497" s="9"/>
    </row>
    <row r="3498" spans="3:3" ht="15">
      <c r="C3498" s="9"/>
    </row>
    <row r="3499" spans="3:3" ht="15">
      <c r="C3499" s="9"/>
    </row>
    <row r="3500" spans="3:3" ht="15">
      <c r="C3500" s="9"/>
    </row>
    <row r="3501" spans="3:3" ht="15">
      <c r="C3501" s="9"/>
    </row>
    <row r="3502" spans="3:3" ht="15">
      <c r="C3502" s="9"/>
    </row>
    <row r="3503" spans="3:3" ht="15">
      <c r="C3503" s="9"/>
    </row>
    <row r="3504" spans="3:3" ht="15">
      <c r="C3504" s="9"/>
    </row>
    <row r="3505" spans="3:3" ht="15">
      <c r="C3505" s="9"/>
    </row>
    <row r="3506" spans="3:3" ht="15">
      <c r="C3506" s="9"/>
    </row>
    <row r="3507" spans="3:3" ht="15">
      <c r="C3507" s="9"/>
    </row>
    <row r="3508" spans="3:3" ht="15">
      <c r="C3508" s="9"/>
    </row>
    <row r="3509" spans="3:3" ht="15">
      <c r="C3509" s="9"/>
    </row>
    <row r="3510" spans="3:3" ht="15">
      <c r="C3510" s="9"/>
    </row>
    <row r="3511" spans="3:3" ht="15">
      <c r="C3511" s="9"/>
    </row>
    <row r="3512" spans="3:3" ht="15">
      <c r="C3512" s="9"/>
    </row>
    <row r="3513" spans="3:3" ht="15">
      <c r="C3513" s="9"/>
    </row>
    <row r="3514" spans="3:3" ht="15">
      <c r="C3514" s="9"/>
    </row>
    <row r="3515" spans="3:3" ht="15">
      <c r="C3515" s="9"/>
    </row>
    <row r="3516" spans="3:3" ht="15">
      <c r="C3516" s="9"/>
    </row>
    <row r="3517" spans="3:3" ht="15">
      <c r="C3517" s="9"/>
    </row>
    <row r="3518" spans="3:3" ht="15">
      <c r="C3518" s="9"/>
    </row>
    <row r="3519" spans="3:3" ht="15">
      <c r="C3519" s="9"/>
    </row>
    <row r="3520" spans="3:3" ht="15">
      <c r="C3520" s="9"/>
    </row>
    <row r="3521" spans="3:3" ht="15">
      <c r="C3521" s="9"/>
    </row>
    <row r="3522" spans="3:3" ht="15">
      <c r="C3522" s="9"/>
    </row>
    <row r="3523" spans="3:3" ht="15">
      <c r="C3523" s="9"/>
    </row>
    <row r="3524" spans="3:3" ht="15">
      <c r="C3524" s="9"/>
    </row>
    <row r="3525" spans="3:3" ht="15">
      <c r="C3525" s="9"/>
    </row>
    <row r="3526" spans="3:3" ht="15">
      <c r="C3526" s="9"/>
    </row>
    <row r="3527" spans="3:3" ht="15">
      <c r="C3527" s="9"/>
    </row>
    <row r="3528" spans="3:3" ht="15">
      <c r="C3528" s="9"/>
    </row>
    <row r="3529" spans="3:3" ht="15">
      <c r="C3529" s="9"/>
    </row>
    <row r="3530" spans="3:3" ht="15">
      <c r="C3530" s="9"/>
    </row>
    <row r="3531" spans="3:3" ht="15">
      <c r="C3531" s="9"/>
    </row>
    <row r="3532" spans="3:3" ht="15">
      <c r="C3532" s="9"/>
    </row>
    <row r="3533" spans="3:3" ht="15">
      <c r="C3533" s="9"/>
    </row>
    <row r="3534" spans="3:3" ht="15">
      <c r="C3534" s="9"/>
    </row>
    <row r="3535" spans="3:3" ht="15">
      <c r="C3535" s="9"/>
    </row>
    <row r="3536" spans="3:3" ht="15">
      <c r="C3536" s="9"/>
    </row>
    <row r="3537" spans="3:3" ht="15">
      <c r="C3537" s="9"/>
    </row>
    <row r="3538" spans="3:3" ht="15">
      <c r="C3538" s="9"/>
    </row>
    <row r="3539" spans="3:3" ht="15">
      <c r="C3539" s="9"/>
    </row>
    <row r="3540" spans="3:3" ht="15">
      <c r="C3540" s="9"/>
    </row>
    <row r="3541" spans="3:3" ht="15">
      <c r="C3541" s="9"/>
    </row>
    <row r="3542" spans="3:3" ht="15">
      <c r="C3542" s="9"/>
    </row>
    <row r="3543" spans="3:3" ht="15">
      <c r="C3543" s="9"/>
    </row>
    <row r="3544" spans="3:3" ht="15">
      <c r="C3544" s="9"/>
    </row>
    <row r="3545" spans="3:3" ht="15">
      <c r="C3545" s="9"/>
    </row>
    <row r="3546" spans="3:3" ht="15">
      <c r="C3546" s="9"/>
    </row>
    <row r="3547" spans="3:3" ht="15">
      <c r="C3547" s="9"/>
    </row>
    <row r="3548" spans="3:3" ht="15">
      <c r="C3548" s="9"/>
    </row>
    <row r="3549" spans="3:3" ht="15">
      <c r="C3549" s="9"/>
    </row>
    <row r="3550" spans="3:3" ht="15">
      <c r="C3550" s="9"/>
    </row>
    <row r="3551" spans="3:3" ht="15">
      <c r="C3551" s="9"/>
    </row>
    <row r="3552" spans="3:3" ht="15">
      <c r="C3552" s="9"/>
    </row>
    <row r="3553" spans="3:3" ht="15">
      <c r="C3553" s="9"/>
    </row>
    <row r="3554" spans="3:3" ht="15">
      <c r="C3554" s="9"/>
    </row>
    <row r="3555" spans="3:3" ht="15">
      <c r="C3555" s="9"/>
    </row>
    <row r="3556" spans="3:3" ht="15">
      <c r="C3556" s="9"/>
    </row>
    <row r="3557" spans="3:3" ht="15">
      <c r="C3557" s="9"/>
    </row>
    <row r="3558" spans="3:3" ht="15">
      <c r="C3558" s="9"/>
    </row>
    <row r="3559" spans="3:3" ht="15">
      <c r="C3559" s="9"/>
    </row>
    <row r="3560" spans="3:3" ht="15">
      <c r="C3560" s="9"/>
    </row>
    <row r="3561" spans="3:3" ht="15">
      <c r="C3561" s="9"/>
    </row>
    <row r="3562" spans="3:3" ht="15">
      <c r="C3562" s="9"/>
    </row>
    <row r="3563" spans="3:3" ht="15">
      <c r="C3563" s="9"/>
    </row>
    <row r="3564" spans="3:3" ht="15">
      <c r="C3564" s="9"/>
    </row>
    <row r="3565" spans="3:3" ht="15">
      <c r="C3565" s="9"/>
    </row>
    <row r="3566" spans="3:3" ht="15">
      <c r="C3566" s="9"/>
    </row>
    <row r="3567" spans="3:3" ht="15">
      <c r="C3567" s="9"/>
    </row>
    <row r="3568" spans="3:3" ht="15">
      <c r="C3568" s="9"/>
    </row>
    <row r="3569" spans="3:3" ht="15">
      <c r="C3569" s="9"/>
    </row>
    <row r="3570" spans="3:3" ht="15">
      <c r="C3570" s="9"/>
    </row>
    <row r="3571" spans="3:3" ht="15">
      <c r="C3571" s="9"/>
    </row>
    <row r="3572" spans="3:3" ht="15">
      <c r="C3572" s="9"/>
    </row>
    <row r="3573" spans="3:3" ht="15">
      <c r="C3573" s="9"/>
    </row>
    <row r="3574" spans="3:3" ht="15">
      <c r="C3574" s="9"/>
    </row>
    <row r="3575" spans="3:3" ht="15">
      <c r="C3575" s="9"/>
    </row>
    <row r="3576" spans="3:3" ht="15">
      <c r="C3576" s="9"/>
    </row>
    <row r="3577" spans="3:3" ht="15">
      <c r="C3577" s="9"/>
    </row>
    <row r="3578" spans="3:3" ht="15">
      <c r="C3578" s="9"/>
    </row>
    <row r="3579" spans="3:3" ht="15">
      <c r="C3579" s="9"/>
    </row>
    <row r="3580" spans="3:3" ht="15">
      <c r="C3580" s="9"/>
    </row>
    <row r="3581" spans="3:3" ht="15">
      <c r="C3581" s="9"/>
    </row>
    <row r="3582" spans="3:3" ht="15">
      <c r="C3582" s="9"/>
    </row>
    <row r="3583" spans="3:3" ht="15">
      <c r="C3583" s="9"/>
    </row>
    <row r="3584" spans="3:3" ht="15">
      <c r="C3584" s="9"/>
    </row>
    <row r="3585" spans="3:3" ht="15">
      <c r="C3585" s="9"/>
    </row>
    <row r="3586" spans="3:3" ht="15">
      <c r="C3586" s="9"/>
    </row>
    <row r="3587" spans="3:3" ht="15">
      <c r="C3587" s="9"/>
    </row>
    <row r="3588" spans="3:3" ht="15">
      <c r="C3588" s="9"/>
    </row>
    <row r="3589" spans="3:3" ht="15">
      <c r="C3589" s="9"/>
    </row>
    <row r="3590" spans="3:3" ht="15">
      <c r="C3590" s="9"/>
    </row>
    <row r="3591" spans="3:3" ht="15">
      <c r="C3591" s="9"/>
    </row>
    <row r="3592" spans="3:3" ht="15">
      <c r="C3592" s="9"/>
    </row>
    <row r="3593" spans="3:3" ht="15">
      <c r="C3593" s="9"/>
    </row>
    <row r="3594" spans="3:3" ht="15">
      <c r="C3594" s="9"/>
    </row>
    <row r="3595" spans="3:3" ht="15">
      <c r="C3595" s="9"/>
    </row>
    <row r="3596" spans="3:3" ht="15">
      <c r="C3596" s="9"/>
    </row>
    <row r="3597" spans="3:3" ht="15">
      <c r="C3597" s="9"/>
    </row>
    <row r="3598" spans="3:3" ht="15">
      <c r="C3598" s="9"/>
    </row>
    <row r="3599" spans="3:3" ht="15">
      <c r="C3599" s="9"/>
    </row>
    <row r="3600" spans="3:3" ht="15">
      <c r="C3600" s="9"/>
    </row>
    <row r="3601" spans="3:3" ht="15">
      <c r="C3601" s="9"/>
    </row>
    <row r="3602" spans="3:3" ht="15">
      <c r="C3602" s="9"/>
    </row>
    <row r="3603" spans="3:3" ht="15">
      <c r="C3603" s="9"/>
    </row>
    <row r="3604" spans="3:3" ht="15">
      <c r="C3604" s="9"/>
    </row>
    <row r="3605" spans="3:3" ht="15">
      <c r="C3605" s="9"/>
    </row>
    <row r="3606" spans="3:3" ht="15">
      <c r="C3606" s="9"/>
    </row>
    <row r="3607" spans="3:3" ht="15">
      <c r="C3607" s="9"/>
    </row>
    <row r="3608" spans="3:3" ht="15">
      <c r="C3608" s="9"/>
    </row>
    <row r="3609" spans="3:3" ht="15">
      <c r="C3609" s="9"/>
    </row>
    <row r="3610" spans="3:3" ht="15">
      <c r="C3610" s="9"/>
    </row>
    <row r="3611" spans="3:3" ht="15">
      <c r="C3611" s="9"/>
    </row>
    <row r="3612" spans="3:3" ht="15">
      <c r="C3612" s="9"/>
    </row>
    <row r="3613" spans="3:3" ht="15">
      <c r="C3613" s="9"/>
    </row>
    <row r="3614" spans="3:3" ht="15">
      <c r="C3614" s="9"/>
    </row>
    <row r="3615" spans="3:3" ht="15">
      <c r="C3615" s="9"/>
    </row>
    <row r="3616" spans="3:3" ht="15">
      <c r="C3616" s="9"/>
    </row>
    <row r="3617" spans="3:3" ht="15">
      <c r="C3617" s="9"/>
    </row>
    <row r="3618" spans="3:3" ht="15">
      <c r="C3618" s="9"/>
    </row>
    <row r="3619" spans="3:3" ht="15">
      <c r="C3619" s="9"/>
    </row>
    <row r="3620" spans="3:3" ht="15">
      <c r="C3620" s="9"/>
    </row>
    <row r="3621" spans="3:3" ht="15">
      <c r="C3621" s="9"/>
    </row>
    <row r="3622" spans="3:3" ht="15">
      <c r="C3622" s="9"/>
    </row>
  </sheetData>
  <sortState xmlns:xlrd2="http://schemas.microsoft.com/office/spreadsheetml/2017/richdata2" ref="A2:C168">
    <sortCondition ref="B2:B168"/>
  </sortState>
  <conditionalFormatting sqref="A1:A170 A184:A1048576">
    <cfRule type="duplicateValues" dxfId="26" priority="8"/>
  </conditionalFormatting>
  <conditionalFormatting sqref="A184:A1048576 A1:A182">
    <cfRule type="duplicateValues" dxfId="25" priority="4"/>
  </conditionalFormatting>
  <conditionalFormatting sqref="E1:E170 E186:E1048576">
    <cfRule type="duplicateValues" dxfId="24" priority="6"/>
  </conditionalFormatting>
  <conditionalFormatting sqref="A171:A182">
    <cfRule type="duplicateValues" dxfId="23" priority="13"/>
  </conditionalFormatting>
  <conditionalFormatting sqref="E184:E185">
    <cfRule type="duplicateValues" dxfId="22" priority="2"/>
  </conditionalFormatting>
  <conditionalFormatting sqref="E184:E185 E172:E182">
    <cfRule type="duplicateValues" dxfId="21" priority="1"/>
  </conditionalFormatting>
  <conditionalFormatting sqref="E172:E182">
    <cfRule type="duplicateValues" dxfId="20" priority="3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topLeftCell="A4" workbookViewId="0">
      <selection activeCell="D22" sqref="D22"/>
    </sheetView>
  </sheetViews>
  <sheetFormatPr defaultColWidth="9.140625" defaultRowHeight="16.5"/>
  <cols>
    <col min="1" max="1" width="10" style="10" customWidth="1"/>
    <col min="2" max="2" width="23.5703125" style="10" bestFit="1" customWidth="1"/>
    <col min="3" max="3" width="13.85546875" style="10" customWidth="1"/>
    <col min="4" max="4" width="41.28515625" style="10" customWidth="1"/>
    <col min="5" max="5" width="13.140625" style="10" customWidth="1"/>
    <col min="6" max="16384" width="9.140625" style="10"/>
  </cols>
  <sheetData>
    <row r="1" spans="1:5">
      <c r="A1" s="11" t="s">
        <v>187</v>
      </c>
      <c r="B1" s="11" t="s">
        <v>188</v>
      </c>
      <c r="C1" s="11" t="s">
        <v>189</v>
      </c>
      <c r="D1" s="11" t="s">
        <v>190</v>
      </c>
      <c r="E1" s="11" t="s">
        <v>191</v>
      </c>
    </row>
    <row r="2" spans="1:5">
      <c r="A2" s="10">
        <v>1</v>
      </c>
      <c r="B2" s="10" t="s">
        <v>192</v>
      </c>
      <c r="C2" s="10" t="s">
        <v>193</v>
      </c>
      <c r="D2" s="10" t="s">
        <v>194</v>
      </c>
      <c r="E2" s="10">
        <v>1</v>
      </c>
    </row>
    <row r="3" spans="1:5">
      <c r="A3" s="10">
        <v>2</v>
      </c>
      <c r="B3" s="10" t="s">
        <v>195</v>
      </c>
      <c r="C3" s="10" t="s">
        <v>193</v>
      </c>
      <c r="D3" s="10" t="s">
        <v>196</v>
      </c>
      <c r="E3" s="10">
        <v>1.3</v>
      </c>
    </row>
    <row r="4" spans="1:5">
      <c r="A4" s="10">
        <v>3</v>
      </c>
      <c r="B4" s="10" t="s">
        <v>197</v>
      </c>
      <c r="C4" s="10" t="s">
        <v>193</v>
      </c>
      <c r="D4" s="10" t="s">
        <v>194</v>
      </c>
      <c r="E4" s="10">
        <v>1</v>
      </c>
    </row>
    <row r="5" spans="1:5">
      <c r="A5" s="10">
        <v>4</v>
      </c>
      <c r="B5" s="10" t="s">
        <v>198</v>
      </c>
      <c r="C5" s="10" t="s">
        <v>193</v>
      </c>
      <c r="D5" s="10" t="s">
        <v>194</v>
      </c>
      <c r="E5" s="10">
        <v>1</v>
      </c>
    </row>
    <row r="6" spans="1:5">
      <c r="A6" s="10">
        <v>5</v>
      </c>
      <c r="B6" s="10" t="s">
        <v>199</v>
      </c>
      <c r="C6" s="10" t="s">
        <v>193</v>
      </c>
      <c r="D6" s="10" t="s">
        <v>196</v>
      </c>
      <c r="E6" s="10">
        <v>1.5</v>
      </c>
    </row>
    <row r="7" spans="1:5">
      <c r="A7" s="10">
        <v>6</v>
      </c>
      <c r="B7" s="10" t="s">
        <v>200</v>
      </c>
      <c r="C7" s="10" t="s">
        <v>193</v>
      </c>
      <c r="D7" s="10" t="s">
        <v>196</v>
      </c>
      <c r="E7" s="10">
        <v>1.5</v>
      </c>
    </row>
    <row r="8" spans="1:5">
      <c r="A8" s="10">
        <v>7</v>
      </c>
      <c r="B8" s="10" t="s">
        <v>201</v>
      </c>
      <c r="C8" s="10" t="s">
        <v>202</v>
      </c>
      <c r="D8" s="10" t="s">
        <v>203</v>
      </c>
      <c r="E8" s="10">
        <v>1.5</v>
      </c>
    </row>
    <row r="9" spans="1:5">
      <c r="A9" s="10">
        <v>8</v>
      </c>
      <c r="B9" s="10" t="s">
        <v>204</v>
      </c>
      <c r="C9" s="10" t="s">
        <v>202</v>
      </c>
      <c r="D9" s="10" t="s">
        <v>203</v>
      </c>
      <c r="E9" s="10">
        <v>1.5</v>
      </c>
    </row>
    <row r="10" spans="1:5">
      <c r="A10" s="10">
        <v>9</v>
      </c>
      <c r="B10" s="10" t="s">
        <v>205</v>
      </c>
      <c r="C10" s="10" t="s">
        <v>202</v>
      </c>
      <c r="D10" s="10" t="s">
        <v>203</v>
      </c>
      <c r="E10" s="10">
        <v>1.5</v>
      </c>
    </row>
    <row r="11" spans="1:5">
      <c r="A11" s="10">
        <v>10</v>
      </c>
      <c r="B11" s="10" t="s">
        <v>206</v>
      </c>
      <c r="C11" s="10" t="s">
        <v>202</v>
      </c>
      <c r="D11" s="10" t="s">
        <v>196</v>
      </c>
      <c r="E11" s="10">
        <v>1</v>
      </c>
    </row>
    <row r="12" spans="1:5">
      <c r="A12" s="10">
        <v>11</v>
      </c>
      <c r="B12" s="10" t="s">
        <v>207</v>
      </c>
      <c r="C12" s="10" t="s">
        <v>202</v>
      </c>
      <c r="D12" s="10" t="s">
        <v>196</v>
      </c>
      <c r="E12" s="10">
        <v>1.5</v>
      </c>
    </row>
    <row r="13" spans="1:5">
      <c r="A13" s="10">
        <v>12</v>
      </c>
      <c r="B13" s="10" t="s">
        <v>208</v>
      </c>
      <c r="C13" s="10" t="s">
        <v>202</v>
      </c>
      <c r="D13" s="10" t="s">
        <v>203</v>
      </c>
      <c r="E13" s="10">
        <v>2</v>
      </c>
    </row>
    <row r="14" spans="1:5">
      <c r="B14" s="10" t="s">
        <v>209</v>
      </c>
      <c r="C14" s="10" t="s">
        <v>193</v>
      </c>
      <c r="D14" s="10" t="s">
        <v>194</v>
      </c>
      <c r="E14" s="10">
        <v>1</v>
      </c>
    </row>
    <row r="15" spans="1:5">
      <c r="B15" s="10" t="s">
        <v>210</v>
      </c>
      <c r="C15" s="10" t="s">
        <v>193</v>
      </c>
      <c r="D15" s="10" t="s">
        <v>196</v>
      </c>
      <c r="E15" s="10">
        <v>1.5</v>
      </c>
    </row>
    <row r="16" spans="1:5">
      <c r="B16" s="10" t="s">
        <v>211</v>
      </c>
      <c r="C16" s="10" t="s">
        <v>193</v>
      </c>
      <c r="D16" s="10" t="s">
        <v>196</v>
      </c>
      <c r="E16" s="10">
        <v>1.5</v>
      </c>
    </row>
    <row r="17" spans="2:5">
      <c r="B17" s="16" t="s">
        <v>212</v>
      </c>
      <c r="C17" s="10" t="s">
        <v>193</v>
      </c>
      <c r="D17" s="10" t="s">
        <v>194</v>
      </c>
      <c r="E17" s="10">
        <v>1</v>
      </c>
    </row>
    <row r="18" spans="2:5">
      <c r="B18" s="10" t="s">
        <v>213</v>
      </c>
      <c r="C18" s="10" t="s">
        <v>193</v>
      </c>
      <c r="D18" s="10" t="s">
        <v>196</v>
      </c>
      <c r="E18" s="10">
        <v>1.5</v>
      </c>
    </row>
    <row r="19" spans="2:5">
      <c r="B19" s="10" t="s">
        <v>214</v>
      </c>
      <c r="C19" s="10" t="s">
        <v>193</v>
      </c>
      <c r="D19" s="10" t="s">
        <v>196</v>
      </c>
      <c r="E19" s="10">
        <v>1.5</v>
      </c>
    </row>
    <row r="20" spans="2:5">
      <c r="B20" s="10" t="s">
        <v>215</v>
      </c>
      <c r="C20" s="10" t="s">
        <v>193</v>
      </c>
      <c r="D20" s="10" t="s">
        <v>196</v>
      </c>
      <c r="E20" s="10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B9"/>
  <sheetViews>
    <sheetView workbookViewId="0">
      <selection activeCell="B4" sqref="B4"/>
    </sheetView>
  </sheetViews>
  <sheetFormatPr defaultColWidth="9" defaultRowHeight="15"/>
  <cols>
    <col min="2" max="2" width="14.28515625" customWidth="1"/>
  </cols>
  <sheetData>
    <row r="3" spans="2:2">
      <c r="B3" s="8" t="s">
        <v>216</v>
      </c>
    </row>
    <row r="4" spans="2:2">
      <c r="B4" s="9" t="s">
        <v>217</v>
      </c>
    </row>
    <row r="5" spans="2:2">
      <c r="B5" s="9" t="s">
        <v>218</v>
      </c>
    </row>
    <row r="6" spans="2:2">
      <c r="B6" s="9" t="s">
        <v>219</v>
      </c>
    </row>
    <row r="7" spans="2:2">
      <c r="B7" s="9" t="s">
        <v>220</v>
      </c>
    </row>
    <row r="8" spans="2:2">
      <c r="B8" s="9" t="s">
        <v>221</v>
      </c>
    </row>
    <row r="9" spans="2:2">
      <c r="B9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50"/>
  <sheetViews>
    <sheetView tabSelected="1" workbookViewId="0">
      <pane ySplit="1" topLeftCell="A784" activePane="bottomLeft" state="frozen"/>
      <selection pane="bottomLeft" activeCell="L791" sqref="L791:L950"/>
    </sheetView>
  </sheetViews>
  <sheetFormatPr defaultColWidth="9.140625" defaultRowHeight="15"/>
  <cols>
    <col min="1" max="1" width="10.42578125" style="35" bestFit="1" customWidth="1"/>
    <col min="2" max="2" width="17.28515625" style="36" bestFit="1" customWidth="1"/>
    <col min="3" max="3" width="27.42578125" style="9" bestFit="1" customWidth="1"/>
    <col min="4" max="4" width="16.42578125" style="9" bestFit="1" customWidth="1"/>
    <col min="5" max="5" width="19.28515625" style="9" hidden="1" customWidth="1"/>
    <col min="6" max="6" width="20.42578125" style="9" hidden="1" customWidth="1"/>
    <col min="7" max="7" width="66.42578125" style="9" hidden="1" customWidth="1"/>
    <col min="8" max="8" width="18.140625" style="9" bestFit="1" customWidth="1"/>
    <col min="9" max="9" width="11.7109375" style="9" bestFit="1" customWidth="1"/>
    <col min="10" max="10" width="10" style="9" bestFit="1" customWidth="1"/>
    <col min="11" max="11" width="13.42578125" style="9" bestFit="1" customWidth="1"/>
    <col min="12" max="12" width="18.140625" style="9" bestFit="1" customWidth="1"/>
    <col min="13" max="16384" width="9.140625" style="1"/>
  </cols>
  <sheetData>
    <row r="1" spans="1:12">
      <c r="A1" s="5" t="s">
        <v>222</v>
      </c>
      <c r="B1" s="5" t="s">
        <v>0</v>
      </c>
      <c r="C1" s="5" t="s">
        <v>1</v>
      </c>
      <c r="D1" s="5" t="s">
        <v>223</v>
      </c>
      <c r="E1" s="5" t="s">
        <v>224</v>
      </c>
      <c r="F1" s="5" t="s">
        <v>225</v>
      </c>
      <c r="G1" s="5" t="s">
        <v>226</v>
      </c>
      <c r="H1" s="5" t="s">
        <v>227</v>
      </c>
      <c r="I1" s="5" t="s">
        <v>228</v>
      </c>
      <c r="J1" s="5" t="s">
        <v>191</v>
      </c>
      <c r="K1" s="5" t="s">
        <v>229</v>
      </c>
      <c r="L1" s="5" t="s">
        <v>230</v>
      </c>
    </row>
    <row r="2" spans="1:12">
      <c r="A2" s="20">
        <v>46026</v>
      </c>
      <c r="B2" s="17">
        <v>365114</v>
      </c>
      <c r="C2" s="18" t="str">
        <f>VLOOKUP(B2,Employee_Master!A:B,2,0)</f>
        <v>Bhanu Sirohi</v>
      </c>
      <c r="D2" s="7" t="s">
        <v>206</v>
      </c>
      <c r="E2" s="7" t="s">
        <v>231</v>
      </c>
      <c r="F2" s="7" t="s">
        <v>231</v>
      </c>
      <c r="G2" s="7"/>
      <c r="H2" s="19">
        <v>70.777000000000001</v>
      </c>
      <c r="I2" s="7">
        <f t="shared" ref="I2:I33" si="0">IF(G2="Winner",100,IF(G2="Runner-up",70,IF(G2="2nd Runner-up",50,IF(G2="Semi",30,IF(G2="Quarter",20,0)))))</f>
        <v>0</v>
      </c>
      <c r="J2" s="7">
        <f>IFERROR(VLOOKUP(D2,Event_Master!B:E,4,FALSE),1)</f>
        <v>1</v>
      </c>
      <c r="K2" s="7">
        <f t="shared" ref="K2:K33" si="1">(I2*J2)</f>
        <v>0</v>
      </c>
      <c r="L2" s="19">
        <f t="shared" ref="L2:L33" si="2">K2+H2</f>
        <v>70.777000000000001</v>
      </c>
    </row>
    <row r="3" spans="1:12">
      <c r="A3" s="20">
        <v>46026</v>
      </c>
      <c r="B3" s="17">
        <v>396485</v>
      </c>
      <c r="C3" s="18" t="str">
        <f>VLOOKUP(B3,Employee_Master!A:B,2,0)</f>
        <v>Khushbir Singh</v>
      </c>
      <c r="D3" s="7" t="s">
        <v>206</v>
      </c>
      <c r="E3" s="7" t="s">
        <v>231</v>
      </c>
      <c r="F3" s="7" t="s">
        <v>231</v>
      </c>
      <c r="G3" s="7"/>
      <c r="H3" s="19">
        <v>52.157600000000002</v>
      </c>
      <c r="I3" s="7">
        <f t="shared" si="0"/>
        <v>0</v>
      </c>
      <c r="J3" s="7">
        <f>IFERROR(VLOOKUP(D3,Event_Master!B:E,4,FALSE),1)</f>
        <v>1</v>
      </c>
      <c r="K3" s="7">
        <f t="shared" si="1"/>
        <v>0</v>
      </c>
      <c r="L3" s="19">
        <f t="shared" si="2"/>
        <v>52.157600000000002</v>
      </c>
    </row>
    <row r="4" spans="1:12">
      <c r="A4" s="20">
        <v>46026</v>
      </c>
      <c r="B4" s="17">
        <v>412273</v>
      </c>
      <c r="C4" s="18" t="str">
        <f>VLOOKUP(B4,Employee_Master!A:B,2,0)</f>
        <v>Sandeep Sengar</v>
      </c>
      <c r="D4" s="7" t="s">
        <v>206</v>
      </c>
      <c r="E4" s="7" t="s">
        <v>231</v>
      </c>
      <c r="F4" s="7" t="s">
        <v>231</v>
      </c>
      <c r="G4" s="7"/>
      <c r="H4" s="19">
        <v>11.3269</v>
      </c>
      <c r="I4" s="7">
        <f t="shared" si="0"/>
        <v>0</v>
      </c>
      <c r="J4" s="7">
        <f>IFERROR(VLOOKUP(D4,Event_Master!B:E,4,FALSE),1)</f>
        <v>1</v>
      </c>
      <c r="K4" s="7">
        <f t="shared" si="1"/>
        <v>0</v>
      </c>
      <c r="L4" s="19">
        <f t="shared" si="2"/>
        <v>11.3269</v>
      </c>
    </row>
    <row r="5" spans="1:12">
      <c r="A5" s="20">
        <v>46026</v>
      </c>
      <c r="B5" s="17">
        <v>416828</v>
      </c>
      <c r="C5" s="18" t="str">
        <f>VLOOKUP(B5,Employee_Master!A:B,2,0)</f>
        <v>Keshav Dev</v>
      </c>
      <c r="D5" s="7" t="s">
        <v>206</v>
      </c>
      <c r="E5" s="7" t="s">
        <v>231</v>
      </c>
      <c r="F5" s="7" t="s">
        <v>231</v>
      </c>
      <c r="G5" s="7"/>
      <c r="H5" s="19">
        <v>41.595100000000002</v>
      </c>
      <c r="I5" s="7">
        <f t="shared" si="0"/>
        <v>0</v>
      </c>
      <c r="J5" s="7">
        <f>IFERROR(VLOOKUP(D5,Event_Master!B:E,4,FALSE),1)</f>
        <v>1</v>
      </c>
      <c r="K5" s="7">
        <f t="shared" si="1"/>
        <v>0</v>
      </c>
      <c r="L5" s="19">
        <f t="shared" si="2"/>
        <v>41.595100000000002</v>
      </c>
    </row>
    <row r="6" spans="1:12">
      <c r="A6" s="20">
        <v>46026</v>
      </c>
      <c r="B6" s="17">
        <v>420109</v>
      </c>
      <c r="C6" s="18" t="str">
        <f>VLOOKUP(B6,Employee_Master!A:B,2,0)</f>
        <v>Chandraprakash Nandwana</v>
      </c>
      <c r="D6" s="7" t="s">
        <v>206</v>
      </c>
      <c r="E6" s="7" t="s">
        <v>231</v>
      </c>
      <c r="F6" s="7" t="s">
        <v>231</v>
      </c>
      <c r="G6" s="7"/>
      <c r="H6" s="19">
        <v>26.036000000000001</v>
      </c>
      <c r="I6" s="7">
        <f t="shared" si="0"/>
        <v>0</v>
      </c>
      <c r="J6" s="7">
        <f>IFERROR(VLOOKUP(D6,Event_Master!B:E,4,FALSE),1)</f>
        <v>1</v>
      </c>
      <c r="K6" s="7">
        <f t="shared" si="1"/>
        <v>0</v>
      </c>
      <c r="L6" s="19">
        <f t="shared" si="2"/>
        <v>26.036000000000001</v>
      </c>
    </row>
    <row r="7" spans="1:12">
      <c r="A7" s="20">
        <v>46026</v>
      </c>
      <c r="B7" s="17">
        <v>424332</v>
      </c>
      <c r="C7" s="18" t="str">
        <f>VLOOKUP(B7,Employee_Master!A:B,2,0)</f>
        <v>Naresh Kumar</v>
      </c>
      <c r="D7" s="7" t="s">
        <v>206</v>
      </c>
      <c r="E7" s="7" t="s">
        <v>231</v>
      </c>
      <c r="F7" s="7" t="s">
        <v>231</v>
      </c>
      <c r="G7" s="7"/>
      <c r="H7" s="19">
        <v>30.804600000000001</v>
      </c>
      <c r="I7" s="7">
        <f t="shared" si="0"/>
        <v>0</v>
      </c>
      <c r="J7" s="7">
        <f>IFERROR(VLOOKUP(D7,Event_Master!B:E,4,FALSE),1)</f>
        <v>1</v>
      </c>
      <c r="K7" s="7">
        <f t="shared" si="1"/>
        <v>0</v>
      </c>
      <c r="L7" s="19">
        <f t="shared" si="2"/>
        <v>30.804600000000001</v>
      </c>
    </row>
    <row r="8" spans="1:12">
      <c r="A8" s="20">
        <v>46026</v>
      </c>
      <c r="B8" s="17">
        <v>426232</v>
      </c>
      <c r="C8" s="18" t="str">
        <f>VLOOKUP(B8,Employee_Master!A:B,2,0)</f>
        <v>Varish Hussain</v>
      </c>
      <c r="D8" s="7" t="s">
        <v>206</v>
      </c>
      <c r="E8" s="7" t="s">
        <v>231</v>
      </c>
      <c r="F8" s="7" t="s">
        <v>231</v>
      </c>
      <c r="G8" s="7"/>
      <c r="H8" s="19">
        <v>17.884699999999999</v>
      </c>
      <c r="I8" s="7">
        <f t="shared" si="0"/>
        <v>0</v>
      </c>
      <c r="J8" s="7">
        <f>IFERROR(VLOOKUP(D8,Event_Master!B:E,4,FALSE),1)</f>
        <v>1</v>
      </c>
      <c r="K8" s="7">
        <f t="shared" si="1"/>
        <v>0</v>
      </c>
      <c r="L8" s="19">
        <f t="shared" si="2"/>
        <v>17.884699999999999</v>
      </c>
    </row>
    <row r="9" spans="1:12">
      <c r="A9" s="20">
        <v>46026</v>
      </c>
      <c r="B9" s="17">
        <v>427154</v>
      </c>
      <c r="C9" s="18" t="str">
        <f>VLOOKUP(B9,Employee_Master!A:B,2,0)</f>
        <v>Rohan Mehra</v>
      </c>
      <c r="D9" s="7" t="s">
        <v>206</v>
      </c>
      <c r="E9" s="7" t="s">
        <v>231</v>
      </c>
      <c r="F9" s="7" t="s">
        <v>231</v>
      </c>
      <c r="G9" s="7"/>
      <c r="H9" s="19">
        <v>4.6855000000000002</v>
      </c>
      <c r="I9" s="7">
        <f t="shared" si="0"/>
        <v>0</v>
      </c>
      <c r="J9" s="7">
        <f>IFERROR(VLOOKUP(D9,Event_Master!B:E,4,FALSE),1)</f>
        <v>1</v>
      </c>
      <c r="K9" s="7">
        <f t="shared" si="1"/>
        <v>0</v>
      </c>
      <c r="L9" s="19">
        <f t="shared" si="2"/>
        <v>4.6855000000000002</v>
      </c>
    </row>
    <row r="10" spans="1:12">
      <c r="A10" s="20">
        <v>46026</v>
      </c>
      <c r="B10" s="17">
        <v>427568</v>
      </c>
      <c r="C10" s="18" t="str">
        <f>VLOOKUP(B10,Employee_Master!A:B,2,0)</f>
        <v>Anjali Sundrani</v>
      </c>
      <c r="D10" s="7" t="s">
        <v>206</v>
      </c>
      <c r="E10" s="7" t="s">
        <v>231</v>
      </c>
      <c r="F10" s="7" t="s">
        <v>231</v>
      </c>
      <c r="G10" s="7"/>
      <c r="H10" s="19">
        <v>3.9742000000000002</v>
      </c>
      <c r="I10" s="7">
        <f t="shared" si="0"/>
        <v>0</v>
      </c>
      <c r="J10" s="7">
        <f>IFERROR(VLOOKUP(D10,Event_Master!B:E,4,FALSE),1)</f>
        <v>1</v>
      </c>
      <c r="K10" s="7">
        <f t="shared" si="1"/>
        <v>0</v>
      </c>
      <c r="L10" s="19">
        <f t="shared" si="2"/>
        <v>3.9742000000000002</v>
      </c>
    </row>
    <row r="11" spans="1:12">
      <c r="A11" s="20">
        <v>46026</v>
      </c>
      <c r="B11" s="17">
        <v>428544</v>
      </c>
      <c r="C11" s="18" t="str">
        <f>VLOOKUP(B11,Employee_Master!A:B,2,0)</f>
        <v>Harjot Singh</v>
      </c>
      <c r="D11" s="7" t="s">
        <v>206</v>
      </c>
      <c r="E11" s="7" t="s">
        <v>231</v>
      </c>
      <c r="F11" s="7" t="s">
        <v>231</v>
      </c>
      <c r="G11" s="7"/>
      <c r="H11" s="19">
        <v>12.429</v>
      </c>
      <c r="I11" s="7">
        <f t="shared" si="0"/>
        <v>0</v>
      </c>
      <c r="J11" s="7">
        <f>IFERROR(VLOOKUP(D11,Event_Master!B:E,4,FALSE),1)</f>
        <v>1</v>
      </c>
      <c r="K11" s="7">
        <f t="shared" si="1"/>
        <v>0</v>
      </c>
      <c r="L11" s="19">
        <f t="shared" si="2"/>
        <v>12.429</v>
      </c>
    </row>
    <row r="12" spans="1:12">
      <c r="A12" s="20">
        <v>46026</v>
      </c>
      <c r="B12" s="17">
        <v>430977</v>
      </c>
      <c r="C12" s="18" t="str">
        <f>VLOOKUP(B12,Employee_Master!A:B,2,0)</f>
        <v>Akshit Sood</v>
      </c>
      <c r="D12" s="7" t="s">
        <v>206</v>
      </c>
      <c r="E12" s="7" t="s">
        <v>231</v>
      </c>
      <c r="F12" s="7" t="s">
        <v>231</v>
      </c>
      <c r="G12" s="7"/>
      <c r="H12" s="19">
        <v>23.6</v>
      </c>
      <c r="I12" s="7">
        <f t="shared" si="0"/>
        <v>0</v>
      </c>
      <c r="J12" s="7">
        <f>IFERROR(VLOOKUP(D12,Event_Master!B:E,4,FALSE),1)</f>
        <v>1</v>
      </c>
      <c r="K12" s="7">
        <f t="shared" si="1"/>
        <v>0</v>
      </c>
      <c r="L12" s="19">
        <f t="shared" si="2"/>
        <v>23.6</v>
      </c>
    </row>
    <row r="13" spans="1:12">
      <c r="A13" s="20">
        <v>46026</v>
      </c>
      <c r="B13" s="17">
        <v>432865</v>
      </c>
      <c r="C13" s="18" t="str">
        <f>VLOOKUP(B13,Employee_Master!A:B,2,0)</f>
        <v>Rupesh Gandhi</v>
      </c>
      <c r="D13" s="7" t="s">
        <v>206</v>
      </c>
      <c r="E13" s="7" t="s">
        <v>231</v>
      </c>
      <c r="F13" s="7" t="s">
        <v>231</v>
      </c>
      <c r="G13" s="7"/>
      <c r="H13" s="19">
        <v>22.316600000000001</v>
      </c>
      <c r="I13" s="7">
        <f t="shared" si="0"/>
        <v>0</v>
      </c>
      <c r="J13" s="7">
        <f>IFERROR(VLOOKUP(D13,Event_Master!B:E,4,FALSE),1)</f>
        <v>1</v>
      </c>
      <c r="K13" s="7">
        <f t="shared" si="1"/>
        <v>0</v>
      </c>
      <c r="L13" s="19">
        <f t="shared" si="2"/>
        <v>22.316600000000001</v>
      </c>
    </row>
    <row r="14" spans="1:12">
      <c r="A14" s="20">
        <v>46026</v>
      </c>
      <c r="B14" s="17">
        <v>433939</v>
      </c>
      <c r="C14" s="18" t="str">
        <f>VLOOKUP(B14,Employee_Master!A:B,2,0)</f>
        <v>Manish Kumar</v>
      </c>
      <c r="D14" s="7" t="s">
        <v>206</v>
      </c>
      <c r="E14" s="7" t="s">
        <v>231</v>
      </c>
      <c r="F14" s="7" t="s">
        <v>231</v>
      </c>
      <c r="G14" s="7"/>
      <c r="H14" s="19">
        <v>21.401299999999999</v>
      </c>
      <c r="I14" s="7">
        <f t="shared" si="0"/>
        <v>0</v>
      </c>
      <c r="J14" s="7">
        <f>IFERROR(VLOOKUP(D14,Event_Master!B:E,4,FALSE),1)</f>
        <v>1</v>
      </c>
      <c r="K14" s="7">
        <f t="shared" si="1"/>
        <v>0</v>
      </c>
      <c r="L14" s="19">
        <f t="shared" si="2"/>
        <v>21.401299999999999</v>
      </c>
    </row>
    <row r="15" spans="1:12">
      <c r="A15" s="20">
        <v>46026</v>
      </c>
      <c r="B15" s="17">
        <v>434518</v>
      </c>
      <c r="C15" s="18" t="str">
        <f>VLOOKUP(B15,Employee_Master!A:B,2,0)</f>
        <v>Maneesh Mohan</v>
      </c>
      <c r="D15" s="7" t="s">
        <v>206</v>
      </c>
      <c r="E15" s="7" t="s">
        <v>231</v>
      </c>
      <c r="F15" s="7" t="s">
        <v>231</v>
      </c>
      <c r="G15" s="7"/>
      <c r="H15" s="19">
        <v>19.445</v>
      </c>
      <c r="I15" s="7">
        <f t="shared" si="0"/>
        <v>0</v>
      </c>
      <c r="J15" s="7">
        <f>IFERROR(VLOOKUP(D15,Event_Master!B:E,4,FALSE),1)</f>
        <v>1</v>
      </c>
      <c r="K15" s="7">
        <f t="shared" si="1"/>
        <v>0</v>
      </c>
      <c r="L15" s="19">
        <f t="shared" si="2"/>
        <v>19.445</v>
      </c>
    </row>
    <row r="16" spans="1:12">
      <c r="A16" s="20">
        <v>46026</v>
      </c>
      <c r="B16" s="17">
        <v>437534</v>
      </c>
      <c r="C16" s="18" t="str">
        <f>VLOOKUP(B16,Employee_Master!A:B,2,0)</f>
        <v>Himanshu Sangar</v>
      </c>
      <c r="D16" s="7" t="s">
        <v>206</v>
      </c>
      <c r="E16" s="7" t="s">
        <v>231</v>
      </c>
      <c r="F16" s="7" t="s">
        <v>231</v>
      </c>
      <c r="G16" s="7"/>
      <c r="H16" s="19">
        <v>64.029399999999995</v>
      </c>
      <c r="I16" s="7">
        <f t="shared" si="0"/>
        <v>0</v>
      </c>
      <c r="J16" s="7">
        <f>IFERROR(VLOOKUP(D16,Event_Master!B:E,4,FALSE),1)</f>
        <v>1</v>
      </c>
      <c r="K16" s="7">
        <f t="shared" si="1"/>
        <v>0</v>
      </c>
      <c r="L16" s="19">
        <f t="shared" si="2"/>
        <v>64.029399999999995</v>
      </c>
    </row>
    <row r="17" spans="1:12">
      <c r="A17" s="20">
        <v>46026</v>
      </c>
      <c r="B17" s="17">
        <v>438263</v>
      </c>
      <c r="C17" s="18" t="str">
        <f>VLOOKUP(B17,Employee_Master!A:B,2,0)</f>
        <v>Vikash Kumar</v>
      </c>
      <c r="D17" s="7" t="s">
        <v>206</v>
      </c>
      <c r="E17" s="7" t="s">
        <v>231</v>
      </c>
      <c r="F17" s="7" t="s">
        <v>231</v>
      </c>
      <c r="G17" s="7"/>
      <c r="H17" s="19">
        <v>18.0349</v>
      </c>
      <c r="I17" s="7">
        <f t="shared" si="0"/>
        <v>0</v>
      </c>
      <c r="J17" s="7">
        <f>IFERROR(VLOOKUP(D17,Event_Master!B:E,4,FALSE),1)</f>
        <v>1</v>
      </c>
      <c r="K17" s="7">
        <f t="shared" si="1"/>
        <v>0</v>
      </c>
      <c r="L17" s="19">
        <f t="shared" si="2"/>
        <v>18.0349</v>
      </c>
    </row>
    <row r="18" spans="1:12">
      <c r="A18" s="20">
        <v>46026</v>
      </c>
      <c r="B18" s="17">
        <v>438679</v>
      </c>
      <c r="C18" s="18" t="str">
        <f>VLOOKUP(B18,Employee_Master!A:B,2,0)</f>
        <v>Saurabh Kumar</v>
      </c>
      <c r="D18" s="7" t="s">
        <v>206</v>
      </c>
      <c r="E18" s="7" t="s">
        <v>231</v>
      </c>
      <c r="F18" s="7" t="s">
        <v>231</v>
      </c>
      <c r="G18" s="7"/>
      <c r="H18" s="19">
        <v>18.608699999999999</v>
      </c>
      <c r="I18" s="7">
        <f t="shared" si="0"/>
        <v>0</v>
      </c>
      <c r="J18" s="7">
        <f>IFERROR(VLOOKUP(D18,Event_Master!B:E,4,FALSE),1)</f>
        <v>1</v>
      </c>
      <c r="K18" s="7">
        <f t="shared" si="1"/>
        <v>0</v>
      </c>
      <c r="L18" s="19">
        <f t="shared" si="2"/>
        <v>18.608699999999999</v>
      </c>
    </row>
    <row r="19" spans="1:12">
      <c r="A19" s="20">
        <v>46026</v>
      </c>
      <c r="B19" s="17">
        <v>438864</v>
      </c>
      <c r="C19" s="18" t="str">
        <f>VLOOKUP(B19,Employee_Master!A:B,2,0)</f>
        <v>Rajan Gupta</v>
      </c>
      <c r="D19" s="7" t="s">
        <v>206</v>
      </c>
      <c r="E19" s="7" t="s">
        <v>231</v>
      </c>
      <c r="F19" s="7" t="s">
        <v>231</v>
      </c>
      <c r="G19" s="7"/>
      <c r="H19" s="19">
        <v>17.817399999999999</v>
      </c>
      <c r="I19" s="7">
        <f t="shared" si="0"/>
        <v>0</v>
      </c>
      <c r="J19" s="7">
        <f>IFERROR(VLOOKUP(D19,Event_Master!B:E,4,FALSE),1)</f>
        <v>1</v>
      </c>
      <c r="K19" s="7">
        <f t="shared" si="1"/>
        <v>0</v>
      </c>
      <c r="L19" s="19">
        <f t="shared" si="2"/>
        <v>17.817399999999999</v>
      </c>
    </row>
    <row r="20" spans="1:12">
      <c r="A20" s="20">
        <v>46026</v>
      </c>
      <c r="B20" s="17">
        <v>440317</v>
      </c>
      <c r="C20" s="18" t="str">
        <f>VLOOKUP(B20,Employee_Master!A:B,2,0)</f>
        <v>Praveen Chandel</v>
      </c>
      <c r="D20" s="7" t="s">
        <v>206</v>
      </c>
      <c r="E20" s="7" t="s">
        <v>231</v>
      </c>
      <c r="F20" s="7" t="s">
        <v>231</v>
      </c>
      <c r="G20" s="7"/>
      <c r="H20" s="19">
        <v>18.992899999999999</v>
      </c>
      <c r="I20" s="7">
        <f t="shared" si="0"/>
        <v>0</v>
      </c>
      <c r="J20" s="7">
        <f>IFERROR(VLOOKUP(D20,Event_Master!B:E,4,FALSE),1)</f>
        <v>1</v>
      </c>
      <c r="K20" s="7">
        <f t="shared" si="1"/>
        <v>0</v>
      </c>
      <c r="L20" s="19">
        <f t="shared" si="2"/>
        <v>18.992899999999999</v>
      </c>
    </row>
    <row r="21" spans="1:12">
      <c r="A21" s="20">
        <v>46026</v>
      </c>
      <c r="B21" s="17">
        <v>440620</v>
      </c>
      <c r="C21" s="18" t="str">
        <f>VLOOKUP(B21,Employee_Master!A:B,2,0)</f>
        <v>Kuldeep Singh</v>
      </c>
      <c r="D21" s="7" t="s">
        <v>206</v>
      </c>
      <c r="E21" s="7" t="s">
        <v>231</v>
      </c>
      <c r="F21" s="7" t="s">
        <v>231</v>
      </c>
      <c r="G21" s="7"/>
      <c r="H21" s="19">
        <v>20.943100000000001</v>
      </c>
      <c r="I21" s="7">
        <f t="shared" si="0"/>
        <v>0</v>
      </c>
      <c r="J21" s="7">
        <f>IFERROR(VLOOKUP(D21,Event_Master!B:E,4,FALSE),1)</f>
        <v>1</v>
      </c>
      <c r="K21" s="7">
        <f t="shared" si="1"/>
        <v>0</v>
      </c>
      <c r="L21" s="19">
        <f t="shared" si="2"/>
        <v>20.943100000000001</v>
      </c>
    </row>
    <row r="22" spans="1:12">
      <c r="A22" s="20">
        <v>46026</v>
      </c>
      <c r="B22" s="17">
        <v>440774</v>
      </c>
      <c r="C22" s="18" t="str">
        <f>VLOOKUP(B22,Employee_Master!A:B,2,0)</f>
        <v>Mehnga Singh</v>
      </c>
      <c r="D22" s="7" t="s">
        <v>206</v>
      </c>
      <c r="E22" s="7" t="s">
        <v>231</v>
      </c>
      <c r="F22" s="7" t="s">
        <v>231</v>
      </c>
      <c r="G22" s="7"/>
      <c r="H22" s="19">
        <v>15.0396</v>
      </c>
      <c r="I22" s="7">
        <f t="shared" si="0"/>
        <v>0</v>
      </c>
      <c r="J22" s="7">
        <f>IFERROR(VLOOKUP(D22,Event_Master!B:E,4,FALSE),1)</f>
        <v>1</v>
      </c>
      <c r="K22" s="7">
        <f t="shared" si="1"/>
        <v>0</v>
      </c>
      <c r="L22" s="19">
        <f t="shared" si="2"/>
        <v>15.0396</v>
      </c>
    </row>
    <row r="23" spans="1:12">
      <c r="A23" s="20">
        <v>46026</v>
      </c>
      <c r="B23" s="17">
        <v>445891</v>
      </c>
      <c r="C23" s="18" t="str">
        <f>VLOOKUP(B23,Employee_Master!A:B,2,0)</f>
        <v>Parmvir Singh</v>
      </c>
      <c r="D23" s="7" t="s">
        <v>206</v>
      </c>
      <c r="E23" s="7" t="s">
        <v>231</v>
      </c>
      <c r="F23" s="7" t="s">
        <v>231</v>
      </c>
      <c r="G23" s="7"/>
      <c r="H23" s="19">
        <v>14.0251</v>
      </c>
      <c r="I23" s="7">
        <f t="shared" si="0"/>
        <v>0</v>
      </c>
      <c r="J23" s="7">
        <f>IFERROR(VLOOKUP(D23,Event_Master!B:E,4,FALSE),1)</f>
        <v>1</v>
      </c>
      <c r="K23" s="7">
        <f t="shared" si="1"/>
        <v>0</v>
      </c>
      <c r="L23" s="19">
        <f t="shared" si="2"/>
        <v>14.0251</v>
      </c>
    </row>
    <row r="24" spans="1:12">
      <c r="A24" s="20">
        <v>46026</v>
      </c>
      <c r="B24" s="17">
        <v>446300</v>
      </c>
      <c r="C24" s="18" t="str">
        <f>VLOOKUP(B24,Employee_Master!A:B,2,0)</f>
        <v>Simranjit Singh</v>
      </c>
      <c r="D24" s="7" t="s">
        <v>206</v>
      </c>
      <c r="E24" s="7" t="s">
        <v>231</v>
      </c>
      <c r="F24" s="7" t="s">
        <v>231</v>
      </c>
      <c r="G24" s="7"/>
      <c r="H24" s="19">
        <v>35.648499999999999</v>
      </c>
      <c r="I24" s="7">
        <f t="shared" si="0"/>
        <v>0</v>
      </c>
      <c r="J24" s="7">
        <f>IFERROR(VLOOKUP(D24,Event_Master!B:E,4,FALSE),1)</f>
        <v>1</v>
      </c>
      <c r="K24" s="7">
        <f t="shared" si="1"/>
        <v>0</v>
      </c>
      <c r="L24" s="19">
        <f t="shared" si="2"/>
        <v>35.648499999999999</v>
      </c>
    </row>
    <row r="25" spans="1:12">
      <c r="A25" s="20">
        <v>46026</v>
      </c>
      <c r="B25" s="17">
        <v>447836</v>
      </c>
      <c r="C25" s="18" t="str">
        <f>VLOOKUP(B25,Employee_Master!A:B,2,0)</f>
        <v>Rakesh S</v>
      </c>
      <c r="D25" s="7" t="s">
        <v>206</v>
      </c>
      <c r="E25" s="7" t="s">
        <v>231</v>
      </c>
      <c r="F25" s="7" t="s">
        <v>231</v>
      </c>
      <c r="G25" s="7"/>
      <c r="H25" s="19">
        <v>2.3104</v>
      </c>
      <c r="I25" s="7">
        <f t="shared" si="0"/>
        <v>0</v>
      </c>
      <c r="J25" s="7">
        <f>IFERROR(VLOOKUP(D25,Event_Master!B:E,4,FALSE),1)</f>
        <v>1</v>
      </c>
      <c r="K25" s="7">
        <f t="shared" si="1"/>
        <v>0</v>
      </c>
      <c r="L25" s="19">
        <f t="shared" si="2"/>
        <v>2.3104</v>
      </c>
    </row>
    <row r="26" spans="1:12">
      <c r="A26" s="20">
        <v>46026</v>
      </c>
      <c r="B26" s="17">
        <v>449635</v>
      </c>
      <c r="C26" s="18" t="str">
        <f>VLOOKUP(B26,Employee_Master!A:B,2,0)</f>
        <v>Sushma Tiwari</v>
      </c>
      <c r="D26" s="7" t="s">
        <v>206</v>
      </c>
      <c r="E26" s="7" t="s">
        <v>231</v>
      </c>
      <c r="F26" s="7" t="s">
        <v>231</v>
      </c>
      <c r="G26" s="7"/>
      <c r="H26" s="19">
        <v>19.902699999999999</v>
      </c>
      <c r="I26" s="7">
        <f t="shared" si="0"/>
        <v>0</v>
      </c>
      <c r="J26" s="7">
        <f>IFERROR(VLOOKUP(D26,Event_Master!B:E,4,FALSE),1)</f>
        <v>1</v>
      </c>
      <c r="K26" s="7">
        <f t="shared" si="1"/>
        <v>0</v>
      </c>
      <c r="L26" s="19">
        <f t="shared" si="2"/>
        <v>19.902699999999999</v>
      </c>
    </row>
    <row r="27" spans="1:12">
      <c r="A27" s="20">
        <v>46026</v>
      </c>
      <c r="B27" s="17">
        <v>449890</v>
      </c>
      <c r="C27" s="18" t="str">
        <f>VLOOKUP(B27,Employee_Master!A:B,2,0)</f>
        <v xml:space="preserve">Ashish Baghel </v>
      </c>
      <c r="D27" s="7" t="s">
        <v>206</v>
      </c>
      <c r="E27" s="7" t="s">
        <v>231</v>
      </c>
      <c r="F27" s="7" t="s">
        <v>231</v>
      </c>
      <c r="G27" s="7"/>
      <c r="H27" s="19">
        <v>30.825800000000001</v>
      </c>
      <c r="I27" s="7">
        <f t="shared" si="0"/>
        <v>0</v>
      </c>
      <c r="J27" s="7">
        <f>IFERROR(VLOOKUP(D27,Event_Master!B:E,4,FALSE),1)</f>
        <v>1</v>
      </c>
      <c r="K27" s="7">
        <f t="shared" si="1"/>
        <v>0</v>
      </c>
      <c r="L27" s="19">
        <f t="shared" si="2"/>
        <v>30.825800000000001</v>
      </c>
    </row>
    <row r="28" spans="1:12">
      <c r="A28" s="20">
        <v>46026</v>
      </c>
      <c r="B28" s="17">
        <v>449891</v>
      </c>
      <c r="C28" s="18" t="str">
        <f>VLOOKUP(B28,Employee_Master!A:B,2,0)</f>
        <v>Komalpreet</v>
      </c>
      <c r="D28" s="7" t="s">
        <v>206</v>
      </c>
      <c r="E28" s="7" t="s">
        <v>231</v>
      </c>
      <c r="F28" s="7" t="s">
        <v>231</v>
      </c>
      <c r="G28" s="7"/>
      <c r="H28" s="19">
        <v>36.888599999999997</v>
      </c>
      <c r="I28" s="7">
        <f t="shared" si="0"/>
        <v>0</v>
      </c>
      <c r="J28" s="7">
        <f>IFERROR(VLOOKUP(D28,Event_Master!B:E,4,FALSE),1)</f>
        <v>1</v>
      </c>
      <c r="K28" s="7">
        <f t="shared" si="1"/>
        <v>0</v>
      </c>
      <c r="L28" s="19">
        <f t="shared" si="2"/>
        <v>36.888599999999997</v>
      </c>
    </row>
    <row r="29" spans="1:12">
      <c r="A29" s="20">
        <v>46026</v>
      </c>
      <c r="B29" s="17">
        <v>450030</v>
      </c>
      <c r="C29" s="18" t="str">
        <f>VLOOKUP(B29,Employee_Master!A:B,2,0)</f>
        <v xml:space="preserve">Manish bisht </v>
      </c>
      <c r="D29" s="7" t="s">
        <v>206</v>
      </c>
      <c r="E29" s="7" t="s">
        <v>231</v>
      </c>
      <c r="F29" s="7" t="s">
        <v>231</v>
      </c>
      <c r="G29" s="7"/>
      <c r="H29" s="19">
        <v>30.5213</v>
      </c>
      <c r="I29" s="7">
        <f t="shared" si="0"/>
        <v>0</v>
      </c>
      <c r="J29" s="7">
        <f>IFERROR(VLOOKUP(D29,Event_Master!B:E,4,FALSE),1)</f>
        <v>1</v>
      </c>
      <c r="K29" s="7">
        <f t="shared" si="1"/>
        <v>0</v>
      </c>
      <c r="L29" s="19">
        <f t="shared" si="2"/>
        <v>30.5213</v>
      </c>
    </row>
    <row r="30" spans="1:12">
      <c r="A30" s="20">
        <v>46026</v>
      </c>
      <c r="B30" s="17">
        <v>450171</v>
      </c>
      <c r="C30" s="18" t="str">
        <f>VLOOKUP(B30,Employee_Master!A:B,2,0)</f>
        <v>Manpreet Kaur</v>
      </c>
      <c r="D30" s="7" t="s">
        <v>206</v>
      </c>
      <c r="E30" s="7" t="s">
        <v>231</v>
      </c>
      <c r="F30" s="7" t="s">
        <v>231</v>
      </c>
      <c r="G30" s="7"/>
      <c r="H30" s="19">
        <v>20.8781</v>
      </c>
      <c r="I30" s="7">
        <f t="shared" si="0"/>
        <v>0</v>
      </c>
      <c r="J30" s="7">
        <f>IFERROR(VLOOKUP(D30,Event_Master!B:E,4,FALSE),1)</f>
        <v>1</v>
      </c>
      <c r="K30" s="7">
        <f t="shared" si="1"/>
        <v>0</v>
      </c>
      <c r="L30" s="19">
        <f t="shared" si="2"/>
        <v>20.8781</v>
      </c>
    </row>
    <row r="31" spans="1:12">
      <c r="A31" s="20">
        <v>46026</v>
      </c>
      <c r="B31" s="17">
        <v>450225</v>
      </c>
      <c r="C31" s="18" t="str">
        <f>VLOOKUP(B31,Employee_Master!A:B,2,0)</f>
        <v>Nikita</v>
      </c>
      <c r="D31" s="7" t="s">
        <v>206</v>
      </c>
      <c r="E31" s="7" t="s">
        <v>231</v>
      </c>
      <c r="F31" s="7" t="s">
        <v>231</v>
      </c>
      <c r="G31" s="7"/>
      <c r="H31" s="19">
        <v>11.5656</v>
      </c>
      <c r="I31" s="7">
        <f t="shared" si="0"/>
        <v>0</v>
      </c>
      <c r="J31" s="7">
        <f>IFERROR(VLOOKUP(D31,Event_Master!B:E,4,FALSE),1)</f>
        <v>1</v>
      </c>
      <c r="K31" s="7">
        <f t="shared" si="1"/>
        <v>0</v>
      </c>
      <c r="L31" s="19">
        <f t="shared" si="2"/>
        <v>11.5656</v>
      </c>
    </row>
    <row r="32" spans="1:12">
      <c r="A32" s="20">
        <v>46026</v>
      </c>
      <c r="B32" s="17">
        <v>450230</v>
      </c>
      <c r="C32" s="18" t="str">
        <f>VLOOKUP(B32,Employee_Master!A:B,2,0)</f>
        <v>Aarti Gupta</v>
      </c>
      <c r="D32" s="7" t="s">
        <v>206</v>
      </c>
      <c r="E32" s="7" t="s">
        <v>231</v>
      </c>
      <c r="F32" s="7" t="s">
        <v>231</v>
      </c>
      <c r="G32" s="7"/>
      <c r="H32" s="19">
        <v>16.879799999999999</v>
      </c>
      <c r="I32" s="7">
        <f t="shared" si="0"/>
        <v>0</v>
      </c>
      <c r="J32" s="7">
        <f>IFERROR(VLOOKUP(D32,Event_Master!B:E,4,FALSE),1)</f>
        <v>1</v>
      </c>
      <c r="K32" s="7">
        <f t="shared" si="1"/>
        <v>0</v>
      </c>
      <c r="L32" s="19">
        <f t="shared" si="2"/>
        <v>16.879799999999999</v>
      </c>
    </row>
    <row r="33" spans="1:12">
      <c r="A33" s="20">
        <v>46026</v>
      </c>
      <c r="B33" s="17">
        <v>450256</v>
      </c>
      <c r="C33" s="18" t="str">
        <f>VLOOKUP(B33,Employee_Master!A:B,2,0)</f>
        <v>Jyotish  Patar</v>
      </c>
      <c r="D33" s="7" t="s">
        <v>206</v>
      </c>
      <c r="E33" s="7" t="s">
        <v>231</v>
      </c>
      <c r="F33" s="7" t="s">
        <v>231</v>
      </c>
      <c r="G33" s="7"/>
      <c r="H33" s="19">
        <v>19.711400000000001</v>
      </c>
      <c r="I33" s="7">
        <f t="shared" si="0"/>
        <v>0</v>
      </c>
      <c r="J33" s="7">
        <f>IFERROR(VLOOKUP(D33,Event_Master!B:E,4,FALSE),1)</f>
        <v>1</v>
      </c>
      <c r="K33" s="7">
        <f t="shared" si="1"/>
        <v>0</v>
      </c>
      <c r="L33" s="19">
        <f t="shared" si="2"/>
        <v>19.711400000000001</v>
      </c>
    </row>
    <row r="34" spans="1:12">
      <c r="A34" s="20">
        <v>46026</v>
      </c>
      <c r="B34" s="17">
        <v>450694</v>
      </c>
      <c r="C34" s="18" t="str">
        <f>VLOOKUP(B34,Employee_Master!A:B,2,0)</f>
        <v>Kawaljot Kaur</v>
      </c>
      <c r="D34" s="7" t="s">
        <v>206</v>
      </c>
      <c r="E34" s="7" t="s">
        <v>231</v>
      </c>
      <c r="F34" s="7" t="s">
        <v>231</v>
      </c>
      <c r="G34" s="7"/>
      <c r="H34" s="19">
        <v>15.3772</v>
      </c>
      <c r="I34" s="7">
        <f t="shared" ref="I34:I64" si="3">IF(G34="Winner",100,IF(G34="Runner-up",70,IF(G34="2nd Runner-up",50,IF(G34="Semi",30,IF(G34="Quarter",20,0)))))</f>
        <v>0</v>
      </c>
      <c r="J34" s="7">
        <f>IFERROR(VLOOKUP(D34,Event_Master!B:E,4,FALSE),1)</f>
        <v>1</v>
      </c>
      <c r="K34" s="7">
        <f t="shared" ref="K34:K64" si="4">(I34*J34)</f>
        <v>0</v>
      </c>
      <c r="L34" s="19">
        <f t="shared" ref="L34:L64" si="5">K34+H34</f>
        <v>15.3772</v>
      </c>
    </row>
    <row r="35" spans="1:12">
      <c r="A35" s="20">
        <v>46026</v>
      </c>
      <c r="B35" s="17">
        <v>451609</v>
      </c>
      <c r="C35" s="18" t="str">
        <f>VLOOKUP(B35,Employee_Master!A:B,2,0)</f>
        <v>Vivek Kumar Yadav</v>
      </c>
      <c r="D35" s="7" t="s">
        <v>206</v>
      </c>
      <c r="E35" s="7" t="s">
        <v>231</v>
      </c>
      <c r="F35" s="7" t="s">
        <v>231</v>
      </c>
      <c r="G35" s="7"/>
      <c r="H35" s="19">
        <v>40.174500000000002</v>
      </c>
      <c r="I35" s="7">
        <f t="shared" si="3"/>
        <v>0</v>
      </c>
      <c r="J35" s="7">
        <f>IFERROR(VLOOKUP(D35,Event_Master!B:E,4,FALSE),1)</f>
        <v>1</v>
      </c>
      <c r="K35" s="7">
        <f t="shared" si="4"/>
        <v>0</v>
      </c>
      <c r="L35" s="19">
        <f t="shared" si="5"/>
        <v>40.174500000000002</v>
      </c>
    </row>
    <row r="36" spans="1:12">
      <c r="A36" s="20">
        <v>46026</v>
      </c>
      <c r="B36" s="17">
        <v>451857</v>
      </c>
      <c r="C36" s="18" t="str">
        <f>VLOOKUP(B36,Employee_Master!A:B,2,0)</f>
        <v xml:space="preserve">Amar Kumar </v>
      </c>
      <c r="D36" s="7" t="s">
        <v>206</v>
      </c>
      <c r="E36" s="7" t="s">
        <v>231</v>
      </c>
      <c r="F36" s="7" t="s">
        <v>231</v>
      </c>
      <c r="G36" s="7"/>
      <c r="H36" s="19">
        <v>27.892900000000001</v>
      </c>
      <c r="I36" s="7">
        <f t="shared" si="3"/>
        <v>0</v>
      </c>
      <c r="J36" s="7">
        <f>IFERROR(VLOOKUP(D36,Event_Master!B:E,4,FALSE),1)</f>
        <v>1</v>
      </c>
      <c r="K36" s="7">
        <f t="shared" si="4"/>
        <v>0</v>
      </c>
      <c r="L36" s="19">
        <f t="shared" si="5"/>
        <v>27.892900000000001</v>
      </c>
    </row>
    <row r="37" spans="1:12">
      <c r="A37" s="20">
        <v>46026</v>
      </c>
      <c r="B37" s="17">
        <v>451858</v>
      </c>
      <c r="C37" s="18" t="str">
        <f>VLOOKUP(B37,Employee_Master!A:B,2,0)</f>
        <v>Ankit Bhardwaj</v>
      </c>
      <c r="D37" s="7" t="s">
        <v>206</v>
      </c>
      <c r="E37" s="7" t="s">
        <v>231</v>
      </c>
      <c r="F37" s="7" t="s">
        <v>231</v>
      </c>
      <c r="G37" s="7"/>
      <c r="H37" s="19">
        <v>11.0762</v>
      </c>
      <c r="I37" s="7">
        <f t="shared" si="3"/>
        <v>0</v>
      </c>
      <c r="J37" s="7">
        <f>IFERROR(VLOOKUP(D37,Event_Master!B:E,4,FALSE),1)</f>
        <v>1</v>
      </c>
      <c r="K37" s="7">
        <f t="shared" si="4"/>
        <v>0</v>
      </c>
      <c r="L37" s="19">
        <f t="shared" si="5"/>
        <v>11.0762</v>
      </c>
    </row>
    <row r="38" spans="1:12">
      <c r="A38" s="20">
        <v>46026</v>
      </c>
      <c r="B38" s="17">
        <v>452056</v>
      </c>
      <c r="C38" s="18" t="str">
        <f>VLOOKUP(B38,Employee_Master!A:B,2,0)</f>
        <v xml:space="preserve">Rupesh </v>
      </c>
      <c r="D38" s="7" t="s">
        <v>206</v>
      </c>
      <c r="E38" s="7" t="s">
        <v>231</v>
      </c>
      <c r="F38" s="7" t="s">
        <v>231</v>
      </c>
      <c r="G38" s="7"/>
      <c r="H38" s="19">
        <v>35.5122</v>
      </c>
      <c r="I38" s="7">
        <f t="shared" si="3"/>
        <v>0</v>
      </c>
      <c r="J38" s="7">
        <f>IFERROR(VLOOKUP(D38,Event_Master!B:E,4,FALSE),1)</f>
        <v>1</v>
      </c>
      <c r="K38" s="7">
        <f t="shared" si="4"/>
        <v>0</v>
      </c>
      <c r="L38" s="19">
        <f t="shared" si="5"/>
        <v>35.5122</v>
      </c>
    </row>
    <row r="39" spans="1:12">
      <c r="A39" s="20">
        <v>46026</v>
      </c>
      <c r="B39" s="17">
        <v>452058</v>
      </c>
      <c r="C39" s="18" t="str">
        <f>VLOOKUP(B39,Employee_Master!A:B,2,0)</f>
        <v>Bhavya Gupta</v>
      </c>
      <c r="D39" s="7" t="s">
        <v>206</v>
      </c>
      <c r="E39" s="7" t="s">
        <v>231</v>
      </c>
      <c r="F39" s="7" t="s">
        <v>231</v>
      </c>
      <c r="G39" s="7"/>
      <c r="H39" s="19">
        <v>15.0466</v>
      </c>
      <c r="I39" s="7">
        <f t="shared" si="3"/>
        <v>0</v>
      </c>
      <c r="J39" s="7">
        <f>IFERROR(VLOOKUP(D39,Event_Master!B:E,4,FALSE),1)</f>
        <v>1</v>
      </c>
      <c r="K39" s="7">
        <f t="shared" si="4"/>
        <v>0</v>
      </c>
      <c r="L39" s="19">
        <f t="shared" si="5"/>
        <v>15.0466</v>
      </c>
    </row>
    <row r="40" spans="1:12">
      <c r="A40" s="20">
        <v>46026</v>
      </c>
      <c r="B40" s="17">
        <v>452073</v>
      </c>
      <c r="C40" s="18" t="str">
        <f>VLOOKUP(B40,Employee_Master!A:B,2,0)</f>
        <v xml:space="preserve">Aashish </v>
      </c>
      <c r="D40" s="7" t="s">
        <v>206</v>
      </c>
      <c r="E40" s="7" t="s">
        <v>231</v>
      </c>
      <c r="F40" s="7" t="s">
        <v>231</v>
      </c>
      <c r="G40" s="7"/>
      <c r="H40" s="19">
        <v>19.849699999999999</v>
      </c>
      <c r="I40" s="7">
        <f t="shared" si="3"/>
        <v>0</v>
      </c>
      <c r="J40" s="7">
        <f>IFERROR(VLOOKUP(D40,Event_Master!B:E,4,FALSE),1)</f>
        <v>1</v>
      </c>
      <c r="K40" s="7">
        <f t="shared" si="4"/>
        <v>0</v>
      </c>
      <c r="L40" s="19">
        <f t="shared" si="5"/>
        <v>19.849699999999999</v>
      </c>
    </row>
    <row r="41" spans="1:12">
      <c r="A41" s="20">
        <v>46026</v>
      </c>
      <c r="B41" s="17">
        <v>452074</v>
      </c>
      <c r="C41" s="18" t="str">
        <f>VLOOKUP(B41,Employee_Master!A:B,2,0)</f>
        <v>Sneha Singh</v>
      </c>
      <c r="D41" s="7" t="s">
        <v>206</v>
      </c>
      <c r="E41" s="7" t="s">
        <v>231</v>
      </c>
      <c r="F41" s="7" t="s">
        <v>231</v>
      </c>
      <c r="G41" s="7"/>
      <c r="H41" s="19">
        <v>21.3627</v>
      </c>
      <c r="I41" s="7">
        <f t="shared" si="3"/>
        <v>0</v>
      </c>
      <c r="J41" s="7">
        <f>IFERROR(VLOOKUP(D41,Event_Master!B:E,4,FALSE),1)</f>
        <v>1</v>
      </c>
      <c r="K41" s="7">
        <f t="shared" si="4"/>
        <v>0</v>
      </c>
      <c r="L41" s="19">
        <f t="shared" si="5"/>
        <v>21.3627</v>
      </c>
    </row>
    <row r="42" spans="1:12">
      <c r="A42" s="20">
        <v>46026</v>
      </c>
      <c r="B42" s="17">
        <v>452076</v>
      </c>
      <c r="C42" s="18" t="str">
        <f>VLOOKUP(B42,Employee_Master!A:B,2,0)</f>
        <v>Shraddha Singh</v>
      </c>
      <c r="D42" s="7" t="s">
        <v>206</v>
      </c>
      <c r="E42" s="7" t="s">
        <v>231</v>
      </c>
      <c r="F42" s="7" t="s">
        <v>231</v>
      </c>
      <c r="G42" s="7"/>
      <c r="H42" s="19">
        <v>16.648299999999999</v>
      </c>
      <c r="I42" s="7">
        <f t="shared" si="3"/>
        <v>0</v>
      </c>
      <c r="J42" s="7">
        <f>IFERROR(VLOOKUP(D42,Event_Master!B:E,4,FALSE),1)</f>
        <v>1</v>
      </c>
      <c r="K42" s="7">
        <f t="shared" si="4"/>
        <v>0</v>
      </c>
      <c r="L42" s="19">
        <f t="shared" si="5"/>
        <v>16.648299999999999</v>
      </c>
    </row>
    <row r="43" spans="1:12">
      <c r="A43" s="20">
        <v>46026</v>
      </c>
      <c r="B43" s="17">
        <v>452118</v>
      </c>
      <c r="C43" s="18" t="str">
        <f>VLOOKUP(B43,Employee_Master!A:B,2,0)</f>
        <v>Riya Kumari</v>
      </c>
      <c r="D43" s="7" t="s">
        <v>206</v>
      </c>
      <c r="E43" s="7" t="s">
        <v>231</v>
      </c>
      <c r="F43" s="7" t="s">
        <v>231</v>
      </c>
      <c r="G43" s="7"/>
      <c r="H43" s="19">
        <v>1.2605999999999999</v>
      </c>
      <c r="I43" s="7">
        <f t="shared" si="3"/>
        <v>0</v>
      </c>
      <c r="J43" s="7">
        <f>IFERROR(VLOOKUP(D43,Event_Master!B:E,4,FALSE),1)</f>
        <v>1</v>
      </c>
      <c r="K43" s="7">
        <f t="shared" si="4"/>
        <v>0</v>
      </c>
      <c r="L43" s="19">
        <f t="shared" si="5"/>
        <v>1.2605999999999999</v>
      </c>
    </row>
    <row r="44" spans="1:12">
      <c r="A44" s="20">
        <v>46026</v>
      </c>
      <c r="B44" s="17">
        <v>452119</v>
      </c>
      <c r="C44" s="18" t="str">
        <f>VLOOKUP(B44,Employee_Master!A:B,2,0)</f>
        <v>Akhil Tiwari</v>
      </c>
      <c r="D44" s="7" t="s">
        <v>206</v>
      </c>
      <c r="E44" s="7" t="s">
        <v>231</v>
      </c>
      <c r="F44" s="7" t="s">
        <v>231</v>
      </c>
      <c r="G44" s="7"/>
      <c r="H44" s="19">
        <v>31.505199999999999</v>
      </c>
      <c r="I44" s="7">
        <f t="shared" si="3"/>
        <v>0</v>
      </c>
      <c r="J44" s="7">
        <f>IFERROR(VLOOKUP(D44,Event_Master!B:E,4,FALSE),1)</f>
        <v>1</v>
      </c>
      <c r="K44" s="7">
        <f t="shared" si="4"/>
        <v>0</v>
      </c>
      <c r="L44" s="19">
        <f t="shared" si="5"/>
        <v>31.505199999999999</v>
      </c>
    </row>
    <row r="45" spans="1:12">
      <c r="A45" s="20">
        <v>46026</v>
      </c>
      <c r="B45" s="17">
        <v>452799</v>
      </c>
      <c r="C45" s="18" t="str">
        <f>VLOOKUP(B45,Employee_Master!A:B,2,0)</f>
        <v>Manish Kukreti</v>
      </c>
      <c r="D45" s="7" t="s">
        <v>206</v>
      </c>
      <c r="E45" s="7" t="s">
        <v>231</v>
      </c>
      <c r="F45" s="7" t="s">
        <v>231</v>
      </c>
      <c r="G45" s="7"/>
      <c r="H45" s="19">
        <v>26.825600000000001</v>
      </c>
      <c r="I45" s="7">
        <f t="shared" si="3"/>
        <v>0</v>
      </c>
      <c r="J45" s="7">
        <f>IFERROR(VLOOKUP(D45,Event_Master!B:E,4,FALSE),1)</f>
        <v>1</v>
      </c>
      <c r="K45" s="7">
        <f t="shared" si="4"/>
        <v>0</v>
      </c>
      <c r="L45" s="19">
        <f t="shared" si="5"/>
        <v>26.825600000000001</v>
      </c>
    </row>
    <row r="46" spans="1:12">
      <c r="A46" s="20">
        <v>46026</v>
      </c>
      <c r="B46" s="17">
        <v>453948</v>
      </c>
      <c r="C46" s="18" t="str">
        <f>VLOOKUP(B46,Employee_Master!A:B,2,0)</f>
        <v>Ashish Bhardwaj</v>
      </c>
      <c r="D46" s="7" t="s">
        <v>206</v>
      </c>
      <c r="E46" s="7" t="s">
        <v>231</v>
      </c>
      <c r="F46" s="7" t="s">
        <v>231</v>
      </c>
      <c r="G46" s="7"/>
      <c r="H46" s="19">
        <v>32.676699999999997</v>
      </c>
      <c r="I46" s="7">
        <f t="shared" si="3"/>
        <v>0</v>
      </c>
      <c r="J46" s="7">
        <f>IFERROR(VLOOKUP(D46,Event_Master!B:E,4,FALSE),1)</f>
        <v>1</v>
      </c>
      <c r="K46" s="7">
        <f t="shared" si="4"/>
        <v>0</v>
      </c>
      <c r="L46" s="19">
        <f t="shared" si="5"/>
        <v>32.676699999999997</v>
      </c>
    </row>
    <row r="47" spans="1:12">
      <c r="A47" s="20">
        <v>46026</v>
      </c>
      <c r="B47" s="17">
        <v>454456</v>
      </c>
      <c r="C47" s="18" t="str">
        <f>VLOOKUP(B47,Employee_Master!A:B,2,0)</f>
        <v>Akash Deshmukh</v>
      </c>
      <c r="D47" s="7" t="s">
        <v>206</v>
      </c>
      <c r="E47" s="7" t="s">
        <v>231</v>
      </c>
      <c r="F47" s="7" t="s">
        <v>231</v>
      </c>
      <c r="G47" s="7"/>
      <c r="H47" s="19">
        <v>31.040299999999998</v>
      </c>
      <c r="I47" s="7">
        <f t="shared" si="3"/>
        <v>0</v>
      </c>
      <c r="J47" s="7">
        <f>IFERROR(VLOOKUP(D47,Event_Master!B:E,4,FALSE),1)</f>
        <v>1</v>
      </c>
      <c r="K47" s="7">
        <f t="shared" si="4"/>
        <v>0</v>
      </c>
      <c r="L47" s="19">
        <f t="shared" si="5"/>
        <v>31.040299999999998</v>
      </c>
    </row>
    <row r="48" spans="1:12">
      <c r="A48" s="20">
        <v>46026</v>
      </c>
      <c r="B48" s="17">
        <v>455024</v>
      </c>
      <c r="C48" s="18" t="str">
        <f>VLOOKUP(B48,Employee_Master!A:B,2,0)</f>
        <v>Dileep Kumar</v>
      </c>
      <c r="D48" s="7" t="s">
        <v>206</v>
      </c>
      <c r="E48" s="7" t="s">
        <v>231</v>
      </c>
      <c r="F48" s="7" t="s">
        <v>231</v>
      </c>
      <c r="G48" s="7"/>
      <c r="H48" s="19">
        <v>5.6220999999999997</v>
      </c>
      <c r="I48" s="7">
        <f t="shared" si="3"/>
        <v>0</v>
      </c>
      <c r="J48" s="7">
        <f>IFERROR(VLOOKUP(D48,Event_Master!B:E,4,FALSE),1)</f>
        <v>1</v>
      </c>
      <c r="K48" s="7">
        <f t="shared" si="4"/>
        <v>0</v>
      </c>
      <c r="L48" s="19">
        <f t="shared" si="5"/>
        <v>5.6220999999999997</v>
      </c>
    </row>
    <row r="49" spans="1:12">
      <c r="A49" s="20">
        <v>46026</v>
      </c>
      <c r="B49" s="17">
        <v>456091</v>
      </c>
      <c r="C49" s="18" t="str">
        <f>VLOOKUP(B49,Employee_Master!A:B,2,0)</f>
        <v>Abhinesh Pandey</v>
      </c>
      <c r="D49" s="7" t="s">
        <v>206</v>
      </c>
      <c r="E49" s="7" t="s">
        <v>231</v>
      </c>
      <c r="F49" s="7" t="s">
        <v>231</v>
      </c>
      <c r="G49" s="7"/>
      <c r="H49" s="19">
        <v>23.8612</v>
      </c>
      <c r="I49" s="7">
        <f t="shared" si="3"/>
        <v>0</v>
      </c>
      <c r="J49" s="7">
        <f>IFERROR(VLOOKUP(D49,Event_Master!B:E,4,FALSE),1)</f>
        <v>1</v>
      </c>
      <c r="K49" s="7">
        <f t="shared" si="4"/>
        <v>0</v>
      </c>
      <c r="L49" s="19">
        <f t="shared" si="5"/>
        <v>23.8612</v>
      </c>
    </row>
    <row r="50" spans="1:12">
      <c r="A50" s="20">
        <v>46026</v>
      </c>
      <c r="B50" s="17">
        <v>456706</v>
      </c>
      <c r="C50" s="18" t="str">
        <f>VLOOKUP(B50,Employee_Master!A:B,2,0)</f>
        <v>Daljit Singh</v>
      </c>
      <c r="D50" s="7" t="s">
        <v>206</v>
      </c>
      <c r="E50" s="7" t="s">
        <v>231</v>
      </c>
      <c r="F50" s="7" t="s">
        <v>231</v>
      </c>
      <c r="G50" s="7"/>
      <c r="H50" s="19">
        <v>12.424099999999999</v>
      </c>
      <c r="I50" s="7">
        <f t="shared" si="3"/>
        <v>0</v>
      </c>
      <c r="J50" s="7">
        <f>IFERROR(VLOOKUP(D50,Event_Master!B:E,4,FALSE),1)</f>
        <v>1</v>
      </c>
      <c r="K50" s="7">
        <f t="shared" si="4"/>
        <v>0</v>
      </c>
      <c r="L50" s="19">
        <f t="shared" si="5"/>
        <v>12.424099999999999</v>
      </c>
    </row>
    <row r="51" spans="1:12">
      <c r="A51" s="20">
        <v>46026</v>
      </c>
      <c r="B51" s="17">
        <v>457157</v>
      </c>
      <c r="C51" s="18" t="str">
        <f>VLOOKUP(B51,Employee_Master!A:B,2,0)</f>
        <v>Sachin Kashyap</v>
      </c>
      <c r="D51" s="7" t="s">
        <v>206</v>
      </c>
      <c r="E51" s="7" t="s">
        <v>231</v>
      </c>
      <c r="F51" s="7" t="s">
        <v>231</v>
      </c>
      <c r="G51" s="7"/>
      <c r="H51" s="19">
        <v>66.270099999999999</v>
      </c>
      <c r="I51" s="7">
        <f t="shared" si="3"/>
        <v>0</v>
      </c>
      <c r="J51" s="7">
        <f>IFERROR(VLOOKUP(D51,Event_Master!B:E,4,FALSE),1)</f>
        <v>1</v>
      </c>
      <c r="K51" s="7">
        <f t="shared" si="4"/>
        <v>0</v>
      </c>
      <c r="L51" s="19">
        <f t="shared" si="5"/>
        <v>66.270099999999999</v>
      </c>
    </row>
    <row r="52" spans="1:12">
      <c r="A52" s="20">
        <v>46026</v>
      </c>
      <c r="B52" s="17">
        <v>457430</v>
      </c>
      <c r="C52" s="18" t="str">
        <f>VLOOKUP(B52,Employee_Master!A:B,2,0)</f>
        <v>Manish Kumar</v>
      </c>
      <c r="D52" s="7" t="s">
        <v>206</v>
      </c>
      <c r="E52" s="7" t="s">
        <v>231</v>
      </c>
      <c r="F52" s="7" t="s">
        <v>231</v>
      </c>
      <c r="G52" s="7"/>
      <c r="H52" s="19">
        <v>47.645600000000002</v>
      </c>
      <c r="I52" s="7">
        <f t="shared" si="3"/>
        <v>0</v>
      </c>
      <c r="J52" s="7">
        <f>IFERROR(VLOOKUP(D52,Event_Master!B:E,4,FALSE),1)</f>
        <v>1</v>
      </c>
      <c r="K52" s="7">
        <f t="shared" si="4"/>
        <v>0</v>
      </c>
      <c r="L52" s="19">
        <f t="shared" si="5"/>
        <v>47.645600000000002</v>
      </c>
    </row>
    <row r="53" spans="1:12">
      <c r="A53" s="20">
        <v>46026</v>
      </c>
      <c r="B53" s="17">
        <v>458702</v>
      </c>
      <c r="C53" s="18" t="str">
        <f>VLOOKUP(B53,Employee_Master!A:B,2,0)</f>
        <v>Jasbeer Singh</v>
      </c>
      <c r="D53" s="7" t="s">
        <v>206</v>
      </c>
      <c r="E53" s="7" t="s">
        <v>231</v>
      </c>
      <c r="F53" s="7" t="s">
        <v>231</v>
      </c>
      <c r="G53" s="7"/>
      <c r="H53" s="19">
        <v>30.368600000000001</v>
      </c>
      <c r="I53" s="7">
        <f t="shared" si="3"/>
        <v>0</v>
      </c>
      <c r="J53" s="7">
        <f>IFERROR(VLOOKUP(D53,Event_Master!B:E,4,FALSE),1)</f>
        <v>1</v>
      </c>
      <c r="K53" s="7">
        <f t="shared" si="4"/>
        <v>0</v>
      </c>
      <c r="L53" s="19">
        <f t="shared" si="5"/>
        <v>30.368600000000001</v>
      </c>
    </row>
    <row r="54" spans="1:12">
      <c r="A54" s="20">
        <v>46026</v>
      </c>
      <c r="B54" s="17">
        <v>458749</v>
      </c>
      <c r="C54" s="18" t="str">
        <f>VLOOKUP(B54,Employee_Master!A:B,2,0)</f>
        <v>Manoj Kumar Jangra</v>
      </c>
      <c r="D54" s="7" t="s">
        <v>206</v>
      </c>
      <c r="E54" s="7" t="s">
        <v>231</v>
      </c>
      <c r="F54" s="7" t="s">
        <v>231</v>
      </c>
      <c r="G54" s="7"/>
      <c r="H54" s="19">
        <v>20.520600000000002</v>
      </c>
      <c r="I54" s="7">
        <f t="shared" si="3"/>
        <v>0</v>
      </c>
      <c r="J54" s="7">
        <f>IFERROR(VLOOKUP(D54,Event_Master!B:E,4,FALSE),1)</f>
        <v>1</v>
      </c>
      <c r="K54" s="7">
        <f t="shared" si="4"/>
        <v>0</v>
      </c>
      <c r="L54" s="19">
        <f t="shared" si="5"/>
        <v>20.520600000000002</v>
      </c>
    </row>
    <row r="55" spans="1:12">
      <c r="A55" s="20">
        <v>46026</v>
      </c>
      <c r="B55" s="17">
        <v>460284</v>
      </c>
      <c r="C55" s="18" t="str">
        <f>VLOOKUP(B55,Employee_Master!A:B,2,0)</f>
        <v>Madhu Aggu</v>
      </c>
      <c r="D55" s="7" t="s">
        <v>206</v>
      </c>
      <c r="E55" s="7" t="s">
        <v>231</v>
      </c>
      <c r="F55" s="7" t="s">
        <v>231</v>
      </c>
      <c r="G55" s="7"/>
      <c r="H55" s="19">
        <v>30.5717</v>
      </c>
      <c r="I55" s="7">
        <f t="shared" si="3"/>
        <v>0</v>
      </c>
      <c r="J55" s="7">
        <f>IFERROR(VLOOKUP(D55,Event_Master!B:E,4,FALSE),1)</f>
        <v>1</v>
      </c>
      <c r="K55" s="7">
        <f t="shared" si="4"/>
        <v>0</v>
      </c>
      <c r="L55" s="19">
        <f t="shared" si="5"/>
        <v>30.5717</v>
      </c>
    </row>
    <row r="56" spans="1:12">
      <c r="A56" s="20">
        <v>46026</v>
      </c>
      <c r="B56" s="17">
        <v>460513</v>
      </c>
      <c r="C56" s="18" t="str">
        <f>VLOOKUP(B56,Employee_Master!A:B,2,0)</f>
        <v>Dinesh Kumar</v>
      </c>
      <c r="D56" s="7" t="s">
        <v>206</v>
      </c>
      <c r="E56" s="7" t="s">
        <v>231</v>
      </c>
      <c r="F56" s="7" t="s">
        <v>231</v>
      </c>
      <c r="G56" s="7"/>
      <c r="H56" s="19">
        <v>24.808700000000002</v>
      </c>
      <c r="I56" s="7">
        <f t="shared" si="3"/>
        <v>0</v>
      </c>
      <c r="J56" s="7">
        <f>IFERROR(VLOOKUP(D56,Event_Master!B:E,4,FALSE),1)</f>
        <v>1</v>
      </c>
      <c r="K56" s="7">
        <f t="shared" si="4"/>
        <v>0</v>
      </c>
      <c r="L56" s="19">
        <f t="shared" si="5"/>
        <v>24.808700000000002</v>
      </c>
    </row>
    <row r="57" spans="1:12">
      <c r="A57" s="20">
        <v>46026</v>
      </c>
      <c r="B57" s="17">
        <v>460692</v>
      </c>
      <c r="C57" s="18" t="str">
        <f>VLOOKUP(B57,Employee_Master!A:B,2,0)</f>
        <v>Mayank Arya</v>
      </c>
      <c r="D57" s="7" t="s">
        <v>206</v>
      </c>
      <c r="E57" s="7" t="s">
        <v>231</v>
      </c>
      <c r="F57" s="7" t="s">
        <v>231</v>
      </c>
      <c r="G57" s="7"/>
      <c r="H57" s="19">
        <v>31.077200000000001</v>
      </c>
      <c r="I57" s="7">
        <f t="shared" si="3"/>
        <v>0</v>
      </c>
      <c r="J57" s="7">
        <f>IFERROR(VLOOKUP(D57,Event_Master!B:E,4,FALSE),1)</f>
        <v>1</v>
      </c>
      <c r="K57" s="7">
        <f t="shared" si="4"/>
        <v>0</v>
      </c>
      <c r="L57" s="19">
        <f t="shared" si="5"/>
        <v>31.077200000000001</v>
      </c>
    </row>
    <row r="58" spans="1:12">
      <c r="A58" s="20">
        <v>46026</v>
      </c>
      <c r="B58" s="17">
        <v>460764</v>
      </c>
      <c r="C58" s="18" t="str">
        <f>VLOOKUP(B58,Employee_Master!A:B,2,0)</f>
        <v>Himanshu Yadav</v>
      </c>
      <c r="D58" s="7" t="s">
        <v>206</v>
      </c>
      <c r="E58" s="7" t="s">
        <v>231</v>
      </c>
      <c r="F58" s="7" t="s">
        <v>231</v>
      </c>
      <c r="G58" s="7"/>
      <c r="H58" s="19">
        <v>26.116700000000002</v>
      </c>
      <c r="I58" s="7">
        <f t="shared" si="3"/>
        <v>0</v>
      </c>
      <c r="J58" s="7">
        <f>IFERROR(VLOOKUP(D58,Event_Master!B:E,4,FALSE),1)</f>
        <v>1</v>
      </c>
      <c r="K58" s="7">
        <f t="shared" si="4"/>
        <v>0</v>
      </c>
      <c r="L58" s="19">
        <f t="shared" si="5"/>
        <v>26.116700000000002</v>
      </c>
    </row>
    <row r="59" spans="1:12">
      <c r="A59" s="20">
        <v>46026</v>
      </c>
      <c r="B59" s="17">
        <v>460812</v>
      </c>
      <c r="C59" s="18" t="str">
        <f>VLOOKUP(B59,Employee_Master!A:B,2,0)</f>
        <v>Deepak Sharma</v>
      </c>
      <c r="D59" s="7" t="s">
        <v>206</v>
      </c>
      <c r="E59" s="7" t="s">
        <v>231</v>
      </c>
      <c r="F59" s="7" t="s">
        <v>231</v>
      </c>
      <c r="G59" s="7"/>
      <c r="H59" s="19">
        <v>15.661799999999999</v>
      </c>
      <c r="I59" s="7">
        <f t="shared" si="3"/>
        <v>0</v>
      </c>
      <c r="J59" s="7">
        <f>IFERROR(VLOOKUP(D59,Event_Master!B:E,4,FALSE),1)</f>
        <v>1</v>
      </c>
      <c r="K59" s="7">
        <f t="shared" si="4"/>
        <v>0</v>
      </c>
      <c r="L59" s="19">
        <f t="shared" si="5"/>
        <v>15.661799999999999</v>
      </c>
    </row>
    <row r="60" spans="1:12">
      <c r="A60" s="20">
        <v>46026</v>
      </c>
      <c r="B60" s="17">
        <v>461161</v>
      </c>
      <c r="C60" s="18" t="str">
        <f>VLOOKUP(B60,Employee_Master!A:B,2,0)</f>
        <v>Abhay Singh</v>
      </c>
      <c r="D60" s="7" t="s">
        <v>206</v>
      </c>
      <c r="E60" s="7" t="s">
        <v>231</v>
      </c>
      <c r="F60" s="7" t="s">
        <v>231</v>
      </c>
      <c r="G60" s="7"/>
      <c r="H60" s="19">
        <v>14.0753</v>
      </c>
      <c r="I60" s="7">
        <f t="shared" si="3"/>
        <v>0</v>
      </c>
      <c r="J60" s="7">
        <f>IFERROR(VLOOKUP(D60,Event_Master!B:E,4,FALSE),1)</f>
        <v>1</v>
      </c>
      <c r="K60" s="7">
        <f t="shared" si="4"/>
        <v>0</v>
      </c>
      <c r="L60" s="19">
        <f t="shared" si="5"/>
        <v>14.0753</v>
      </c>
    </row>
    <row r="61" spans="1:12">
      <c r="A61" s="20">
        <v>46026</v>
      </c>
      <c r="B61" s="17">
        <v>463059</v>
      </c>
      <c r="C61" s="18" t="str">
        <f>VLOOKUP(B61,Employee_Master!A:B,2,0)</f>
        <v>Parvinder</v>
      </c>
      <c r="D61" s="7" t="s">
        <v>206</v>
      </c>
      <c r="E61" s="7" t="s">
        <v>231</v>
      </c>
      <c r="F61" s="7" t="s">
        <v>231</v>
      </c>
      <c r="G61" s="7"/>
      <c r="H61" s="19">
        <v>23.793299999999999</v>
      </c>
      <c r="I61" s="7">
        <f t="shared" si="3"/>
        <v>0</v>
      </c>
      <c r="J61" s="7">
        <f>IFERROR(VLOOKUP(D61,Event_Master!B:E,4,FALSE),1)</f>
        <v>1</v>
      </c>
      <c r="K61" s="7">
        <f t="shared" si="4"/>
        <v>0</v>
      </c>
      <c r="L61" s="19">
        <f t="shared" si="5"/>
        <v>23.793299999999999</v>
      </c>
    </row>
    <row r="62" spans="1:12">
      <c r="A62" s="20">
        <v>46026</v>
      </c>
      <c r="B62" s="17">
        <v>463833</v>
      </c>
      <c r="C62" s="18" t="str">
        <f>VLOOKUP(B62,Employee_Master!A:B,2,0)</f>
        <v>Kartik Shakya</v>
      </c>
      <c r="D62" s="7" t="s">
        <v>206</v>
      </c>
      <c r="E62" s="7" t="s">
        <v>231</v>
      </c>
      <c r="F62" s="7" t="s">
        <v>231</v>
      </c>
      <c r="G62" s="7"/>
      <c r="H62" s="19">
        <v>47.215600000000002</v>
      </c>
      <c r="I62" s="7">
        <f t="shared" si="3"/>
        <v>0</v>
      </c>
      <c r="J62" s="7">
        <f>IFERROR(VLOOKUP(D62,Event_Master!B:E,4,FALSE),1)</f>
        <v>1</v>
      </c>
      <c r="K62" s="7">
        <f t="shared" si="4"/>
        <v>0</v>
      </c>
      <c r="L62" s="19">
        <f t="shared" si="5"/>
        <v>47.215600000000002</v>
      </c>
    </row>
    <row r="63" spans="1:12">
      <c r="A63" s="20">
        <v>46026</v>
      </c>
      <c r="B63" s="17">
        <v>464188</v>
      </c>
      <c r="C63" s="18" t="str">
        <f>VLOOKUP(B63,Employee_Master!A:B,2,0)</f>
        <v>Himanshu Saini</v>
      </c>
      <c r="D63" s="7" t="s">
        <v>206</v>
      </c>
      <c r="E63" s="7" t="s">
        <v>231</v>
      </c>
      <c r="F63" s="7" t="s">
        <v>231</v>
      </c>
      <c r="G63" s="7"/>
      <c r="H63" s="19">
        <v>35.445700000000002</v>
      </c>
      <c r="I63" s="7">
        <f t="shared" si="3"/>
        <v>0</v>
      </c>
      <c r="J63" s="7">
        <f>IFERROR(VLOOKUP(D63,Event_Master!B:E,4,FALSE),1)</f>
        <v>1</v>
      </c>
      <c r="K63" s="7">
        <f t="shared" si="4"/>
        <v>0</v>
      </c>
      <c r="L63" s="19">
        <f t="shared" si="5"/>
        <v>35.445700000000002</v>
      </c>
    </row>
    <row r="64" spans="1:12">
      <c r="A64" s="20">
        <v>46026</v>
      </c>
      <c r="B64" s="17">
        <v>464193</v>
      </c>
      <c r="C64" s="18" t="str">
        <f>VLOOKUP(B64,Employee_Master!A:B,2,0)</f>
        <v>Hemant Singh</v>
      </c>
      <c r="D64" s="7" t="s">
        <v>206</v>
      </c>
      <c r="E64" s="7" t="s">
        <v>231</v>
      </c>
      <c r="F64" s="7" t="s">
        <v>231</v>
      </c>
      <c r="G64" s="7"/>
      <c r="H64" s="19">
        <v>13.683400000000001</v>
      </c>
      <c r="I64" s="7">
        <f t="shared" si="3"/>
        <v>0</v>
      </c>
      <c r="J64" s="7">
        <f>IFERROR(VLOOKUP(D64,Event_Master!B:E,4,FALSE),1)</f>
        <v>1</v>
      </c>
      <c r="K64" s="7">
        <f t="shared" si="4"/>
        <v>0</v>
      </c>
      <c r="L64" s="19">
        <f t="shared" si="5"/>
        <v>13.683400000000001</v>
      </c>
    </row>
    <row r="65" spans="1:12">
      <c r="A65" s="20">
        <v>46026</v>
      </c>
      <c r="B65" s="17">
        <v>464500</v>
      </c>
      <c r="C65" s="18" t="str">
        <f>VLOOKUP(B65,Employee_Master!A:B,2,0)</f>
        <v>Dalip Sharma</v>
      </c>
      <c r="D65" s="7" t="s">
        <v>206</v>
      </c>
      <c r="E65" s="7" t="s">
        <v>231</v>
      </c>
      <c r="F65" s="7" t="s">
        <v>231</v>
      </c>
      <c r="G65" s="7"/>
      <c r="H65" s="19">
        <v>32.453699999999998</v>
      </c>
      <c r="I65" s="7">
        <f t="shared" ref="I65:I95" si="6">IF(G65="Winner",100,IF(G65="Runner-up",70,IF(G65="2nd Runner-up",50,IF(G65="Semi",30,IF(G65="Quarter",20,0)))))</f>
        <v>0</v>
      </c>
      <c r="J65" s="7">
        <f>IFERROR(VLOOKUP(D65,Event_Master!B:E,4,FALSE),1)</f>
        <v>1</v>
      </c>
      <c r="K65" s="7">
        <f t="shared" ref="K65:K95" si="7">(I65*J65)</f>
        <v>0</v>
      </c>
      <c r="L65" s="19">
        <f t="shared" ref="L65:L95" si="8">K65+H65</f>
        <v>32.453699999999998</v>
      </c>
    </row>
    <row r="66" spans="1:12">
      <c r="A66" s="20">
        <v>46026</v>
      </c>
      <c r="B66" s="17">
        <v>464871</v>
      </c>
      <c r="C66" s="18" t="str">
        <f>VLOOKUP(B66,Employee_Master!A:B,2,0)</f>
        <v>Mohit Sahu</v>
      </c>
      <c r="D66" s="7" t="s">
        <v>206</v>
      </c>
      <c r="E66" s="7" t="s">
        <v>231</v>
      </c>
      <c r="F66" s="7" t="s">
        <v>231</v>
      </c>
      <c r="G66" s="7"/>
      <c r="H66" s="19">
        <v>36.5212</v>
      </c>
      <c r="I66" s="7">
        <f t="shared" si="6"/>
        <v>0</v>
      </c>
      <c r="J66" s="7">
        <f>IFERROR(VLOOKUP(D66,Event_Master!B:E,4,FALSE),1)</f>
        <v>1</v>
      </c>
      <c r="K66" s="7">
        <f t="shared" si="7"/>
        <v>0</v>
      </c>
      <c r="L66" s="19">
        <f t="shared" si="8"/>
        <v>36.5212</v>
      </c>
    </row>
    <row r="67" spans="1:12">
      <c r="A67" s="20">
        <v>46026</v>
      </c>
      <c r="B67" s="17">
        <v>465254</v>
      </c>
      <c r="C67" s="18" t="str">
        <f>VLOOKUP(B67,Employee_Master!A:B,2,0)</f>
        <v>Narender Kumar</v>
      </c>
      <c r="D67" s="7" t="s">
        <v>206</v>
      </c>
      <c r="E67" s="7" t="s">
        <v>231</v>
      </c>
      <c r="F67" s="7" t="s">
        <v>231</v>
      </c>
      <c r="G67" s="7"/>
      <c r="H67" s="19">
        <v>27.9038</v>
      </c>
      <c r="I67" s="7">
        <f t="shared" si="6"/>
        <v>0</v>
      </c>
      <c r="J67" s="7">
        <f>IFERROR(VLOOKUP(D67,Event_Master!B:E,4,FALSE),1)</f>
        <v>1</v>
      </c>
      <c r="K67" s="7">
        <f t="shared" si="7"/>
        <v>0</v>
      </c>
      <c r="L67" s="19">
        <f t="shared" si="8"/>
        <v>27.9038</v>
      </c>
    </row>
    <row r="68" spans="1:12">
      <c r="A68" s="20">
        <v>46026</v>
      </c>
      <c r="B68" s="17">
        <v>465255</v>
      </c>
      <c r="C68" s="18" t="str">
        <f>VLOOKUP(B68,Employee_Master!A:B,2,0)</f>
        <v>Mukul Suman</v>
      </c>
      <c r="D68" s="7" t="s">
        <v>206</v>
      </c>
      <c r="E68" s="7" t="s">
        <v>231</v>
      </c>
      <c r="F68" s="7" t="s">
        <v>231</v>
      </c>
      <c r="G68" s="7"/>
      <c r="H68" s="19">
        <v>39.287500000000001</v>
      </c>
      <c r="I68" s="7">
        <f t="shared" si="6"/>
        <v>0</v>
      </c>
      <c r="J68" s="7">
        <f>IFERROR(VLOOKUP(D68,Event_Master!B:E,4,FALSE),1)</f>
        <v>1</v>
      </c>
      <c r="K68" s="7">
        <f t="shared" si="7"/>
        <v>0</v>
      </c>
      <c r="L68" s="19">
        <f t="shared" si="8"/>
        <v>39.287500000000001</v>
      </c>
    </row>
    <row r="69" spans="1:12">
      <c r="A69" s="20">
        <v>46026</v>
      </c>
      <c r="B69" s="17">
        <v>466167</v>
      </c>
      <c r="C69" s="18" t="str">
        <f>VLOOKUP(B69,Employee_Master!A:B,2,0)</f>
        <v>Aishwarya Sharma</v>
      </c>
      <c r="D69" s="7" t="s">
        <v>206</v>
      </c>
      <c r="E69" s="7" t="s">
        <v>231</v>
      </c>
      <c r="F69" s="7" t="s">
        <v>231</v>
      </c>
      <c r="G69" s="7"/>
      <c r="H69" s="19">
        <v>46.165900000000001</v>
      </c>
      <c r="I69" s="7">
        <f t="shared" si="6"/>
        <v>0</v>
      </c>
      <c r="J69" s="7">
        <f>IFERROR(VLOOKUP(D69,Event_Master!B:E,4,FALSE),1)</f>
        <v>1</v>
      </c>
      <c r="K69" s="7">
        <f t="shared" si="7"/>
        <v>0</v>
      </c>
      <c r="L69" s="19">
        <f t="shared" si="8"/>
        <v>46.165900000000001</v>
      </c>
    </row>
    <row r="70" spans="1:12">
      <c r="A70" s="20">
        <v>46026</v>
      </c>
      <c r="B70" s="17">
        <v>466445</v>
      </c>
      <c r="C70" s="18" t="str">
        <f>VLOOKUP(B70,Employee_Master!A:B,2,0)</f>
        <v>Ayush Kumar</v>
      </c>
      <c r="D70" s="7" t="s">
        <v>206</v>
      </c>
      <c r="E70" s="7" t="s">
        <v>231</v>
      </c>
      <c r="F70" s="7" t="s">
        <v>231</v>
      </c>
      <c r="G70" s="7"/>
      <c r="H70" s="19">
        <v>19.367699999999999</v>
      </c>
      <c r="I70" s="7">
        <f t="shared" si="6"/>
        <v>0</v>
      </c>
      <c r="J70" s="7">
        <f>IFERROR(VLOOKUP(D70,Event_Master!B:E,4,FALSE),1)</f>
        <v>1</v>
      </c>
      <c r="K70" s="7">
        <f t="shared" si="7"/>
        <v>0</v>
      </c>
      <c r="L70" s="19">
        <f t="shared" si="8"/>
        <v>19.367699999999999</v>
      </c>
    </row>
    <row r="71" spans="1:12">
      <c r="A71" s="20">
        <v>46026</v>
      </c>
      <c r="B71" s="17">
        <v>467068</v>
      </c>
      <c r="C71" s="18" t="str">
        <f>VLOOKUP(B71,Employee_Master!A:B,2,0)</f>
        <v>Anuj Kumar</v>
      </c>
      <c r="D71" s="7" t="s">
        <v>206</v>
      </c>
      <c r="E71" s="7" t="s">
        <v>231</v>
      </c>
      <c r="F71" s="7" t="s">
        <v>231</v>
      </c>
      <c r="G71" s="7"/>
      <c r="H71" s="19">
        <v>31.5565</v>
      </c>
      <c r="I71" s="7">
        <f t="shared" si="6"/>
        <v>0</v>
      </c>
      <c r="J71" s="7">
        <f>IFERROR(VLOOKUP(D71,Event_Master!B:E,4,FALSE),1)</f>
        <v>1</v>
      </c>
      <c r="K71" s="7">
        <f t="shared" si="7"/>
        <v>0</v>
      </c>
      <c r="L71" s="19">
        <f t="shared" si="8"/>
        <v>31.5565</v>
      </c>
    </row>
    <row r="72" spans="1:12">
      <c r="A72" s="20">
        <v>46026</v>
      </c>
      <c r="B72" s="17">
        <v>467544</v>
      </c>
      <c r="C72" s="18" t="str">
        <f>VLOOKUP(B72,Employee_Master!A:B,2,0)</f>
        <v>Vinay Kumar</v>
      </c>
      <c r="D72" s="7" t="s">
        <v>206</v>
      </c>
      <c r="E72" s="7" t="s">
        <v>231</v>
      </c>
      <c r="F72" s="7" t="s">
        <v>231</v>
      </c>
      <c r="G72" s="7"/>
      <c r="H72" s="19">
        <v>39.134399999999999</v>
      </c>
      <c r="I72" s="7">
        <f t="shared" si="6"/>
        <v>0</v>
      </c>
      <c r="J72" s="7">
        <f>IFERROR(VLOOKUP(D72,Event_Master!B:E,4,FALSE),1)</f>
        <v>1</v>
      </c>
      <c r="K72" s="7">
        <f t="shared" si="7"/>
        <v>0</v>
      </c>
      <c r="L72" s="19">
        <f t="shared" si="8"/>
        <v>39.134399999999999</v>
      </c>
    </row>
    <row r="73" spans="1:12">
      <c r="A73" s="20">
        <v>46026</v>
      </c>
      <c r="B73" s="17">
        <v>468157</v>
      </c>
      <c r="C73" s="18" t="str">
        <f>VLOOKUP(B73,Employee_Master!A:B,2,0)</f>
        <v>Ankit Tiwari</v>
      </c>
      <c r="D73" s="7" t="s">
        <v>206</v>
      </c>
      <c r="E73" s="7" t="s">
        <v>231</v>
      </c>
      <c r="F73" s="7" t="s">
        <v>231</v>
      </c>
      <c r="G73" s="7"/>
      <c r="H73" s="19">
        <v>11.2912</v>
      </c>
      <c r="I73" s="7">
        <f t="shared" si="6"/>
        <v>0</v>
      </c>
      <c r="J73" s="7">
        <f>IFERROR(VLOOKUP(D73,Event_Master!B:E,4,FALSE),1)</f>
        <v>1</v>
      </c>
      <c r="K73" s="7">
        <f t="shared" si="7"/>
        <v>0</v>
      </c>
      <c r="L73" s="19">
        <f t="shared" si="8"/>
        <v>11.2912</v>
      </c>
    </row>
    <row r="74" spans="1:12">
      <c r="A74" s="20">
        <v>46026</v>
      </c>
      <c r="B74" s="17">
        <v>468224</v>
      </c>
      <c r="C74" s="18" t="str">
        <f>VLOOKUP(B74,Employee_Master!A:B,2,0)</f>
        <v>Mohit Kumar</v>
      </c>
      <c r="D74" s="7" t="s">
        <v>206</v>
      </c>
      <c r="E74" s="7" t="s">
        <v>231</v>
      </c>
      <c r="F74" s="7" t="s">
        <v>231</v>
      </c>
      <c r="G74" s="7"/>
      <c r="H74" s="19">
        <v>15.4354</v>
      </c>
      <c r="I74" s="7">
        <f t="shared" si="6"/>
        <v>0</v>
      </c>
      <c r="J74" s="7">
        <f>IFERROR(VLOOKUP(D74,Event_Master!B:E,4,FALSE),1)</f>
        <v>1</v>
      </c>
      <c r="K74" s="7">
        <f t="shared" si="7"/>
        <v>0</v>
      </c>
      <c r="L74" s="19">
        <f t="shared" si="8"/>
        <v>15.4354</v>
      </c>
    </row>
    <row r="75" spans="1:12">
      <c r="A75" s="20">
        <v>46026</v>
      </c>
      <c r="B75" s="17">
        <v>468660</v>
      </c>
      <c r="C75" s="18" t="str">
        <f>VLOOKUP(B75,Employee_Master!A:B,2,0)</f>
        <v>Samay Raj</v>
      </c>
      <c r="D75" s="7" t="s">
        <v>206</v>
      </c>
      <c r="E75" s="7" t="s">
        <v>231</v>
      </c>
      <c r="F75" s="7" t="s">
        <v>231</v>
      </c>
      <c r="G75" s="7"/>
      <c r="H75" s="19">
        <v>33.652900000000002</v>
      </c>
      <c r="I75" s="7">
        <f t="shared" si="6"/>
        <v>0</v>
      </c>
      <c r="J75" s="7">
        <f>IFERROR(VLOOKUP(D75,Event_Master!B:E,4,FALSE),1)</f>
        <v>1</v>
      </c>
      <c r="K75" s="7">
        <f t="shared" si="7"/>
        <v>0</v>
      </c>
      <c r="L75" s="19">
        <f t="shared" si="8"/>
        <v>33.652900000000002</v>
      </c>
    </row>
    <row r="76" spans="1:12">
      <c r="A76" s="20">
        <v>46026</v>
      </c>
      <c r="B76" s="17">
        <v>470301</v>
      </c>
      <c r="C76" s="18" t="str">
        <f>VLOOKUP(B76,Employee_Master!A:B,2,0)</f>
        <v>Ankit Kumar</v>
      </c>
      <c r="D76" s="7" t="s">
        <v>206</v>
      </c>
      <c r="E76" s="7" t="s">
        <v>231</v>
      </c>
      <c r="F76" s="7" t="s">
        <v>231</v>
      </c>
      <c r="G76" s="7"/>
      <c r="H76" s="19">
        <v>30.305499999999999</v>
      </c>
      <c r="I76" s="7">
        <f t="shared" si="6"/>
        <v>0</v>
      </c>
      <c r="J76" s="7">
        <f>IFERROR(VLOOKUP(D76,Event_Master!B:E,4,FALSE),1)</f>
        <v>1</v>
      </c>
      <c r="K76" s="7">
        <f t="shared" si="7"/>
        <v>0</v>
      </c>
      <c r="L76" s="19">
        <f t="shared" si="8"/>
        <v>30.305499999999999</v>
      </c>
    </row>
    <row r="77" spans="1:12">
      <c r="A77" s="20">
        <v>46026</v>
      </c>
      <c r="B77" s="17">
        <v>472322</v>
      </c>
      <c r="C77" s="18" t="str">
        <f>VLOOKUP(B77,Employee_Master!A:B,2,0)</f>
        <v>Sanjeet Kumar</v>
      </c>
      <c r="D77" s="7" t="s">
        <v>206</v>
      </c>
      <c r="E77" s="7" t="s">
        <v>231</v>
      </c>
      <c r="F77" s="7" t="s">
        <v>231</v>
      </c>
      <c r="G77" s="7"/>
      <c r="H77" s="19">
        <v>31.0275</v>
      </c>
      <c r="I77" s="7">
        <f t="shared" si="6"/>
        <v>0</v>
      </c>
      <c r="J77" s="7">
        <f>IFERROR(VLOOKUP(D77,Event_Master!B:E,4,FALSE),1)</f>
        <v>1</v>
      </c>
      <c r="K77" s="7">
        <f t="shared" si="7"/>
        <v>0</v>
      </c>
      <c r="L77" s="19">
        <f t="shared" si="8"/>
        <v>31.0275</v>
      </c>
    </row>
    <row r="78" spans="1:12">
      <c r="A78" s="20">
        <v>46026</v>
      </c>
      <c r="B78" s="17">
        <v>472840</v>
      </c>
      <c r="C78" s="18" t="str">
        <f>VLOOKUP(B78,Employee_Master!A:B,2,0)</f>
        <v>Supravat Adhikary</v>
      </c>
      <c r="D78" s="7" t="s">
        <v>206</v>
      </c>
      <c r="E78" s="7" t="s">
        <v>231</v>
      </c>
      <c r="F78" s="7" t="s">
        <v>231</v>
      </c>
      <c r="G78" s="7"/>
      <c r="H78" s="19">
        <v>22.837299999999999</v>
      </c>
      <c r="I78" s="7">
        <f t="shared" si="6"/>
        <v>0</v>
      </c>
      <c r="J78" s="7">
        <f>IFERROR(VLOOKUP(D78,Event_Master!B:E,4,FALSE),1)</f>
        <v>1</v>
      </c>
      <c r="K78" s="7">
        <f t="shared" si="7"/>
        <v>0</v>
      </c>
      <c r="L78" s="19">
        <f t="shared" si="8"/>
        <v>22.837299999999999</v>
      </c>
    </row>
    <row r="79" spans="1:12">
      <c r="A79" s="20">
        <v>46026</v>
      </c>
      <c r="B79" s="17">
        <v>473015</v>
      </c>
      <c r="C79" s="18" t="str">
        <f>VLOOKUP(B79,Employee_Master!A:B,2,0)</f>
        <v>Partap</v>
      </c>
      <c r="D79" s="7" t="s">
        <v>206</v>
      </c>
      <c r="E79" s="7" t="s">
        <v>231</v>
      </c>
      <c r="F79" s="7" t="s">
        <v>231</v>
      </c>
      <c r="G79" s="7"/>
      <c r="H79" s="19">
        <v>19.187100000000001</v>
      </c>
      <c r="I79" s="7">
        <f t="shared" si="6"/>
        <v>0</v>
      </c>
      <c r="J79" s="7">
        <f>IFERROR(VLOOKUP(D79,Event_Master!B:E,4,FALSE),1)</f>
        <v>1</v>
      </c>
      <c r="K79" s="7">
        <f t="shared" si="7"/>
        <v>0</v>
      </c>
      <c r="L79" s="19">
        <f t="shared" si="8"/>
        <v>19.187100000000001</v>
      </c>
    </row>
    <row r="80" spans="1:12">
      <c r="A80" s="20">
        <v>46026</v>
      </c>
      <c r="B80" s="17">
        <v>474194</v>
      </c>
      <c r="C80" s="18" t="str">
        <f>VLOOKUP(B80,Employee_Master!A:B,2,0)</f>
        <v>Rohit Yadav</v>
      </c>
      <c r="D80" s="7" t="s">
        <v>206</v>
      </c>
      <c r="E80" s="7" t="s">
        <v>231</v>
      </c>
      <c r="F80" s="7" t="s">
        <v>231</v>
      </c>
      <c r="G80" s="7"/>
      <c r="H80" s="19">
        <v>47.618499999999997</v>
      </c>
      <c r="I80" s="7">
        <f t="shared" si="6"/>
        <v>0</v>
      </c>
      <c r="J80" s="7">
        <f>IFERROR(VLOOKUP(D80,Event_Master!B:E,4,FALSE),1)</f>
        <v>1</v>
      </c>
      <c r="K80" s="7">
        <f t="shared" si="7"/>
        <v>0</v>
      </c>
      <c r="L80" s="19">
        <f t="shared" si="8"/>
        <v>47.618499999999997</v>
      </c>
    </row>
    <row r="81" spans="1:12">
      <c r="A81" s="20">
        <v>46026</v>
      </c>
      <c r="B81" s="17">
        <v>476372</v>
      </c>
      <c r="C81" s="18" t="str">
        <f>VLOOKUP(B81,Employee_Master!A:B,2,0)</f>
        <v>Laksh</v>
      </c>
      <c r="D81" s="7" t="s">
        <v>206</v>
      </c>
      <c r="E81" s="7" t="s">
        <v>231</v>
      </c>
      <c r="F81" s="7" t="s">
        <v>231</v>
      </c>
      <c r="G81" s="7"/>
      <c r="H81" s="19">
        <v>4.6757999999999997</v>
      </c>
      <c r="I81" s="7">
        <f t="shared" si="6"/>
        <v>0</v>
      </c>
      <c r="J81" s="7">
        <f>IFERROR(VLOOKUP(D81,Event_Master!B:E,4,FALSE),1)</f>
        <v>1</v>
      </c>
      <c r="K81" s="7">
        <f t="shared" si="7"/>
        <v>0</v>
      </c>
      <c r="L81" s="19">
        <f t="shared" si="8"/>
        <v>4.6757999999999997</v>
      </c>
    </row>
    <row r="82" spans="1:12">
      <c r="A82" s="20">
        <v>46026</v>
      </c>
      <c r="B82" s="17">
        <v>478084</v>
      </c>
      <c r="C82" s="18" t="str">
        <f>VLOOKUP(B82,Employee_Master!A:B,2,0)</f>
        <v>Ashish Mishra</v>
      </c>
      <c r="D82" s="7" t="s">
        <v>206</v>
      </c>
      <c r="E82" s="7" t="s">
        <v>231</v>
      </c>
      <c r="F82" s="7" t="s">
        <v>231</v>
      </c>
      <c r="G82" s="7"/>
      <c r="H82" s="19">
        <v>30.825800000000001</v>
      </c>
      <c r="I82" s="7">
        <f t="shared" si="6"/>
        <v>0</v>
      </c>
      <c r="J82" s="7">
        <f>IFERROR(VLOOKUP(D82,Event_Master!B:E,4,FALSE),1)</f>
        <v>1</v>
      </c>
      <c r="K82" s="7">
        <f t="shared" si="7"/>
        <v>0</v>
      </c>
      <c r="L82" s="19">
        <f t="shared" si="8"/>
        <v>30.825800000000001</v>
      </c>
    </row>
    <row r="83" spans="1:12">
      <c r="A83" s="20">
        <v>46026</v>
      </c>
      <c r="B83" s="17">
        <v>478266</v>
      </c>
      <c r="C83" s="18" t="str">
        <f>VLOOKUP(B83,Employee_Master!A:B,2,0)</f>
        <v xml:space="preserve">Abhishek Sharma </v>
      </c>
      <c r="D83" s="7" t="s">
        <v>206</v>
      </c>
      <c r="E83" s="7" t="s">
        <v>231</v>
      </c>
      <c r="F83" s="7" t="s">
        <v>231</v>
      </c>
      <c r="G83" s="7"/>
      <c r="H83" s="19">
        <v>19.1844</v>
      </c>
      <c r="I83" s="7">
        <f t="shared" si="6"/>
        <v>0</v>
      </c>
      <c r="J83" s="7">
        <f>IFERROR(VLOOKUP(D83,Event_Master!B:E,4,FALSE),1)</f>
        <v>1</v>
      </c>
      <c r="K83" s="7">
        <f t="shared" si="7"/>
        <v>0</v>
      </c>
      <c r="L83" s="19">
        <f t="shared" si="8"/>
        <v>19.1844</v>
      </c>
    </row>
    <row r="84" spans="1:12">
      <c r="A84" s="20">
        <v>46026</v>
      </c>
      <c r="B84" s="17">
        <v>478270</v>
      </c>
      <c r="C84" s="18" t="str">
        <f>VLOOKUP(B84,Employee_Master!A:B,2,0)</f>
        <v xml:space="preserve">Inzmam Ali </v>
      </c>
      <c r="D84" s="7" t="s">
        <v>206</v>
      </c>
      <c r="E84" s="7" t="s">
        <v>231</v>
      </c>
      <c r="F84" s="7" t="s">
        <v>231</v>
      </c>
      <c r="G84" s="7"/>
      <c r="H84" s="19">
        <v>10.583299999999999</v>
      </c>
      <c r="I84" s="7">
        <f t="shared" si="6"/>
        <v>0</v>
      </c>
      <c r="J84" s="7">
        <f>IFERROR(VLOOKUP(D84,Event_Master!B:E,4,FALSE),1)</f>
        <v>1</v>
      </c>
      <c r="K84" s="7">
        <f t="shared" si="7"/>
        <v>0</v>
      </c>
      <c r="L84" s="19">
        <f t="shared" si="8"/>
        <v>10.583299999999999</v>
      </c>
    </row>
    <row r="85" spans="1:12">
      <c r="A85" s="20">
        <v>46026</v>
      </c>
      <c r="B85" s="17">
        <v>478308</v>
      </c>
      <c r="C85" s="18" t="str">
        <f>VLOOKUP(B85,Employee_Master!A:B,2,0)</f>
        <v xml:space="preserve">Abhishek savita </v>
      </c>
      <c r="D85" s="7" t="s">
        <v>206</v>
      </c>
      <c r="E85" s="7" t="s">
        <v>231</v>
      </c>
      <c r="F85" s="7" t="s">
        <v>231</v>
      </c>
      <c r="G85" s="7"/>
      <c r="H85" s="19">
        <v>28.232800000000001</v>
      </c>
      <c r="I85" s="7">
        <f t="shared" si="6"/>
        <v>0</v>
      </c>
      <c r="J85" s="7">
        <f>IFERROR(VLOOKUP(D85,Event_Master!B:E,4,FALSE),1)</f>
        <v>1</v>
      </c>
      <c r="K85" s="7">
        <f t="shared" si="7"/>
        <v>0</v>
      </c>
      <c r="L85" s="19">
        <f t="shared" si="8"/>
        <v>28.232800000000001</v>
      </c>
    </row>
    <row r="86" spans="1:12">
      <c r="A86" s="20">
        <v>46026</v>
      </c>
      <c r="B86" s="17">
        <v>479348</v>
      </c>
      <c r="C86" s="18" t="str">
        <f>VLOOKUP(B86,Employee_Master!A:B,2,0)</f>
        <v>Harmandeep</v>
      </c>
      <c r="D86" s="7" t="s">
        <v>206</v>
      </c>
      <c r="E86" s="7" t="s">
        <v>231</v>
      </c>
      <c r="F86" s="7" t="s">
        <v>231</v>
      </c>
      <c r="G86" s="7"/>
      <c r="H86" s="19">
        <v>5.7915000000000001</v>
      </c>
      <c r="I86" s="7">
        <f t="shared" si="6"/>
        <v>0</v>
      </c>
      <c r="J86" s="7">
        <f>IFERROR(VLOOKUP(D86,Event_Master!B:E,4,FALSE),1)</f>
        <v>1</v>
      </c>
      <c r="K86" s="7">
        <f t="shared" si="7"/>
        <v>0</v>
      </c>
      <c r="L86" s="19">
        <f t="shared" si="8"/>
        <v>5.7915000000000001</v>
      </c>
    </row>
    <row r="87" spans="1:12">
      <c r="A87" s="20">
        <v>46026</v>
      </c>
      <c r="B87" s="17">
        <v>484877</v>
      </c>
      <c r="C87" s="18" t="str">
        <f>VLOOKUP(B87,Employee_Master!A:B,2,0)</f>
        <v>Prashant Gupta</v>
      </c>
      <c r="D87" s="7" t="s">
        <v>206</v>
      </c>
      <c r="E87" s="7" t="s">
        <v>231</v>
      </c>
      <c r="F87" s="7" t="s">
        <v>231</v>
      </c>
      <c r="G87" s="7"/>
      <c r="H87" s="19">
        <v>24.973099999999999</v>
      </c>
      <c r="I87" s="7">
        <f t="shared" si="6"/>
        <v>0</v>
      </c>
      <c r="J87" s="7">
        <f>IFERROR(VLOOKUP(D87,Event_Master!B:E,4,FALSE),1)</f>
        <v>1</v>
      </c>
      <c r="K87" s="7">
        <f t="shared" si="7"/>
        <v>0</v>
      </c>
      <c r="L87" s="19">
        <f t="shared" si="8"/>
        <v>24.973099999999999</v>
      </c>
    </row>
    <row r="88" spans="1:12">
      <c r="A88" s="20">
        <v>46026</v>
      </c>
      <c r="B88" s="17">
        <v>486309</v>
      </c>
      <c r="C88" s="18" t="str">
        <f>VLOOKUP(B88,Employee_Master!A:B,2,0)</f>
        <v>Ankit Bhatt</v>
      </c>
      <c r="D88" s="7" t="s">
        <v>206</v>
      </c>
      <c r="E88" s="7" t="s">
        <v>231</v>
      </c>
      <c r="F88" s="7" t="s">
        <v>231</v>
      </c>
      <c r="G88" s="7"/>
      <c r="H88" s="19">
        <v>27.064</v>
      </c>
      <c r="I88" s="7">
        <f t="shared" si="6"/>
        <v>0</v>
      </c>
      <c r="J88" s="7">
        <f>IFERROR(VLOOKUP(D88,Event_Master!B:E,4,FALSE),1)</f>
        <v>1</v>
      </c>
      <c r="K88" s="7">
        <f t="shared" si="7"/>
        <v>0</v>
      </c>
      <c r="L88" s="19">
        <f t="shared" si="8"/>
        <v>27.064</v>
      </c>
    </row>
    <row r="89" spans="1:12">
      <c r="A89" s="20">
        <v>46026</v>
      </c>
      <c r="B89" s="17">
        <v>488518</v>
      </c>
      <c r="C89" s="18" t="str">
        <f>VLOOKUP(B89,Employee_Master!A:B,2,0)</f>
        <v>Neha Chaturvedi</v>
      </c>
      <c r="D89" s="7" t="s">
        <v>206</v>
      </c>
      <c r="E89" s="7" t="s">
        <v>231</v>
      </c>
      <c r="F89" s="7" t="s">
        <v>231</v>
      </c>
      <c r="G89" s="7"/>
      <c r="H89" s="19">
        <v>16.8127</v>
      </c>
      <c r="I89" s="7">
        <f t="shared" si="6"/>
        <v>0</v>
      </c>
      <c r="J89" s="7">
        <f>IFERROR(VLOOKUP(D89,Event_Master!B:E,4,FALSE),1)</f>
        <v>1</v>
      </c>
      <c r="K89" s="7">
        <f t="shared" si="7"/>
        <v>0</v>
      </c>
      <c r="L89" s="19">
        <f t="shared" si="8"/>
        <v>16.8127</v>
      </c>
    </row>
    <row r="90" spans="1:12">
      <c r="A90" s="20">
        <v>46026</v>
      </c>
      <c r="B90" s="17">
        <v>492857</v>
      </c>
      <c r="C90" s="18" t="str">
        <f>VLOOKUP(B90,Employee_Master!A:B,2,0)</f>
        <v>Arnima Thakur</v>
      </c>
      <c r="D90" s="7" t="s">
        <v>206</v>
      </c>
      <c r="E90" s="7" t="s">
        <v>231</v>
      </c>
      <c r="F90" s="7" t="s">
        <v>231</v>
      </c>
      <c r="G90" s="7"/>
      <c r="H90" s="19">
        <v>10.619899999999999</v>
      </c>
      <c r="I90" s="7">
        <f t="shared" si="6"/>
        <v>0</v>
      </c>
      <c r="J90" s="7">
        <f>IFERROR(VLOOKUP(D90,Event_Master!B:E,4,FALSE),1)</f>
        <v>1</v>
      </c>
      <c r="K90" s="7">
        <f t="shared" si="7"/>
        <v>0</v>
      </c>
      <c r="L90" s="19">
        <f t="shared" si="8"/>
        <v>10.619899999999999</v>
      </c>
    </row>
    <row r="91" spans="1:12">
      <c r="A91" s="20">
        <v>46026</v>
      </c>
      <c r="B91" s="17">
        <v>705995</v>
      </c>
      <c r="C91" s="18" t="str">
        <f>VLOOKUP(B91,Employee_Master!A:B,2,0)</f>
        <v>Sahil.</v>
      </c>
      <c r="D91" s="7" t="s">
        <v>206</v>
      </c>
      <c r="E91" s="7" t="s">
        <v>231</v>
      </c>
      <c r="F91" s="7" t="s">
        <v>231</v>
      </c>
      <c r="G91" s="7"/>
      <c r="H91" s="19">
        <v>24.220600000000001</v>
      </c>
      <c r="I91" s="7">
        <f t="shared" si="6"/>
        <v>0</v>
      </c>
      <c r="J91" s="7">
        <f>IFERROR(VLOOKUP(D91,Event_Master!B:E,4,FALSE),1)</f>
        <v>1</v>
      </c>
      <c r="K91" s="7">
        <f t="shared" si="7"/>
        <v>0</v>
      </c>
      <c r="L91" s="19">
        <f t="shared" si="8"/>
        <v>24.220600000000001</v>
      </c>
    </row>
    <row r="92" spans="1:12">
      <c r="A92" s="20">
        <v>46026</v>
      </c>
      <c r="B92" s="17">
        <v>706181</v>
      </c>
      <c r="C92" s="18" t="str">
        <f>VLOOKUP(B92,Employee_Master!A:B,2,0)</f>
        <v>Sonam Kachhap</v>
      </c>
      <c r="D92" s="7" t="s">
        <v>206</v>
      </c>
      <c r="E92" s="7" t="s">
        <v>231</v>
      </c>
      <c r="F92" s="7" t="s">
        <v>231</v>
      </c>
      <c r="G92" s="7"/>
      <c r="H92" s="19">
        <v>21.601600000000001</v>
      </c>
      <c r="I92" s="7">
        <f t="shared" si="6"/>
        <v>0</v>
      </c>
      <c r="J92" s="7">
        <f>IFERROR(VLOOKUP(D92,Event_Master!B:E,4,FALSE),1)</f>
        <v>1</v>
      </c>
      <c r="K92" s="7">
        <f t="shared" si="7"/>
        <v>0</v>
      </c>
      <c r="L92" s="19">
        <f t="shared" si="8"/>
        <v>21.601600000000001</v>
      </c>
    </row>
    <row r="93" spans="1:12">
      <c r="A93" s="20">
        <v>46026</v>
      </c>
      <c r="B93" s="17">
        <v>706306</v>
      </c>
      <c r="C93" s="18" t="str">
        <f>VLOOKUP(B93,Employee_Master!A:B,2,0)</f>
        <v>Subhashree Nayak</v>
      </c>
      <c r="D93" s="7" t="s">
        <v>206</v>
      </c>
      <c r="E93" s="7" t="s">
        <v>231</v>
      </c>
      <c r="F93" s="7" t="s">
        <v>231</v>
      </c>
      <c r="G93" s="7"/>
      <c r="H93" s="19">
        <v>18.9419</v>
      </c>
      <c r="I93" s="7">
        <f t="shared" si="6"/>
        <v>0</v>
      </c>
      <c r="J93" s="7">
        <f>IFERROR(VLOOKUP(D93,Event_Master!B:E,4,FALSE),1)</f>
        <v>1</v>
      </c>
      <c r="K93" s="7">
        <f t="shared" si="7"/>
        <v>0</v>
      </c>
      <c r="L93" s="19">
        <f t="shared" si="8"/>
        <v>18.9419</v>
      </c>
    </row>
    <row r="94" spans="1:12">
      <c r="A94" s="20">
        <v>46026</v>
      </c>
      <c r="B94" s="17">
        <v>707131</v>
      </c>
      <c r="C94" s="18" t="str">
        <f>VLOOKUP(B94,Employee_Master!A:B,2,0)</f>
        <v>Puja Bhalotia</v>
      </c>
      <c r="D94" s="7" t="s">
        <v>206</v>
      </c>
      <c r="E94" s="7" t="s">
        <v>231</v>
      </c>
      <c r="F94" s="7" t="s">
        <v>231</v>
      </c>
      <c r="G94" s="7"/>
      <c r="H94" s="19">
        <v>18.796099999999999</v>
      </c>
      <c r="I94" s="7">
        <f t="shared" si="6"/>
        <v>0</v>
      </c>
      <c r="J94" s="7">
        <f>IFERROR(VLOOKUP(D94,Event_Master!B:E,4,FALSE),1)</f>
        <v>1</v>
      </c>
      <c r="K94" s="7">
        <f t="shared" si="7"/>
        <v>0</v>
      </c>
      <c r="L94" s="19">
        <f t="shared" si="8"/>
        <v>18.796099999999999</v>
      </c>
    </row>
    <row r="95" spans="1:12">
      <c r="A95" s="20">
        <v>46026</v>
      </c>
      <c r="B95" s="17">
        <v>708792</v>
      </c>
      <c r="C95" s="18" t="str">
        <f>VLOOKUP(B95,Employee_Master!A:B,2,0)</f>
        <v>Shubhanshu Pandey</v>
      </c>
      <c r="D95" s="7" t="s">
        <v>206</v>
      </c>
      <c r="E95" s="7" t="s">
        <v>231</v>
      </c>
      <c r="F95" s="7" t="s">
        <v>231</v>
      </c>
      <c r="G95" s="7"/>
      <c r="H95" s="19">
        <v>6.3537999999999997</v>
      </c>
      <c r="I95" s="7">
        <f t="shared" si="6"/>
        <v>0</v>
      </c>
      <c r="J95" s="7">
        <f>IFERROR(VLOOKUP(D95,Event_Master!B:E,4,FALSE),1)</f>
        <v>1</v>
      </c>
      <c r="K95" s="7">
        <f t="shared" si="7"/>
        <v>0</v>
      </c>
      <c r="L95" s="19">
        <f t="shared" si="8"/>
        <v>6.3537999999999997</v>
      </c>
    </row>
    <row r="96" spans="1:12">
      <c r="A96" s="20">
        <v>46026</v>
      </c>
      <c r="B96" s="17">
        <v>709664</v>
      </c>
      <c r="C96" s="18" t="str">
        <f>VLOOKUP(B96,Employee_Master!A:B,2,0)</f>
        <v>Kavita Rathore</v>
      </c>
      <c r="D96" s="7" t="s">
        <v>206</v>
      </c>
      <c r="E96" s="7" t="s">
        <v>231</v>
      </c>
      <c r="F96" s="7" t="s">
        <v>231</v>
      </c>
      <c r="G96" s="7"/>
      <c r="H96" s="19">
        <v>29.465399999999999</v>
      </c>
      <c r="I96" s="7">
        <f t="shared" ref="I96:I127" si="9">IF(G96="Winner",100,IF(G96="Runner-up",70,IF(G96="2nd Runner-up",50,IF(G96="Semi",30,IF(G96="Quarter",20,0)))))</f>
        <v>0</v>
      </c>
      <c r="J96" s="7">
        <f>IFERROR(VLOOKUP(D96,Event_Master!B:E,4,FALSE),1)</f>
        <v>1</v>
      </c>
      <c r="K96" s="7">
        <f t="shared" ref="K96:K127" si="10">(I96*J96)</f>
        <v>0</v>
      </c>
      <c r="L96" s="19">
        <f t="shared" ref="L96:L127" si="11">K96+H96</f>
        <v>29.465399999999999</v>
      </c>
    </row>
    <row r="97" spans="1:12">
      <c r="A97" s="20">
        <v>46026</v>
      </c>
      <c r="B97" s="17">
        <v>710013</v>
      </c>
      <c r="C97" s="18" t="str">
        <f>VLOOKUP(B97,Employee_Master!A:B,2,0)</f>
        <v>Jyoti Saini</v>
      </c>
      <c r="D97" s="7" t="s">
        <v>206</v>
      </c>
      <c r="E97" s="7" t="s">
        <v>231</v>
      </c>
      <c r="F97" s="7" t="s">
        <v>231</v>
      </c>
      <c r="G97" s="7"/>
      <c r="H97" s="19">
        <v>28.019100000000002</v>
      </c>
      <c r="I97" s="7">
        <f t="shared" si="9"/>
        <v>0</v>
      </c>
      <c r="J97" s="7">
        <f>IFERROR(VLOOKUP(D97,Event_Master!B:E,4,FALSE),1)</f>
        <v>1</v>
      </c>
      <c r="K97" s="7">
        <f t="shared" si="10"/>
        <v>0</v>
      </c>
      <c r="L97" s="19">
        <f t="shared" si="11"/>
        <v>28.019100000000002</v>
      </c>
    </row>
    <row r="98" spans="1:12">
      <c r="A98" s="20">
        <v>46026</v>
      </c>
      <c r="B98" s="17">
        <v>712428</v>
      </c>
      <c r="C98" s="18" t="str">
        <f>VLOOKUP(B98,Employee_Master!A:B,2,0)</f>
        <v>Akanksha Gangwar</v>
      </c>
      <c r="D98" s="7" t="s">
        <v>206</v>
      </c>
      <c r="E98" s="7" t="s">
        <v>231</v>
      </c>
      <c r="F98" s="7" t="s">
        <v>231</v>
      </c>
      <c r="G98" s="7"/>
      <c r="H98" s="19">
        <v>14.9884</v>
      </c>
      <c r="I98" s="7">
        <f t="shared" si="9"/>
        <v>0</v>
      </c>
      <c r="J98" s="7">
        <f>IFERROR(VLOOKUP(D98,Event_Master!B:E,4,FALSE),1)</f>
        <v>1</v>
      </c>
      <c r="K98" s="7">
        <f t="shared" si="10"/>
        <v>0</v>
      </c>
      <c r="L98" s="19">
        <f t="shared" si="11"/>
        <v>14.9884</v>
      </c>
    </row>
    <row r="99" spans="1:12">
      <c r="A99" s="20">
        <v>46026</v>
      </c>
      <c r="B99" s="17">
        <v>716610</v>
      </c>
      <c r="C99" s="18" t="str">
        <f>VLOOKUP(B99,Employee_Master!A:B,2,0)</f>
        <v>Naval Singh</v>
      </c>
      <c r="D99" s="7" t="s">
        <v>206</v>
      </c>
      <c r="E99" s="7" t="s">
        <v>231</v>
      </c>
      <c r="F99" s="7" t="s">
        <v>231</v>
      </c>
      <c r="G99" s="7"/>
      <c r="H99" s="19">
        <v>27.105699999999999</v>
      </c>
      <c r="I99" s="7">
        <f t="shared" si="9"/>
        <v>0</v>
      </c>
      <c r="J99" s="7">
        <f>IFERROR(VLOOKUP(D99,Event_Master!B:E,4,FALSE),1)</f>
        <v>1</v>
      </c>
      <c r="K99" s="7">
        <f t="shared" si="10"/>
        <v>0</v>
      </c>
      <c r="L99" s="19">
        <f t="shared" si="11"/>
        <v>27.105699999999999</v>
      </c>
    </row>
    <row r="100" spans="1:12">
      <c r="A100" s="20">
        <v>46026</v>
      </c>
      <c r="B100" s="17">
        <v>722183</v>
      </c>
      <c r="C100" s="18" t="str">
        <f>VLOOKUP(B100,Employee_Master!A:B,2,0)</f>
        <v>Harpreet Kaur Malik</v>
      </c>
      <c r="D100" s="7" t="s">
        <v>206</v>
      </c>
      <c r="E100" s="7" t="s">
        <v>231</v>
      </c>
      <c r="F100" s="7" t="s">
        <v>231</v>
      </c>
      <c r="G100" s="7"/>
      <c r="H100" s="19">
        <v>33.614800000000002</v>
      </c>
      <c r="I100" s="7">
        <f t="shared" si="9"/>
        <v>0</v>
      </c>
      <c r="J100" s="7">
        <f>IFERROR(VLOOKUP(D100,Event_Master!B:E,4,FALSE),1)</f>
        <v>1</v>
      </c>
      <c r="K100" s="7">
        <f t="shared" si="10"/>
        <v>0</v>
      </c>
      <c r="L100" s="19">
        <f t="shared" si="11"/>
        <v>33.614800000000002</v>
      </c>
    </row>
    <row r="101" spans="1:12">
      <c r="A101" s="20">
        <v>46026</v>
      </c>
      <c r="B101" s="17">
        <v>722356</v>
      </c>
      <c r="C101" s="18" t="str">
        <f>VLOOKUP(B101,Employee_Master!A:B,2,0)</f>
        <v>Ashita Munjley</v>
      </c>
      <c r="D101" s="7" t="s">
        <v>206</v>
      </c>
      <c r="E101" s="7" t="s">
        <v>231</v>
      </c>
      <c r="F101" s="7" t="s">
        <v>231</v>
      </c>
      <c r="G101" s="7"/>
      <c r="H101" s="19">
        <v>6.1212999999999997</v>
      </c>
      <c r="I101" s="7">
        <f t="shared" si="9"/>
        <v>0</v>
      </c>
      <c r="J101" s="7">
        <f>IFERROR(VLOOKUP(D101,Event_Master!B:E,4,FALSE),1)</f>
        <v>1</v>
      </c>
      <c r="K101" s="7">
        <f t="shared" si="10"/>
        <v>0</v>
      </c>
      <c r="L101" s="19">
        <f t="shared" si="11"/>
        <v>6.1212999999999997</v>
      </c>
    </row>
    <row r="102" spans="1:12">
      <c r="A102" s="20">
        <v>46026</v>
      </c>
      <c r="B102" s="17">
        <v>722393</v>
      </c>
      <c r="C102" s="18" t="str">
        <f>VLOOKUP(B102,Employee_Master!A:B,2,0)</f>
        <v>Koteswara Devireddy</v>
      </c>
      <c r="D102" s="7" t="s">
        <v>206</v>
      </c>
      <c r="E102" s="7" t="s">
        <v>231</v>
      </c>
      <c r="F102" s="7" t="s">
        <v>231</v>
      </c>
      <c r="G102" s="7"/>
      <c r="H102" s="19">
        <v>35.250599999999999</v>
      </c>
      <c r="I102" s="7">
        <f t="shared" si="9"/>
        <v>0</v>
      </c>
      <c r="J102" s="7">
        <f>IFERROR(VLOOKUP(D102,Event_Master!B:E,4,FALSE),1)</f>
        <v>1</v>
      </c>
      <c r="K102" s="7">
        <f t="shared" si="10"/>
        <v>0</v>
      </c>
      <c r="L102" s="19">
        <f t="shared" si="11"/>
        <v>35.250599999999999</v>
      </c>
    </row>
    <row r="103" spans="1:12">
      <c r="A103" s="20">
        <v>46360</v>
      </c>
      <c r="B103" s="17">
        <v>450230</v>
      </c>
      <c r="C103" s="18" t="str">
        <f>VLOOKUP(B103,Employee_Master!A:B,2,0)</f>
        <v>Aarti Gupta</v>
      </c>
      <c r="D103" s="7" t="s">
        <v>212</v>
      </c>
      <c r="E103" s="7" t="s">
        <v>231</v>
      </c>
      <c r="F103" s="7" t="s">
        <v>231</v>
      </c>
      <c r="G103" s="7"/>
      <c r="H103" s="19">
        <f t="shared" ref="H103:H134" si="12">IF(F103="Yes",10,0)</f>
        <v>10</v>
      </c>
      <c r="I103" s="7">
        <f t="shared" si="9"/>
        <v>0</v>
      </c>
      <c r="J103" s="7">
        <f>IFERROR(VLOOKUP(D103,Event_Master!B:E,4,FALSE),1)</f>
        <v>1</v>
      </c>
      <c r="K103" s="7">
        <f t="shared" si="10"/>
        <v>0</v>
      </c>
      <c r="L103" s="19">
        <f t="shared" si="11"/>
        <v>10</v>
      </c>
    </row>
    <row r="104" spans="1:12">
      <c r="A104" s="20">
        <v>46360</v>
      </c>
      <c r="B104" s="17">
        <v>478308</v>
      </c>
      <c r="C104" s="18" t="str">
        <f>VLOOKUP(B104,Employee_Master!A:B,2,0)</f>
        <v xml:space="preserve">Abhishek savita </v>
      </c>
      <c r="D104" s="7" t="s">
        <v>212</v>
      </c>
      <c r="E104" s="7" t="s">
        <v>231</v>
      </c>
      <c r="F104" s="7" t="s">
        <v>231</v>
      </c>
      <c r="G104" s="7"/>
      <c r="H104" s="19">
        <f t="shared" si="12"/>
        <v>10</v>
      </c>
      <c r="I104" s="7">
        <f t="shared" si="9"/>
        <v>0</v>
      </c>
      <c r="J104" s="7">
        <f>IFERROR(VLOOKUP(D104,Event_Master!B:E,4,FALSE),1)</f>
        <v>1</v>
      </c>
      <c r="K104" s="7">
        <f t="shared" si="10"/>
        <v>0</v>
      </c>
      <c r="L104" s="19">
        <f t="shared" si="11"/>
        <v>10</v>
      </c>
    </row>
    <row r="105" spans="1:12">
      <c r="A105" s="20">
        <v>46360</v>
      </c>
      <c r="B105" s="17">
        <v>466167</v>
      </c>
      <c r="C105" s="18" t="str">
        <f>VLOOKUP(B105,Employee_Master!A:B,2,0)</f>
        <v>Aishwarya Sharma</v>
      </c>
      <c r="D105" s="7" t="s">
        <v>212</v>
      </c>
      <c r="E105" s="7" t="s">
        <v>231</v>
      </c>
      <c r="F105" s="7" t="s">
        <v>231</v>
      </c>
      <c r="G105" s="7"/>
      <c r="H105" s="19">
        <f t="shared" si="12"/>
        <v>10</v>
      </c>
      <c r="I105" s="7">
        <f t="shared" si="9"/>
        <v>0</v>
      </c>
      <c r="J105" s="7">
        <f>IFERROR(VLOOKUP(D105,Event_Master!B:E,4,FALSE),1)</f>
        <v>1</v>
      </c>
      <c r="K105" s="7">
        <f t="shared" si="10"/>
        <v>0</v>
      </c>
      <c r="L105" s="19">
        <f t="shared" si="11"/>
        <v>10</v>
      </c>
    </row>
    <row r="106" spans="1:12">
      <c r="A106" s="20">
        <v>46360</v>
      </c>
      <c r="B106" s="17">
        <v>454456</v>
      </c>
      <c r="C106" s="18" t="str">
        <f>VLOOKUP(B106,Employee_Master!A:B,2,0)</f>
        <v>Akash Deshmukh</v>
      </c>
      <c r="D106" s="7" t="s">
        <v>212</v>
      </c>
      <c r="E106" s="7" t="s">
        <v>231</v>
      </c>
      <c r="F106" s="7" t="s">
        <v>231</v>
      </c>
      <c r="G106" s="7"/>
      <c r="H106" s="19">
        <f t="shared" si="12"/>
        <v>10</v>
      </c>
      <c r="I106" s="7">
        <f t="shared" si="9"/>
        <v>0</v>
      </c>
      <c r="J106" s="7">
        <f>IFERROR(VLOOKUP(D106,Event_Master!B:E,4,FALSE),1)</f>
        <v>1</v>
      </c>
      <c r="K106" s="7">
        <f t="shared" si="10"/>
        <v>0</v>
      </c>
      <c r="L106" s="19">
        <f t="shared" si="11"/>
        <v>10</v>
      </c>
    </row>
    <row r="107" spans="1:12">
      <c r="A107" s="20">
        <v>46360</v>
      </c>
      <c r="B107" s="17">
        <v>722783</v>
      </c>
      <c r="C107" s="18" t="str">
        <f>VLOOKUP(B107,Employee_Master!A:B,2,0)</f>
        <v>Anjali</v>
      </c>
      <c r="D107" s="7" t="s">
        <v>212</v>
      </c>
      <c r="E107" s="7" t="s">
        <v>231</v>
      </c>
      <c r="F107" s="7" t="s">
        <v>231</v>
      </c>
      <c r="G107" s="7"/>
      <c r="H107" s="19">
        <f t="shared" si="12"/>
        <v>10</v>
      </c>
      <c r="I107" s="7">
        <f t="shared" si="9"/>
        <v>0</v>
      </c>
      <c r="J107" s="7">
        <f>IFERROR(VLOOKUP(D107,Event_Master!B:E,4,FALSE),1)</f>
        <v>1</v>
      </c>
      <c r="K107" s="7">
        <f t="shared" si="10"/>
        <v>0</v>
      </c>
      <c r="L107" s="19">
        <f t="shared" si="11"/>
        <v>10</v>
      </c>
    </row>
    <row r="108" spans="1:12">
      <c r="A108" s="20">
        <v>46360</v>
      </c>
      <c r="B108" s="17">
        <v>469899</v>
      </c>
      <c r="C108" s="18" t="str">
        <f>VLOOKUP(B108,Employee_Master!A:B,2,0)</f>
        <v>Ankit</v>
      </c>
      <c r="D108" s="7" t="s">
        <v>212</v>
      </c>
      <c r="E108" s="7" t="s">
        <v>231</v>
      </c>
      <c r="F108" s="7" t="s">
        <v>231</v>
      </c>
      <c r="G108" s="7"/>
      <c r="H108" s="19">
        <f t="shared" si="12"/>
        <v>10</v>
      </c>
      <c r="I108" s="7">
        <f t="shared" si="9"/>
        <v>0</v>
      </c>
      <c r="J108" s="7">
        <f>IFERROR(VLOOKUP(D108,Event_Master!B:E,4,FALSE),1)</f>
        <v>1</v>
      </c>
      <c r="K108" s="7">
        <f t="shared" si="10"/>
        <v>0</v>
      </c>
      <c r="L108" s="19">
        <f t="shared" si="11"/>
        <v>10</v>
      </c>
    </row>
    <row r="109" spans="1:12">
      <c r="A109" s="20">
        <v>46360</v>
      </c>
      <c r="B109" s="17">
        <v>486309</v>
      </c>
      <c r="C109" s="18" t="str">
        <f>VLOOKUP(B109,Employee_Master!A:B,2,0)</f>
        <v>Ankit Bhatt</v>
      </c>
      <c r="D109" s="7" t="s">
        <v>212</v>
      </c>
      <c r="E109" s="7" t="s">
        <v>231</v>
      </c>
      <c r="F109" s="7" t="s">
        <v>231</v>
      </c>
      <c r="G109" s="7"/>
      <c r="H109" s="19">
        <f t="shared" si="12"/>
        <v>10</v>
      </c>
      <c r="I109" s="7">
        <f t="shared" si="9"/>
        <v>0</v>
      </c>
      <c r="J109" s="7">
        <f>IFERROR(VLOOKUP(D109,Event_Master!B:E,4,FALSE),1)</f>
        <v>1</v>
      </c>
      <c r="K109" s="7">
        <f t="shared" si="10"/>
        <v>0</v>
      </c>
      <c r="L109" s="19">
        <f t="shared" si="11"/>
        <v>10</v>
      </c>
    </row>
    <row r="110" spans="1:12">
      <c r="A110" s="20">
        <v>46360</v>
      </c>
      <c r="B110" s="17">
        <v>468157</v>
      </c>
      <c r="C110" s="18" t="str">
        <f>VLOOKUP(B110,Employee_Master!A:B,2,0)</f>
        <v>Ankit Tiwari</v>
      </c>
      <c r="D110" s="7" t="s">
        <v>212</v>
      </c>
      <c r="E110" s="7" t="s">
        <v>231</v>
      </c>
      <c r="F110" s="7" t="s">
        <v>231</v>
      </c>
      <c r="G110" s="7"/>
      <c r="H110" s="19">
        <f t="shared" si="12"/>
        <v>10</v>
      </c>
      <c r="I110" s="7">
        <f t="shared" si="9"/>
        <v>0</v>
      </c>
      <c r="J110" s="7">
        <f>IFERROR(VLOOKUP(D110,Event_Master!B:E,4,FALSE),1)</f>
        <v>1</v>
      </c>
      <c r="K110" s="7">
        <f t="shared" si="10"/>
        <v>0</v>
      </c>
      <c r="L110" s="19">
        <f t="shared" si="11"/>
        <v>10</v>
      </c>
    </row>
    <row r="111" spans="1:12">
      <c r="A111" s="20">
        <v>46360</v>
      </c>
      <c r="B111" s="17">
        <v>467068</v>
      </c>
      <c r="C111" s="18" t="str">
        <f>VLOOKUP(B111,Employee_Master!A:B,2,0)</f>
        <v>Anuj Kumar</v>
      </c>
      <c r="D111" s="7" t="s">
        <v>212</v>
      </c>
      <c r="E111" s="7" t="s">
        <v>231</v>
      </c>
      <c r="F111" s="7" t="s">
        <v>231</v>
      </c>
      <c r="G111" s="7"/>
      <c r="H111" s="19">
        <f t="shared" si="12"/>
        <v>10</v>
      </c>
      <c r="I111" s="7">
        <f t="shared" si="9"/>
        <v>0</v>
      </c>
      <c r="J111" s="7">
        <f>IFERROR(VLOOKUP(D111,Event_Master!B:E,4,FALSE),1)</f>
        <v>1</v>
      </c>
      <c r="K111" s="7">
        <f t="shared" si="10"/>
        <v>0</v>
      </c>
      <c r="L111" s="19">
        <f t="shared" si="11"/>
        <v>10</v>
      </c>
    </row>
    <row r="112" spans="1:12">
      <c r="A112" s="20">
        <v>46360</v>
      </c>
      <c r="B112" s="17">
        <v>466367</v>
      </c>
      <c r="C112" s="18" t="str">
        <f>VLOOKUP(B112,Employee_Master!A:B,2,0)</f>
        <v>Arjun Sharma</v>
      </c>
      <c r="D112" s="7" t="s">
        <v>212</v>
      </c>
      <c r="E112" s="7" t="s">
        <v>231</v>
      </c>
      <c r="F112" s="7" t="s">
        <v>231</v>
      </c>
      <c r="G112" s="7"/>
      <c r="H112" s="19">
        <f t="shared" si="12"/>
        <v>10</v>
      </c>
      <c r="I112" s="7">
        <f t="shared" si="9"/>
        <v>0</v>
      </c>
      <c r="J112" s="7">
        <f>IFERROR(VLOOKUP(D112,Event_Master!B:E,4,FALSE),1)</f>
        <v>1</v>
      </c>
      <c r="K112" s="7">
        <f t="shared" si="10"/>
        <v>0</v>
      </c>
      <c r="L112" s="19">
        <f t="shared" si="11"/>
        <v>10</v>
      </c>
    </row>
    <row r="113" spans="1:12">
      <c r="A113" s="20">
        <v>46360</v>
      </c>
      <c r="B113" s="17">
        <v>478084</v>
      </c>
      <c r="C113" s="18" t="str">
        <f>VLOOKUP(B113,Employee_Master!A:B,2,0)</f>
        <v>Ashish Mishra</v>
      </c>
      <c r="D113" s="7" t="s">
        <v>212</v>
      </c>
      <c r="E113" s="7" t="s">
        <v>231</v>
      </c>
      <c r="F113" s="7" t="s">
        <v>231</v>
      </c>
      <c r="G113" s="7"/>
      <c r="H113" s="19">
        <f t="shared" si="12"/>
        <v>10</v>
      </c>
      <c r="I113" s="7">
        <f t="shared" si="9"/>
        <v>0</v>
      </c>
      <c r="J113" s="7">
        <f>IFERROR(VLOOKUP(D113,Event_Master!B:E,4,FALSE),1)</f>
        <v>1</v>
      </c>
      <c r="K113" s="7">
        <f t="shared" si="10"/>
        <v>0</v>
      </c>
      <c r="L113" s="19">
        <f t="shared" si="11"/>
        <v>10</v>
      </c>
    </row>
    <row r="114" spans="1:12">
      <c r="A114" s="20">
        <v>46360</v>
      </c>
      <c r="B114" s="17">
        <v>452058</v>
      </c>
      <c r="C114" s="18" t="str">
        <f>VLOOKUP(B114,Employee_Master!A:B,2,0)</f>
        <v>Bhavya Gupta</v>
      </c>
      <c r="D114" s="7" t="s">
        <v>212</v>
      </c>
      <c r="E114" s="7" t="s">
        <v>231</v>
      </c>
      <c r="F114" s="7" t="s">
        <v>231</v>
      </c>
      <c r="G114" s="7"/>
      <c r="H114" s="19">
        <f t="shared" si="12"/>
        <v>10</v>
      </c>
      <c r="I114" s="7">
        <f t="shared" si="9"/>
        <v>0</v>
      </c>
      <c r="J114" s="7">
        <f>IFERROR(VLOOKUP(D114,Event_Master!B:E,4,FALSE),1)</f>
        <v>1</v>
      </c>
      <c r="K114" s="7">
        <f t="shared" si="10"/>
        <v>0</v>
      </c>
      <c r="L114" s="19">
        <f t="shared" si="11"/>
        <v>10</v>
      </c>
    </row>
    <row r="115" spans="1:12">
      <c r="A115" s="20">
        <v>46360</v>
      </c>
      <c r="B115" s="17">
        <v>721766</v>
      </c>
      <c r="C115" s="18" t="str">
        <f>VLOOKUP(B115,Employee_Master!A:B,2,0)</f>
        <v>BHAWNA SHARMA</v>
      </c>
      <c r="D115" s="7" t="s">
        <v>212</v>
      </c>
      <c r="E115" s="7" t="s">
        <v>231</v>
      </c>
      <c r="F115" s="7" t="s">
        <v>231</v>
      </c>
      <c r="G115" s="7"/>
      <c r="H115" s="19">
        <f t="shared" si="12"/>
        <v>10</v>
      </c>
      <c r="I115" s="7">
        <f t="shared" si="9"/>
        <v>0</v>
      </c>
      <c r="J115" s="7">
        <f>IFERROR(VLOOKUP(D115,Event_Master!B:E,4,FALSE),1)</f>
        <v>1</v>
      </c>
      <c r="K115" s="7">
        <f t="shared" si="10"/>
        <v>0</v>
      </c>
      <c r="L115" s="19">
        <f t="shared" si="11"/>
        <v>10</v>
      </c>
    </row>
    <row r="116" spans="1:12">
      <c r="A116" s="20">
        <v>46360</v>
      </c>
      <c r="B116" s="17">
        <v>451567</v>
      </c>
      <c r="C116" s="18" t="str">
        <f>VLOOKUP(B116,Employee_Master!A:B,2,0)</f>
        <v xml:space="preserve">Gaurav Kumar  </v>
      </c>
      <c r="D116" s="7" t="s">
        <v>212</v>
      </c>
      <c r="E116" s="7" t="s">
        <v>231</v>
      </c>
      <c r="F116" s="7" t="s">
        <v>231</v>
      </c>
      <c r="G116" s="7"/>
      <c r="H116" s="19">
        <f t="shared" si="12"/>
        <v>10</v>
      </c>
      <c r="I116" s="7">
        <f t="shared" si="9"/>
        <v>0</v>
      </c>
      <c r="J116" s="7">
        <f>IFERROR(VLOOKUP(D116,Event_Master!B:E,4,FALSE),1)</f>
        <v>1</v>
      </c>
      <c r="K116" s="7">
        <f t="shared" si="10"/>
        <v>0</v>
      </c>
      <c r="L116" s="19">
        <f t="shared" si="11"/>
        <v>10</v>
      </c>
    </row>
    <row r="117" spans="1:12">
      <c r="A117" s="20">
        <v>46360</v>
      </c>
      <c r="B117" s="17">
        <v>452991</v>
      </c>
      <c r="C117" s="18" t="str">
        <f>VLOOKUP(B117,Employee_Master!A:B,2,0)</f>
        <v>Gourav Rohilla</v>
      </c>
      <c r="D117" s="7" t="s">
        <v>212</v>
      </c>
      <c r="E117" s="7" t="s">
        <v>231</v>
      </c>
      <c r="F117" s="7" t="s">
        <v>231</v>
      </c>
      <c r="G117" s="7"/>
      <c r="H117" s="19">
        <f t="shared" si="12"/>
        <v>10</v>
      </c>
      <c r="I117" s="7">
        <f t="shared" si="9"/>
        <v>0</v>
      </c>
      <c r="J117" s="7">
        <f>IFERROR(VLOOKUP(D117,Event_Master!B:E,4,FALSE),1)</f>
        <v>1</v>
      </c>
      <c r="K117" s="7">
        <f t="shared" si="10"/>
        <v>0</v>
      </c>
      <c r="L117" s="19">
        <f t="shared" si="11"/>
        <v>10</v>
      </c>
    </row>
    <row r="118" spans="1:12">
      <c r="A118" s="20">
        <v>46360</v>
      </c>
      <c r="B118" s="17">
        <v>463097</v>
      </c>
      <c r="C118" s="18" t="str">
        <f>VLOOKUP(B118,Employee_Master!A:B,2,0)</f>
        <v>Gurkamalpreet Singh</v>
      </c>
      <c r="D118" s="7" t="s">
        <v>212</v>
      </c>
      <c r="E118" s="7" t="s">
        <v>231</v>
      </c>
      <c r="F118" s="7" t="s">
        <v>231</v>
      </c>
      <c r="G118" s="7"/>
      <c r="H118" s="19">
        <f t="shared" si="12"/>
        <v>10</v>
      </c>
      <c r="I118" s="7">
        <f t="shared" si="9"/>
        <v>0</v>
      </c>
      <c r="J118" s="7">
        <f>IFERROR(VLOOKUP(D118,Event_Master!B:E,4,FALSE),1)</f>
        <v>1</v>
      </c>
      <c r="K118" s="7">
        <f t="shared" si="10"/>
        <v>0</v>
      </c>
      <c r="L118" s="19">
        <f t="shared" si="11"/>
        <v>10</v>
      </c>
    </row>
    <row r="119" spans="1:12">
      <c r="A119" s="20">
        <v>46360</v>
      </c>
      <c r="B119" s="17">
        <v>435548</v>
      </c>
      <c r="C119" s="18" t="str">
        <f>VLOOKUP(B119,Employee_Master!A:B,2,0)</f>
        <v>Gurwant Sran</v>
      </c>
      <c r="D119" s="7" t="s">
        <v>212</v>
      </c>
      <c r="E119" s="7" t="s">
        <v>231</v>
      </c>
      <c r="F119" s="7" t="s">
        <v>231</v>
      </c>
      <c r="G119" s="7"/>
      <c r="H119" s="19">
        <f t="shared" si="12"/>
        <v>10</v>
      </c>
      <c r="I119" s="7">
        <f t="shared" si="9"/>
        <v>0</v>
      </c>
      <c r="J119" s="7">
        <f>IFERROR(VLOOKUP(D119,Event_Master!B:E,4,FALSE),1)</f>
        <v>1</v>
      </c>
      <c r="K119" s="7">
        <f t="shared" si="10"/>
        <v>0</v>
      </c>
      <c r="L119" s="19">
        <f t="shared" si="11"/>
        <v>10</v>
      </c>
    </row>
    <row r="120" spans="1:12">
      <c r="A120" s="20">
        <v>46360</v>
      </c>
      <c r="B120" s="17">
        <v>464193</v>
      </c>
      <c r="C120" s="18" t="str">
        <f>VLOOKUP(B120,Employee_Master!A:B,2,0)</f>
        <v>Hemant Singh</v>
      </c>
      <c r="D120" s="7" t="s">
        <v>212</v>
      </c>
      <c r="E120" s="7" t="s">
        <v>231</v>
      </c>
      <c r="F120" s="7" t="s">
        <v>231</v>
      </c>
      <c r="G120" s="7"/>
      <c r="H120" s="19">
        <f t="shared" si="12"/>
        <v>10</v>
      </c>
      <c r="I120" s="7">
        <f t="shared" si="9"/>
        <v>0</v>
      </c>
      <c r="J120" s="7">
        <f>IFERROR(VLOOKUP(D120,Event_Master!B:E,4,FALSE),1)</f>
        <v>1</v>
      </c>
      <c r="K120" s="7">
        <f t="shared" si="10"/>
        <v>0</v>
      </c>
      <c r="L120" s="19">
        <f t="shared" si="11"/>
        <v>10</v>
      </c>
    </row>
    <row r="121" spans="1:12">
      <c r="A121" s="20">
        <v>46360</v>
      </c>
      <c r="B121" s="17">
        <v>464188</v>
      </c>
      <c r="C121" s="18" t="str">
        <f>VLOOKUP(B121,Employee_Master!A:B,2,0)</f>
        <v>Himanshu Saini</v>
      </c>
      <c r="D121" s="7" t="s">
        <v>212</v>
      </c>
      <c r="E121" s="7" t="s">
        <v>231</v>
      </c>
      <c r="F121" s="7" t="s">
        <v>231</v>
      </c>
      <c r="G121" s="7"/>
      <c r="H121" s="19">
        <f t="shared" si="12"/>
        <v>10</v>
      </c>
      <c r="I121" s="7">
        <f t="shared" si="9"/>
        <v>0</v>
      </c>
      <c r="J121" s="7">
        <f>IFERROR(VLOOKUP(D121,Event_Master!B:E,4,FALSE),1)</f>
        <v>1</v>
      </c>
      <c r="K121" s="7">
        <f t="shared" si="10"/>
        <v>0</v>
      </c>
      <c r="L121" s="19">
        <f t="shared" si="11"/>
        <v>10</v>
      </c>
    </row>
    <row r="122" spans="1:12">
      <c r="A122" s="20">
        <v>46360</v>
      </c>
      <c r="B122" s="17">
        <v>460764</v>
      </c>
      <c r="C122" s="18" t="str">
        <f>VLOOKUP(B122,Employee_Master!A:B,2,0)</f>
        <v>Himanshu Yadav</v>
      </c>
      <c r="D122" s="7" t="s">
        <v>212</v>
      </c>
      <c r="E122" s="7" t="s">
        <v>231</v>
      </c>
      <c r="F122" s="7" t="s">
        <v>231</v>
      </c>
      <c r="G122" s="7"/>
      <c r="H122" s="19">
        <f t="shared" si="12"/>
        <v>10</v>
      </c>
      <c r="I122" s="7">
        <f t="shared" si="9"/>
        <v>0</v>
      </c>
      <c r="J122" s="7">
        <f>IFERROR(VLOOKUP(D122,Event_Master!B:E,4,FALSE),1)</f>
        <v>1</v>
      </c>
      <c r="K122" s="7">
        <f t="shared" si="10"/>
        <v>0</v>
      </c>
      <c r="L122" s="19">
        <f t="shared" si="11"/>
        <v>10</v>
      </c>
    </row>
    <row r="123" spans="1:12">
      <c r="A123" s="20">
        <v>46360</v>
      </c>
      <c r="B123" s="17">
        <v>478377</v>
      </c>
      <c r="C123" s="18" t="str">
        <f>VLOOKUP(B123,Employee_Master!A:B,2,0)</f>
        <v xml:space="preserve">Ishi Verma </v>
      </c>
      <c r="D123" s="7" t="s">
        <v>212</v>
      </c>
      <c r="E123" s="7" t="s">
        <v>231</v>
      </c>
      <c r="F123" s="7" t="s">
        <v>231</v>
      </c>
      <c r="G123" s="7"/>
      <c r="H123" s="19">
        <f t="shared" si="12"/>
        <v>10</v>
      </c>
      <c r="I123" s="7">
        <f t="shared" si="9"/>
        <v>0</v>
      </c>
      <c r="J123" s="7">
        <f>IFERROR(VLOOKUP(D123,Event_Master!B:E,4,FALSE),1)</f>
        <v>1</v>
      </c>
      <c r="K123" s="7">
        <f t="shared" si="10"/>
        <v>0</v>
      </c>
      <c r="L123" s="19">
        <f t="shared" si="11"/>
        <v>10</v>
      </c>
    </row>
    <row r="124" spans="1:12">
      <c r="A124" s="20">
        <v>46360</v>
      </c>
      <c r="B124" s="17">
        <v>458702</v>
      </c>
      <c r="C124" s="18" t="str">
        <f>VLOOKUP(B124,Employee_Master!A:B,2,0)</f>
        <v>Jasbeer Singh</v>
      </c>
      <c r="D124" s="7" t="s">
        <v>212</v>
      </c>
      <c r="E124" s="7" t="s">
        <v>231</v>
      </c>
      <c r="F124" s="7" t="s">
        <v>231</v>
      </c>
      <c r="G124" s="7"/>
      <c r="H124" s="19">
        <f t="shared" si="12"/>
        <v>10</v>
      </c>
      <c r="I124" s="7">
        <f t="shared" si="9"/>
        <v>0</v>
      </c>
      <c r="J124" s="7">
        <f>IFERROR(VLOOKUP(D124,Event_Master!B:E,4,FALSE),1)</f>
        <v>1</v>
      </c>
      <c r="K124" s="7">
        <f t="shared" si="10"/>
        <v>0</v>
      </c>
      <c r="L124" s="19">
        <f t="shared" si="11"/>
        <v>10</v>
      </c>
    </row>
    <row r="125" spans="1:12">
      <c r="A125" s="20">
        <v>46360</v>
      </c>
      <c r="B125" s="17">
        <v>710555</v>
      </c>
      <c r="C125" s="18" t="str">
        <f>VLOOKUP(B125,Employee_Master!A:B,2,0)</f>
        <v>Jyoti Chauhan</v>
      </c>
      <c r="D125" s="7" t="s">
        <v>212</v>
      </c>
      <c r="E125" s="7" t="s">
        <v>231</v>
      </c>
      <c r="F125" s="7" t="s">
        <v>231</v>
      </c>
      <c r="G125" s="7"/>
      <c r="H125" s="19">
        <f t="shared" si="12"/>
        <v>10</v>
      </c>
      <c r="I125" s="7">
        <f t="shared" si="9"/>
        <v>0</v>
      </c>
      <c r="J125" s="7">
        <f>IFERROR(VLOOKUP(D125,Event_Master!B:E,4,FALSE),1)</f>
        <v>1</v>
      </c>
      <c r="K125" s="7">
        <f t="shared" si="10"/>
        <v>0</v>
      </c>
      <c r="L125" s="19">
        <f t="shared" si="11"/>
        <v>10</v>
      </c>
    </row>
    <row r="126" spans="1:12">
      <c r="A126" s="20">
        <v>46360</v>
      </c>
      <c r="B126" s="17">
        <v>450256</v>
      </c>
      <c r="C126" s="18" t="str">
        <f>VLOOKUP(B126,Employee_Master!A:B,2,0)</f>
        <v>Jyotish  Patar</v>
      </c>
      <c r="D126" s="7" t="s">
        <v>212</v>
      </c>
      <c r="E126" s="7" t="s">
        <v>231</v>
      </c>
      <c r="F126" s="7" t="s">
        <v>231</v>
      </c>
      <c r="G126" s="7"/>
      <c r="H126" s="19">
        <f t="shared" si="12"/>
        <v>10</v>
      </c>
      <c r="I126" s="7">
        <f t="shared" si="9"/>
        <v>0</v>
      </c>
      <c r="J126" s="7">
        <f>IFERROR(VLOOKUP(D126,Event_Master!B:E,4,FALSE),1)</f>
        <v>1</v>
      </c>
      <c r="K126" s="7">
        <f t="shared" si="10"/>
        <v>0</v>
      </c>
      <c r="L126" s="19">
        <f t="shared" si="11"/>
        <v>10</v>
      </c>
    </row>
    <row r="127" spans="1:12">
      <c r="A127" s="20">
        <v>46360</v>
      </c>
      <c r="B127" s="17">
        <v>721899</v>
      </c>
      <c r="C127" s="18" t="str">
        <f>VLOOKUP(B127,Employee_Master!A:B,2,0)</f>
        <v>Khushboo Yadav</v>
      </c>
      <c r="D127" s="7" t="s">
        <v>212</v>
      </c>
      <c r="E127" s="7" t="s">
        <v>231</v>
      </c>
      <c r="F127" s="7" t="s">
        <v>231</v>
      </c>
      <c r="G127" s="7"/>
      <c r="H127" s="19">
        <f t="shared" si="12"/>
        <v>10</v>
      </c>
      <c r="I127" s="7">
        <f t="shared" si="9"/>
        <v>0</v>
      </c>
      <c r="J127" s="7">
        <f>IFERROR(VLOOKUP(D127,Event_Master!B:E,4,FALSE),1)</f>
        <v>1</v>
      </c>
      <c r="K127" s="7">
        <f t="shared" si="10"/>
        <v>0</v>
      </c>
      <c r="L127" s="19">
        <f t="shared" si="11"/>
        <v>10</v>
      </c>
    </row>
    <row r="128" spans="1:12">
      <c r="A128" s="20">
        <v>46360</v>
      </c>
      <c r="B128" s="17">
        <v>449891</v>
      </c>
      <c r="C128" s="18" t="str">
        <f>VLOOKUP(B128,Employee_Master!A:B,2,0)</f>
        <v>Komalpreet</v>
      </c>
      <c r="D128" s="7" t="s">
        <v>212</v>
      </c>
      <c r="E128" s="7" t="s">
        <v>231</v>
      </c>
      <c r="F128" s="7" t="s">
        <v>231</v>
      </c>
      <c r="G128" s="7"/>
      <c r="H128" s="19">
        <f t="shared" si="12"/>
        <v>10</v>
      </c>
      <c r="I128" s="7">
        <f t="shared" ref="I128:I134" si="13">IF(G128="Winner",100,IF(G128="Runner-up",70,IF(G128="2nd Runner-up",50,IF(G128="Semi",30,IF(G128="Quarter",20,0)))))</f>
        <v>0</v>
      </c>
      <c r="J128" s="7">
        <f>IFERROR(VLOOKUP(D128,Event_Master!B:E,4,FALSE),1)</f>
        <v>1</v>
      </c>
      <c r="K128" s="7">
        <f t="shared" ref="K128:K134" si="14">(I128*J128)</f>
        <v>0</v>
      </c>
      <c r="L128" s="19">
        <f t="shared" ref="L128:L134" si="15">K128+H128</f>
        <v>10</v>
      </c>
    </row>
    <row r="129" spans="1:12">
      <c r="A129" s="20">
        <v>46360</v>
      </c>
      <c r="B129" s="17">
        <v>722393</v>
      </c>
      <c r="C129" s="18" t="str">
        <f>VLOOKUP(B129,Employee_Master!A:B,2,0)</f>
        <v>Koteswara Devireddy</v>
      </c>
      <c r="D129" s="7" t="s">
        <v>212</v>
      </c>
      <c r="E129" s="7" t="s">
        <v>231</v>
      </c>
      <c r="F129" s="7" t="s">
        <v>231</v>
      </c>
      <c r="G129" s="7"/>
      <c r="H129" s="19">
        <f t="shared" si="12"/>
        <v>10</v>
      </c>
      <c r="I129" s="7">
        <f t="shared" si="13"/>
        <v>0</v>
      </c>
      <c r="J129" s="7">
        <f>IFERROR(VLOOKUP(D129,Event_Master!B:E,4,FALSE),1)</f>
        <v>1</v>
      </c>
      <c r="K129" s="7">
        <f t="shared" si="14"/>
        <v>0</v>
      </c>
      <c r="L129" s="19">
        <f t="shared" si="15"/>
        <v>10</v>
      </c>
    </row>
    <row r="130" spans="1:12">
      <c r="A130" s="20">
        <v>46360</v>
      </c>
      <c r="B130" s="17">
        <v>440620</v>
      </c>
      <c r="C130" s="18" t="str">
        <f>VLOOKUP(B130,Employee_Master!A:B,2,0)</f>
        <v>Kuldeep Singh</v>
      </c>
      <c r="D130" s="7" t="s">
        <v>212</v>
      </c>
      <c r="E130" s="7" t="s">
        <v>231</v>
      </c>
      <c r="F130" s="7" t="s">
        <v>231</v>
      </c>
      <c r="G130" s="7"/>
      <c r="H130" s="19">
        <f t="shared" si="12"/>
        <v>10</v>
      </c>
      <c r="I130" s="7">
        <f t="shared" si="13"/>
        <v>0</v>
      </c>
      <c r="J130" s="7">
        <f>IFERROR(VLOOKUP(D130,Event_Master!B:E,4,FALSE),1)</f>
        <v>1</v>
      </c>
      <c r="K130" s="7">
        <f t="shared" si="14"/>
        <v>0</v>
      </c>
      <c r="L130" s="19">
        <f t="shared" si="15"/>
        <v>10</v>
      </c>
    </row>
    <row r="131" spans="1:12">
      <c r="A131" s="20">
        <v>46360</v>
      </c>
      <c r="B131" s="17">
        <v>476372</v>
      </c>
      <c r="C131" s="18" t="str">
        <f>VLOOKUP(B131,Employee_Master!A:B,2,0)</f>
        <v>Laksh</v>
      </c>
      <c r="D131" s="7" t="s">
        <v>212</v>
      </c>
      <c r="E131" s="7" t="s">
        <v>231</v>
      </c>
      <c r="F131" s="7" t="s">
        <v>231</v>
      </c>
      <c r="G131" s="7"/>
      <c r="H131" s="19">
        <f t="shared" si="12"/>
        <v>10</v>
      </c>
      <c r="I131" s="7">
        <f t="shared" si="13"/>
        <v>0</v>
      </c>
      <c r="J131" s="7">
        <f>IFERROR(VLOOKUP(D131,Event_Master!B:E,4,FALSE),1)</f>
        <v>1</v>
      </c>
      <c r="K131" s="7">
        <f t="shared" si="14"/>
        <v>0</v>
      </c>
      <c r="L131" s="19">
        <f t="shared" si="15"/>
        <v>10</v>
      </c>
    </row>
    <row r="132" spans="1:12">
      <c r="A132" s="20">
        <v>46360</v>
      </c>
      <c r="B132" s="17">
        <v>434518</v>
      </c>
      <c r="C132" s="18" t="str">
        <f>VLOOKUP(B132,Employee_Master!A:B,2,0)</f>
        <v>Maneesh Mohan</v>
      </c>
      <c r="D132" s="7" t="s">
        <v>212</v>
      </c>
      <c r="E132" s="7" t="s">
        <v>231</v>
      </c>
      <c r="F132" s="7" t="s">
        <v>231</v>
      </c>
      <c r="G132" s="7"/>
      <c r="H132" s="19">
        <f t="shared" si="12"/>
        <v>10</v>
      </c>
      <c r="I132" s="7">
        <f t="shared" si="13"/>
        <v>0</v>
      </c>
      <c r="J132" s="7">
        <f>IFERROR(VLOOKUP(D132,Event_Master!B:E,4,FALSE),1)</f>
        <v>1</v>
      </c>
      <c r="K132" s="7">
        <f t="shared" si="14"/>
        <v>0</v>
      </c>
      <c r="L132" s="19">
        <f t="shared" si="15"/>
        <v>10</v>
      </c>
    </row>
    <row r="133" spans="1:12">
      <c r="A133" s="20">
        <v>46360</v>
      </c>
      <c r="B133" s="17">
        <v>450030</v>
      </c>
      <c r="C133" s="18" t="str">
        <f>VLOOKUP(B133,Employee_Master!A:B,2,0)</f>
        <v xml:space="preserve">Manish bisht </v>
      </c>
      <c r="D133" s="7" t="s">
        <v>212</v>
      </c>
      <c r="E133" s="7" t="s">
        <v>231</v>
      </c>
      <c r="F133" s="7" t="s">
        <v>231</v>
      </c>
      <c r="G133" s="7"/>
      <c r="H133" s="19">
        <f t="shared" si="12"/>
        <v>10</v>
      </c>
      <c r="I133" s="7">
        <f t="shared" si="13"/>
        <v>0</v>
      </c>
      <c r="J133" s="7">
        <f>IFERROR(VLOOKUP(D133,Event_Master!B:E,4,FALSE),1)</f>
        <v>1</v>
      </c>
      <c r="K133" s="7">
        <f t="shared" si="14"/>
        <v>0</v>
      </c>
      <c r="L133" s="19">
        <f t="shared" si="15"/>
        <v>10</v>
      </c>
    </row>
    <row r="134" spans="1:12">
      <c r="A134" s="20">
        <v>46360</v>
      </c>
      <c r="B134" s="17">
        <v>452799</v>
      </c>
      <c r="C134" s="18" t="str">
        <f>VLOOKUP(B134,Employee_Master!A:B,2,0)</f>
        <v>Manish Kukreti</v>
      </c>
      <c r="D134" s="7" t="s">
        <v>212</v>
      </c>
      <c r="E134" s="7" t="s">
        <v>231</v>
      </c>
      <c r="F134" s="7" t="s">
        <v>231</v>
      </c>
      <c r="G134" s="7"/>
      <c r="H134" s="19">
        <f t="shared" si="12"/>
        <v>10</v>
      </c>
      <c r="I134" s="7">
        <f t="shared" si="13"/>
        <v>0</v>
      </c>
      <c r="J134" s="7">
        <f>IFERROR(VLOOKUP(D134,Event_Master!B:E,4,FALSE),1)</f>
        <v>1</v>
      </c>
      <c r="K134" s="7">
        <f t="shared" si="14"/>
        <v>0</v>
      </c>
      <c r="L134" s="19">
        <f t="shared" si="15"/>
        <v>10</v>
      </c>
    </row>
    <row r="135" spans="1:12">
      <c r="A135" s="20">
        <v>46360</v>
      </c>
      <c r="B135" s="17">
        <v>450171</v>
      </c>
      <c r="C135" s="18" t="str">
        <f>VLOOKUP(B135,Employee_Master!A:B,2,0)</f>
        <v>Manpreet Kaur</v>
      </c>
      <c r="D135" s="7" t="s">
        <v>212</v>
      </c>
      <c r="E135" s="7" t="s">
        <v>231</v>
      </c>
      <c r="F135" s="7" t="s">
        <v>231</v>
      </c>
      <c r="G135" s="7"/>
      <c r="H135" s="19">
        <f t="shared" ref="H135:H159" si="16">IF(F135="Yes",10,0)</f>
        <v>10</v>
      </c>
      <c r="I135" s="7">
        <f t="shared" ref="I135:I178" si="17">IF(G135="Winner",100,IF(G135="Runner-up",70,IF(G135="2nd Runner-up",50,IF(G135="Semi",30,IF(G135="Quarter",20,0)))))</f>
        <v>0</v>
      </c>
      <c r="J135" s="7">
        <f>IFERROR(VLOOKUP(D135,Event_Master!B:E,4,FALSE),1)</f>
        <v>1</v>
      </c>
      <c r="K135" s="7">
        <f t="shared" ref="K135:K178" si="18">(I135*J135)</f>
        <v>0</v>
      </c>
      <c r="L135" s="19">
        <f t="shared" ref="L135:L178" si="19">K135+H135</f>
        <v>10</v>
      </c>
    </row>
    <row r="136" spans="1:12">
      <c r="A136" s="20">
        <v>46360</v>
      </c>
      <c r="B136" s="17">
        <v>488518</v>
      </c>
      <c r="C136" s="18" t="str">
        <f>VLOOKUP(B136,Employee_Master!A:B,2,0)</f>
        <v>Neha Chaturvedi</v>
      </c>
      <c r="D136" s="7" t="s">
        <v>212</v>
      </c>
      <c r="E136" s="7" t="s">
        <v>231</v>
      </c>
      <c r="F136" s="7" t="s">
        <v>231</v>
      </c>
      <c r="G136" s="7"/>
      <c r="H136" s="19">
        <f t="shared" si="16"/>
        <v>10</v>
      </c>
      <c r="I136" s="7">
        <f t="shared" si="17"/>
        <v>0</v>
      </c>
      <c r="J136" s="7">
        <f>IFERROR(VLOOKUP(D136,Event_Master!B:E,4,FALSE),1)</f>
        <v>1</v>
      </c>
      <c r="K136" s="7">
        <f t="shared" si="18"/>
        <v>0</v>
      </c>
      <c r="L136" s="19">
        <f t="shared" si="19"/>
        <v>10</v>
      </c>
    </row>
    <row r="137" spans="1:12">
      <c r="A137" s="20">
        <v>46360</v>
      </c>
      <c r="B137" s="17">
        <v>450225</v>
      </c>
      <c r="C137" s="18" t="str">
        <f>VLOOKUP(B137,Employee_Master!A:B,2,0)</f>
        <v>Nikita</v>
      </c>
      <c r="D137" s="7" t="s">
        <v>212</v>
      </c>
      <c r="E137" s="7" t="s">
        <v>231</v>
      </c>
      <c r="F137" s="7" t="s">
        <v>231</v>
      </c>
      <c r="G137" s="7"/>
      <c r="H137" s="19">
        <f t="shared" si="16"/>
        <v>10</v>
      </c>
      <c r="I137" s="7">
        <f t="shared" si="17"/>
        <v>0</v>
      </c>
      <c r="J137" s="7">
        <f>IFERROR(VLOOKUP(D137,Event_Master!B:E,4,FALSE),1)</f>
        <v>1</v>
      </c>
      <c r="K137" s="7">
        <f t="shared" si="18"/>
        <v>0</v>
      </c>
      <c r="L137" s="19">
        <f t="shared" si="19"/>
        <v>10</v>
      </c>
    </row>
    <row r="138" spans="1:12">
      <c r="A138" s="20">
        <v>46360</v>
      </c>
      <c r="B138" s="17">
        <v>452121</v>
      </c>
      <c r="C138" s="18" t="str">
        <f>VLOOKUP(B138,Employee_Master!A:B,2,0)</f>
        <v>Nishi Singh</v>
      </c>
      <c r="D138" s="7" t="s">
        <v>212</v>
      </c>
      <c r="E138" s="7" t="s">
        <v>231</v>
      </c>
      <c r="F138" s="7" t="s">
        <v>231</v>
      </c>
      <c r="G138" s="7"/>
      <c r="H138" s="19">
        <f t="shared" si="16"/>
        <v>10</v>
      </c>
      <c r="I138" s="7">
        <f t="shared" si="17"/>
        <v>0</v>
      </c>
      <c r="J138" s="7">
        <f>IFERROR(VLOOKUP(D138,Event_Master!B:E,4,FALSE),1)</f>
        <v>1</v>
      </c>
      <c r="K138" s="7">
        <f t="shared" si="18"/>
        <v>0</v>
      </c>
      <c r="L138" s="19">
        <f t="shared" si="19"/>
        <v>10</v>
      </c>
    </row>
    <row r="139" spans="1:12">
      <c r="A139" s="20">
        <v>46360</v>
      </c>
      <c r="B139" s="17">
        <v>722751</v>
      </c>
      <c r="C139" s="18" t="str">
        <f>VLOOKUP(B139,Employee_Master!A:B,2,0)</f>
        <v>Palak</v>
      </c>
      <c r="D139" s="7" t="s">
        <v>212</v>
      </c>
      <c r="E139" s="7" t="s">
        <v>231</v>
      </c>
      <c r="F139" s="7" t="s">
        <v>231</v>
      </c>
      <c r="G139" s="7"/>
      <c r="H139" s="19">
        <f t="shared" si="16"/>
        <v>10</v>
      </c>
      <c r="I139" s="7">
        <f t="shared" si="17"/>
        <v>0</v>
      </c>
      <c r="J139" s="7">
        <f>IFERROR(VLOOKUP(D139,Event_Master!B:E,4,FALSE),1)</f>
        <v>1</v>
      </c>
      <c r="K139" s="7">
        <f t="shared" si="18"/>
        <v>0</v>
      </c>
      <c r="L139" s="19">
        <f t="shared" si="19"/>
        <v>10</v>
      </c>
    </row>
    <row r="140" spans="1:12">
      <c r="A140" s="20">
        <v>46360</v>
      </c>
      <c r="B140" s="17">
        <v>463059</v>
      </c>
      <c r="C140" s="18" t="str">
        <f>VLOOKUP(B140,Employee_Master!A:B,2,0)</f>
        <v>Parvinder</v>
      </c>
      <c r="D140" s="7" t="s">
        <v>212</v>
      </c>
      <c r="E140" s="7" t="s">
        <v>231</v>
      </c>
      <c r="F140" s="7" t="s">
        <v>231</v>
      </c>
      <c r="G140" s="7"/>
      <c r="H140" s="19">
        <f t="shared" si="16"/>
        <v>10</v>
      </c>
      <c r="I140" s="7">
        <f t="shared" si="17"/>
        <v>0</v>
      </c>
      <c r="J140" s="7">
        <f>IFERROR(VLOOKUP(D140,Event_Master!B:E,4,FALSE),1)</f>
        <v>1</v>
      </c>
      <c r="K140" s="7">
        <f t="shared" si="18"/>
        <v>0</v>
      </c>
      <c r="L140" s="19">
        <f t="shared" si="19"/>
        <v>10</v>
      </c>
    </row>
    <row r="141" spans="1:12">
      <c r="A141" s="20">
        <v>46360</v>
      </c>
      <c r="B141" s="17">
        <v>707131</v>
      </c>
      <c r="C141" s="18" t="str">
        <f>VLOOKUP(B141,Employee_Master!A:B,2,0)</f>
        <v>Puja Bhalotia</v>
      </c>
      <c r="D141" s="7" t="s">
        <v>212</v>
      </c>
      <c r="E141" s="7" t="s">
        <v>231</v>
      </c>
      <c r="F141" s="7" t="s">
        <v>231</v>
      </c>
      <c r="G141" s="7"/>
      <c r="H141" s="19">
        <f t="shared" si="16"/>
        <v>10</v>
      </c>
      <c r="I141" s="7">
        <f t="shared" si="17"/>
        <v>0</v>
      </c>
      <c r="J141" s="7">
        <f>IFERROR(VLOOKUP(D141,Event_Master!B:E,4,FALSE),1)</f>
        <v>1</v>
      </c>
      <c r="K141" s="7">
        <f t="shared" si="18"/>
        <v>0</v>
      </c>
      <c r="L141" s="19">
        <f t="shared" si="19"/>
        <v>10</v>
      </c>
    </row>
    <row r="142" spans="1:12">
      <c r="A142" s="20">
        <v>46360</v>
      </c>
      <c r="B142" s="17">
        <v>449551</v>
      </c>
      <c r="C142" s="18" t="str">
        <f>VLOOKUP(B142,Employee_Master!A:B,2,0)</f>
        <v>Ramesh Kumar</v>
      </c>
      <c r="D142" s="7" t="s">
        <v>212</v>
      </c>
      <c r="E142" s="7" t="s">
        <v>231</v>
      </c>
      <c r="F142" s="7" t="s">
        <v>231</v>
      </c>
      <c r="G142" s="7"/>
      <c r="H142" s="19">
        <f t="shared" si="16"/>
        <v>10</v>
      </c>
      <c r="I142" s="7">
        <f t="shared" si="17"/>
        <v>0</v>
      </c>
      <c r="J142" s="7">
        <f>IFERROR(VLOOKUP(D142,Event_Master!B:E,4,FALSE),1)</f>
        <v>1</v>
      </c>
      <c r="K142" s="7">
        <f t="shared" si="18"/>
        <v>0</v>
      </c>
      <c r="L142" s="19">
        <f t="shared" si="19"/>
        <v>10</v>
      </c>
    </row>
    <row r="143" spans="1:12">
      <c r="A143" s="20">
        <v>46360</v>
      </c>
      <c r="B143" s="17">
        <v>452118</v>
      </c>
      <c r="C143" s="18" t="str">
        <f>VLOOKUP(B143,Employee_Master!A:B,2,0)</f>
        <v>Riya Kumari</v>
      </c>
      <c r="D143" s="7" t="s">
        <v>212</v>
      </c>
      <c r="E143" s="7" t="s">
        <v>231</v>
      </c>
      <c r="F143" s="7" t="s">
        <v>231</v>
      </c>
      <c r="G143" s="7"/>
      <c r="H143" s="19">
        <f t="shared" si="16"/>
        <v>10</v>
      </c>
      <c r="I143" s="7">
        <f t="shared" si="17"/>
        <v>0</v>
      </c>
      <c r="J143" s="7">
        <f>IFERROR(VLOOKUP(D143,Event_Master!B:E,4,FALSE),1)</f>
        <v>1</v>
      </c>
      <c r="K143" s="7">
        <f t="shared" si="18"/>
        <v>0</v>
      </c>
      <c r="L143" s="19">
        <f t="shared" si="19"/>
        <v>10</v>
      </c>
    </row>
    <row r="144" spans="1:12">
      <c r="A144" s="20">
        <v>46360</v>
      </c>
      <c r="B144" s="17">
        <v>474194</v>
      </c>
      <c r="C144" s="18" t="str">
        <f>VLOOKUP(B144,Employee_Master!A:B,2,0)</f>
        <v>Rohit Yadav</v>
      </c>
      <c r="D144" s="7" t="s">
        <v>212</v>
      </c>
      <c r="E144" s="7" t="s">
        <v>231</v>
      </c>
      <c r="F144" s="7" t="s">
        <v>231</v>
      </c>
      <c r="G144" s="7"/>
      <c r="H144" s="19">
        <f t="shared" si="16"/>
        <v>10</v>
      </c>
      <c r="I144" s="7">
        <f t="shared" si="17"/>
        <v>0</v>
      </c>
      <c r="J144" s="7">
        <f>IFERROR(VLOOKUP(D144,Event_Master!B:E,4,FALSE),1)</f>
        <v>1</v>
      </c>
      <c r="K144" s="7">
        <f t="shared" si="18"/>
        <v>0</v>
      </c>
      <c r="L144" s="19">
        <f t="shared" si="19"/>
        <v>10</v>
      </c>
    </row>
    <row r="145" spans="1:12">
      <c r="A145" s="20">
        <v>46360</v>
      </c>
      <c r="B145" s="17">
        <v>452056</v>
      </c>
      <c r="C145" s="18" t="str">
        <f>VLOOKUP(B145,Employee_Master!A:B,2,0)</f>
        <v xml:space="preserve">Rupesh </v>
      </c>
      <c r="D145" s="7" t="s">
        <v>212</v>
      </c>
      <c r="E145" s="7" t="s">
        <v>231</v>
      </c>
      <c r="F145" s="7" t="s">
        <v>231</v>
      </c>
      <c r="G145" s="7"/>
      <c r="H145" s="19">
        <f t="shared" si="16"/>
        <v>10</v>
      </c>
      <c r="I145" s="7">
        <f t="shared" si="17"/>
        <v>0</v>
      </c>
      <c r="J145" s="7">
        <f>IFERROR(VLOOKUP(D145,Event_Master!B:E,4,FALSE),1)</f>
        <v>1</v>
      </c>
      <c r="K145" s="7">
        <f t="shared" si="18"/>
        <v>0</v>
      </c>
      <c r="L145" s="19">
        <f t="shared" si="19"/>
        <v>10</v>
      </c>
    </row>
    <row r="146" spans="1:12">
      <c r="A146" s="20">
        <v>46360</v>
      </c>
      <c r="B146" s="17">
        <v>457157</v>
      </c>
      <c r="C146" s="18" t="str">
        <f>VLOOKUP(B146,Employee_Master!A:B,2,0)</f>
        <v>Sachin Kashyap</v>
      </c>
      <c r="D146" s="7" t="s">
        <v>212</v>
      </c>
      <c r="E146" s="7" t="s">
        <v>231</v>
      </c>
      <c r="F146" s="7" t="s">
        <v>231</v>
      </c>
      <c r="G146" s="7"/>
      <c r="H146" s="19">
        <f t="shared" si="16"/>
        <v>10</v>
      </c>
      <c r="I146" s="7">
        <f t="shared" si="17"/>
        <v>0</v>
      </c>
      <c r="J146" s="7">
        <f>IFERROR(VLOOKUP(D146,Event_Master!B:E,4,FALSE),1)</f>
        <v>1</v>
      </c>
      <c r="K146" s="7">
        <f t="shared" si="18"/>
        <v>0</v>
      </c>
      <c r="L146" s="19">
        <f t="shared" si="19"/>
        <v>10</v>
      </c>
    </row>
    <row r="147" spans="1:12">
      <c r="A147" s="20">
        <v>46360</v>
      </c>
      <c r="B147" s="17">
        <v>452057</v>
      </c>
      <c r="C147" s="18" t="str">
        <f>VLOOKUP(B147,Employee_Master!A:B,2,0)</f>
        <v xml:space="preserve">Sahil Thakur </v>
      </c>
      <c r="D147" s="7" t="s">
        <v>212</v>
      </c>
      <c r="E147" s="7" t="s">
        <v>231</v>
      </c>
      <c r="F147" s="7" t="s">
        <v>231</v>
      </c>
      <c r="G147" s="7"/>
      <c r="H147" s="19">
        <f t="shared" si="16"/>
        <v>10</v>
      </c>
      <c r="I147" s="7">
        <f t="shared" si="17"/>
        <v>0</v>
      </c>
      <c r="J147" s="7">
        <f>IFERROR(VLOOKUP(D147,Event_Master!B:E,4,FALSE),1)</f>
        <v>1</v>
      </c>
      <c r="K147" s="7">
        <f t="shared" si="18"/>
        <v>0</v>
      </c>
      <c r="L147" s="19">
        <f t="shared" si="19"/>
        <v>10</v>
      </c>
    </row>
    <row r="148" spans="1:12">
      <c r="A148" s="20">
        <v>46360</v>
      </c>
      <c r="B148" s="17">
        <v>438679</v>
      </c>
      <c r="C148" s="18" t="str">
        <f>VLOOKUP(B148,Employee_Master!A:B,2,0)</f>
        <v>Saurabh Kumar</v>
      </c>
      <c r="D148" s="7" t="s">
        <v>212</v>
      </c>
      <c r="E148" s="7" t="s">
        <v>231</v>
      </c>
      <c r="F148" s="7" t="s">
        <v>231</v>
      </c>
      <c r="G148" s="7"/>
      <c r="H148" s="19">
        <f t="shared" si="16"/>
        <v>10</v>
      </c>
      <c r="I148" s="7">
        <f t="shared" si="17"/>
        <v>0</v>
      </c>
      <c r="J148" s="7">
        <f>IFERROR(VLOOKUP(D148,Event_Master!B:E,4,FALSE),1)</f>
        <v>1</v>
      </c>
      <c r="K148" s="7">
        <f t="shared" si="18"/>
        <v>0</v>
      </c>
      <c r="L148" s="19">
        <f t="shared" si="19"/>
        <v>10</v>
      </c>
    </row>
    <row r="149" spans="1:12">
      <c r="A149" s="20">
        <v>46360</v>
      </c>
      <c r="B149" s="17">
        <v>700216</v>
      </c>
      <c r="C149" s="18" t="str">
        <f>VLOOKUP(B149,Employee_Master!A:B,2,0)</f>
        <v>Shivam Rani</v>
      </c>
      <c r="D149" s="7" t="s">
        <v>212</v>
      </c>
      <c r="E149" s="7" t="s">
        <v>231</v>
      </c>
      <c r="F149" s="7" t="s">
        <v>231</v>
      </c>
      <c r="G149" s="7"/>
      <c r="H149" s="19">
        <f t="shared" si="16"/>
        <v>10</v>
      </c>
      <c r="I149" s="7">
        <f t="shared" si="17"/>
        <v>0</v>
      </c>
      <c r="J149" s="7">
        <f>IFERROR(VLOOKUP(D149,Event_Master!B:E,4,FALSE),1)</f>
        <v>1</v>
      </c>
      <c r="K149" s="7">
        <f t="shared" si="18"/>
        <v>0</v>
      </c>
      <c r="L149" s="19">
        <f t="shared" si="19"/>
        <v>10</v>
      </c>
    </row>
    <row r="150" spans="1:12">
      <c r="A150" s="20">
        <v>46360</v>
      </c>
      <c r="B150" s="17">
        <v>452076</v>
      </c>
      <c r="C150" s="18" t="str">
        <f>VLOOKUP(B150,Employee_Master!A:B,2,0)</f>
        <v>Shraddha Singh</v>
      </c>
      <c r="D150" s="7" t="s">
        <v>212</v>
      </c>
      <c r="E150" s="7" t="s">
        <v>231</v>
      </c>
      <c r="F150" s="7" t="s">
        <v>231</v>
      </c>
      <c r="G150" s="7"/>
      <c r="H150" s="19">
        <f t="shared" si="16"/>
        <v>10</v>
      </c>
      <c r="I150" s="7">
        <f t="shared" si="17"/>
        <v>0</v>
      </c>
      <c r="J150" s="7">
        <f>IFERROR(VLOOKUP(D150,Event_Master!B:E,4,FALSE),1)</f>
        <v>1</v>
      </c>
      <c r="K150" s="7">
        <f t="shared" si="18"/>
        <v>0</v>
      </c>
      <c r="L150" s="19">
        <f t="shared" si="19"/>
        <v>10</v>
      </c>
    </row>
    <row r="151" spans="1:12">
      <c r="A151" s="20">
        <v>46360</v>
      </c>
      <c r="B151" s="17">
        <v>450228</v>
      </c>
      <c r="C151" s="18" t="str">
        <f>VLOOKUP(B151,Employee_Master!A:B,2,0)</f>
        <v>Shubham Sharma</v>
      </c>
      <c r="D151" s="7" t="s">
        <v>212</v>
      </c>
      <c r="E151" s="7" t="s">
        <v>231</v>
      </c>
      <c r="F151" s="7" t="s">
        <v>231</v>
      </c>
      <c r="G151" s="7"/>
      <c r="H151" s="19">
        <f t="shared" si="16"/>
        <v>10</v>
      </c>
      <c r="I151" s="7">
        <f t="shared" si="17"/>
        <v>0</v>
      </c>
      <c r="J151" s="7">
        <f>IFERROR(VLOOKUP(D151,Event_Master!B:E,4,FALSE),1)</f>
        <v>1</v>
      </c>
      <c r="K151" s="7">
        <f t="shared" si="18"/>
        <v>0</v>
      </c>
      <c r="L151" s="19">
        <f t="shared" si="19"/>
        <v>10</v>
      </c>
    </row>
    <row r="152" spans="1:12">
      <c r="A152" s="20">
        <v>46360</v>
      </c>
      <c r="B152" s="17">
        <v>721765</v>
      </c>
      <c r="C152" s="18" t="str">
        <f>VLOOKUP(B152,Employee_Master!A:B,2,0)</f>
        <v>Sneha .</v>
      </c>
      <c r="D152" s="7" t="s">
        <v>212</v>
      </c>
      <c r="E152" s="7" t="s">
        <v>231</v>
      </c>
      <c r="F152" s="7" t="s">
        <v>231</v>
      </c>
      <c r="G152" s="7"/>
      <c r="H152" s="19">
        <f t="shared" si="16"/>
        <v>10</v>
      </c>
      <c r="I152" s="7">
        <f t="shared" si="17"/>
        <v>0</v>
      </c>
      <c r="J152" s="7">
        <f>IFERROR(VLOOKUP(D152,Event_Master!B:E,4,FALSE),1)</f>
        <v>1</v>
      </c>
      <c r="K152" s="7">
        <f t="shared" si="18"/>
        <v>0</v>
      </c>
      <c r="L152" s="19">
        <f t="shared" si="19"/>
        <v>10</v>
      </c>
    </row>
    <row r="153" spans="1:12">
      <c r="A153" s="20">
        <v>46360</v>
      </c>
      <c r="B153" s="17">
        <v>706181</v>
      </c>
      <c r="C153" s="18" t="str">
        <f>VLOOKUP(B153,Employee_Master!A:B,2,0)</f>
        <v>Sonam Kachhap</v>
      </c>
      <c r="D153" s="7" t="s">
        <v>212</v>
      </c>
      <c r="E153" s="7" t="s">
        <v>231</v>
      </c>
      <c r="F153" s="7" t="s">
        <v>231</v>
      </c>
      <c r="G153" s="7"/>
      <c r="H153" s="19">
        <f t="shared" si="16"/>
        <v>10</v>
      </c>
      <c r="I153" s="7">
        <f t="shared" si="17"/>
        <v>0</v>
      </c>
      <c r="J153" s="7">
        <f>IFERROR(VLOOKUP(D153,Event_Master!B:E,4,FALSE),1)</f>
        <v>1</v>
      </c>
      <c r="K153" s="7">
        <f t="shared" si="18"/>
        <v>0</v>
      </c>
      <c r="L153" s="19">
        <f t="shared" si="19"/>
        <v>10</v>
      </c>
    </row>
    <row r="154" spans="1:12">
      <c r="A154" s="20">
        <v>46360</v>
      </c>
      <c r="B154" s="17">
        <v>479827</v>
      </c>
      <c r="C154" s="18" t="str">
        <f>VLOOKUP(B154,Employee_Master!A:B,2,0)</f>
        <v>Sunil Kr. Singh</v>
      </c>
      <c r="D154" s="7" t="s">
        <v>212</v>
      </c>
      <c r="E154" s="7" t="s">
        <v>231</v>
      </c>
      <c r="F154" s="7" t="s">
        <v>231</v>
      </c>
      <c r="G154" s="7"/>
      <c r="H154" s="19">
        <f t="shared" si="16"/>
        <v>10</v>
      </c>
      <c r="I154" s="7">
        <f t="shared" si="17"/>
        <v>0</v>
      </c>
      <c r="J154" s="7">
        <f>IFERROR(VLOOKUP(D154,Event_Master!B:E,4,FALSE),1)</f>
        <v>1</v>
      </c>
      <c r="K154" s="7">
        <f t="shared" si="18"/>
        <v>0</v>
      </c>
      <c r="L154" s="19">
        <f t="shared" si="19"/>
        <v>10</v>
      </c>
    </row>
    <row r="155" spans="1:12">
      <c r="A155" s="20">
        <v>46360</v>
      </c>
      <c r="B155" s="17">
        <v>449635</v>
      </c>
      <c r="C155" s="18" t="str">
        <f>VLOOKUP(B155,Employee_Master!A:B,2,0)</f>
        <v>Sushma Tiwari</v>
      </c>
      <c r="D155" s="7" t="s">
        <v>212</v>
      </c>
      <c r="E155" s="7" t="s">
        <v>231</v>
      </c>
      <c r="F155" s="7" t="s">
        <v>231</v>
      </c>
      <c r="G155" s="7"/>
      <c r="H155" s="19">
        <f t="shared" si="16"/>
        <v>10</v>
      </c>
      <c r="I155" s="7">
        <f t="shared" si="17"/>
        <v>0</v>
      </c>
      <c r="J155" s="7">
        <f>IFERROR(VLOOKUP(D155,Event_Master!B:E,4,FALSE),1)</f>
        <v>1</v>
      </c>
      <c r="K155" s="7">
        <f t="shared" si="18"/>
        <v>0</v>
      </c>
      <c r="L155" s="19">
        <f t="shared" si="19"/>
        <v>10</v>
      </c>
    </row>
    <row r="156" spans="1:12">
      <c r="A156" s="20">
        <v>46360</v>
      </c>
      <c r="B156" s="17">
        <v>450437</v>
      </c>
      <c r="C156" s="18" t="str">
        <f>VLOOKUP(B156,Employee_Master!A:B,2,0)</f>
        <v xml:space="preserve">Tinku Shekhawat </v>
      </c>
      <c r="D156" s="7" t="s">
        <v>212</v>
      </c>
      <c r="E156" s="7" t="s">
        <v>231</v>
      </c>
      <c r="F156" s="7" t="s">
        <v>231</v>
      </c>
      <c r="G156" s="7"/>
      <c r="H156" s="19">
        <f t="shared" si="16"/>
        <v>10</v>
      </c>
      <c r="I156" s="7">
        <f t="shared" si="17"/>
        <v>0</v>
      </c>
      <c r="J156" s="7">
        <f>IFERROR(VLOOKUP(D156,Event_Master!B:E,4,FALSE),1)</f>
        <v>1</v>
      </c>
      <c r="K156" s="7">
        <f t="shared" si="18"/>
        <v>0</v>
      </c>
      <c r="L156" s="19">
        <f t="shared" si="19"/>
        <v>10</v>
      </c>
    </row>
    <row r="157" spans="1:12">
      <c r="A157" s="20">
        <v>46360</v>
      </c>
      <c r="B157" s="17">
        <v>467544</v>
      </c>
      <c r="C157" s="18" t="str">
        <f>VLOOKUP(B157,Employee_Master!A:B,2,0)</f>
        <v>Vinay Kumar</v>
      </c>
      <c r="D157" s="7" t="s">
        <v>212</v>
      </c>
      <c r="E157" s="7" t="s">
        <v>231</v>
      </c>
      <c r="F157" s="7" t="s">
        <v>231</v>
      </c>
      <c r="G157" s="7"/>
      <c r="H157" s="19">
        <f t="shared" si="16"/>
        <v>10</v>
      </c>
      <c r="I157" s="7">
        <f t="shared" si="17"/>
        <v>0</v>
      </c>
      <c r="J157" s="7">
        <f>IFERROR(VLOOKUP(D157,Event_Master!B:E,4,FALSE),1)</f>
        <v>1</v>
      </c>
      <c r="K157" s="7">
        <f t="shared" si="18"/>
        <v>0</v>
      </c>
      <c r="L157" s="19">
        <f t="shared" si="19"/>
        <v>10</v>
      </c>
    </row>
    <row r="158" spans="1:12">
      <c r="A158" s="20">
        <v>46360</v>
      </c>
      <c r="B158" s="17">
        <v>451609</v>
      </c>
      <c r="C158" s="18" t="str">
        <f>VLOOKUP(B158,Employee_Master!A:B,2,0)</f>
        <v>Vivek Kumar Yadav</v>
      </c>
      <c r="D158" s="7" t="s">
        <v>212</v>
      </c>
      <c r="E158" s="7" t="s">
        <v>231</v>
      </c>
      <c r="F158" s="7" t="s">
        <v>231</v>
      </c>
      <c r="G158" s="7"/>
      <c r="H158" s="19">
        <f t="shared" si="16"/>
        <v>10</v>
      </c>
      <c r="I158" s="7">
        <f t="shared" si="17"/>
        <v>0</v>
      </c>
      <c r="J158" s="7">
        <f>IFERROR(VLOOKUP(D158,Event_Master!B:E,4,FALSE),1)</f>
        <v>1</v>
      </c>
      <c r="K158" s="7">
        <f t="shared" si="18"/>
        <v>0</v>
      </c>
      <c r="L158" s="19">
        <f t="shared" si="19"/>
        <v>10</v>
      </c>
    </row>
    <row r="159" spans="1:12">
      <c r="A159" s="20">
        <v>46360</v>
      </c>
      <c r="B159" s="17">
        <v>467519</v>
      </c>
      <c r="C159" s="18" t="str">
        <f>VLOOKUP(B159,Employee_Master!A:B,2,0)</f>
        <v>Vivek Tiwari</v>
      </c>
      <c r="D159" s="7" t="s">
        <v>212</v>
      </c>
      <c r="E159" s="7" t="s">
        <v>231</v>
      </c>
      <c r="F159" s="7" t="s">
        <v>231</v>
      </c>
      <c r="G159" s="7"/>
      <c r="H159" s="19">
        <f t="shared" si="16"/>
        <v>10</v>
      </c>
      <c r="I159" s="7">
        <f t="shared" si="17"/>
        <v>0</v>
      </c>
      <c r="J159" s="7">
        <f>IFERROR(VLOOKUP(D159,Event_Master!B:E,4,FALSE),1)</f>
        <v>1</v>
      </c>
      <c r="K159" s="7">
        <f t="shared" si="18"/>
        <v>0</v>
      </c>
      <c r="L159" s="19">
        <f t="shared" si="19"/>
        <v>10</v>
      </c>
    </row>
    <row r="160" spans="1:12">
      <c r="A160" s="24" t="s">
        <v>232</v>
      </c>
      <c r="B160" s="17">
        <v>427154</v>
      </c>
      <c r="C160" s="18" t="str">
        <f>VLOOKUP(B160,Employee_Master!A:B,2,0)</f>
        <v>Rohan Mehra</v>
      </c>
      <c r="D160" s="7" t="s">
        <v>215</v>
      </c>
      <c r="E160" s="7" t="s">
        <v>231</v>
      </c>
      <c r="F160" s="7" t="s">
        <v>231</v>
      </c>
      <c r="G160" s="7"/>
      <c r="H160" s="19">
        <f t="shared" ref="H160:H178" si="20">IF(F160="Yes",10,0)</f>
        <v>10</v>
      </c>
      <c r="I160" s="7">
        <f t="shared" si="17"/>
        <v>0</v>
      </c>
      <c r="J160" s="7">
        <f>IFERROR(VLOOKUP(D160,Event_Master!B:E,4,FALSE),1)</f>
        <v>1.5</v>
      </c>
      <c r="K160" s="7">
        <f t="shared" si="18"/>
        <v>0</v>
      </c>
      <c r="L160" s="19">
        <f t="shared" si="19"/>
        <v>10</v>
      </c>
    </row>
    <row r="161" spans="1:12">
      <c r="A161" s="24" t="s">
        <v>232</v>
      </c>
      <c r="B161" s="17">
        <v>452991</v>
      </c>
      <c r="C161" s="18" t="str">
        <f>VLOOKUP(B161,Employee_Master!A:B,2,0)</f>
        <v>Gourav Rohilla</v>
      </c>
      <c r="D161" s="7" t="s">
        <v>215</v>
      </c>
      <c r="E161" s="7" t="s">
        <v>231</v>
      </c>
      <c r="F161" s="7" t="s">
        <v>231</v>
      </c>
      <c r="G161" s="7"/>
      <c r="H161" s="19">
        <f t="shared" si="20"/>
        <v>10</v>
      </c>
      <c r="I161" s="7">
        <f t="shared" si="17"/>
        <v>0</v>
      </c>
      <c r="J161" s="7">
        <f>IFERROR(VLOOKUP(D161,Event_Master!B:E,4,FALSE),1)</f>
        <v>1.5</v>
      </c>
      <c r="K161" s="7">
        <f t="shared" si="18"/>
        <v>0</v>
      </c>
      <c r="L161" s="19">
        <f t="shared" si="19"/>
        <v>10</v>
      </c>
    </row>
    <row r="162" spans="1:12">
      <c r="A162" s="24" t="s">
        <v>232</v>
      </c>
      <c r="B162" s="17">
        <v>432865</v>
      </c>
      <c r="C162" s="18" t="str">
        <f>VLOOKUP(B162,Employee_Master!A:B,2,0)</f>
        <v>Rupesh Gandhi</v>
      </c>
      <c r="D162" s="7" t="s">
        <v>215</v>
      </c>
      <c r="E162" s="7" t="s">
        <v>231</v>
      </c>
      <c r="F162" s="7" t="s">
        <v>231</v>
      </c>
      <c r="G162" s="7"/>
      <c r="H162" s="19">
        <f t="shared" si="20"/>
        <v>10</v>
      </c>
      <c r="I162" s="7">
        <f t="shared" si="17"/>
        <v>0</v>
      </c>
      <c r="J162" s="7">
        <f>IFERROR(VLOOKUP(D162,Event_Master!B:E,4,FALSE),1)</f>
        <v>1.5</v>
      </c>
      <c r="K162" s="7">
        <f t="shared" si="18"/>
        <v>0</v>
      </c>
      <c r="L162" s="19">
        <f t="shared" si="19"/>
        <v>10</v>
      </c>
    </row>
    <row r="163" spans="1:12">
      <c r="A163" s="24" t="s">
        <v>232</v>
      </c>
      <c r="B163" s="17">
        <v>453089</v>
      </c>
      <c r="C163" s="18" t="str">
        <f>VLOOKUP(B163,Employee_Master!A:B,2,0)</f>
        <v>Arun Lamba</v>
      </c>
      <c r="D163" s="7" t="s">
        <v>215</v>
      </c>
      <c r="E163" s="7" t="s">
        <v>231</v>
      </c>
      <c r="F163" s="7" t="s">
        <v>231</v>
      </c>
      <c r="G163" s="7"/>
      <c r="H163" s="19">
        <f t="shared" si="20"/>
        <v>10</v>
      </c>
      <c r="I163" s="7">
        <f t="shared" si="17"/>
        <v>0</v>
      </c>
      <c r="J163" s="7">
        <f>IFERROR(VLOOKUP(D163,Event_Master!B:E,4,FALSE),1)</f>
        <v>1.5</v>
      </c>
      <c r="K163" s="7">
        <f t="shared" si="18"/>
        <v>0</v>
      </c>
      <c r="L163" s="19">
        <f t="shared" si="19"/>
        <v>10</v>
      </c>
    </row>
    <row r="164" spans="1:12">
      <c r="A164" s="24" t="s">
        <v>232</v>
      </c>
      <c r="B164" s="17">
        <v>465255</v>
      </c>
      <c r="C164" s="18" t="str">
        <f>VLOOKUP(B164,Employee_Master!A:B,2,0)</f>
        <v>Mukul Suman</v>
      </c>
      <c r="D164" s="7" t="s">
        <v>215</v>
      </c>
      <c r="E164" s="7" t="s">
        <v>231</v>
      </c>
      <c r="F164" s="7" t="s">
        <v>231</v>
      </c>
      <c r="G164" s="7"/>
      <c r="H164" s="19">
        <f t="shared" si="20"/>
        <v>10</v>
      </c>
      <c r="I164" s="7">
        <f t="shared" si="17"/>
        <v>0</v>
      </c>
      <c r="J164" s="7">
        <f>IFERROR(VLOOKUP(D164,Event_Master!B:E,4,FALSE),1)</f>
        <v>1.5</v>
      </c>
      <c r="K164" s="7">
        <f t="shared" si="18"/>
        <v>0</v>
      </c>
      <c r="L164" s="19">
        <f t="shared" si="19"/>
        <v>10</v>
      </c>
    </row>
    <row r="165" spans="1:12">
      <c r="A165" s="24" t="s">
        <v>232</v>
      </c>
      <c r="B165" s="17">
        <v>449551</v>
      </c>
      <c r="C165" s="18" t="str">
        <f>VLOOKUP(B165,Employee_Master!A:B,2,0)</f>
        <v>Ramesh Kumar</v>
      </c>
      <c r="D165" s="7" t="s">
        <v>215</v>
      </c>
      <c r="E165" s="7" t="s">
        <v>231</v>
      </c>
      <c r="F165" s="7" t="s">
        <v>231</v>
      </c>
      <c r="G165" s="7"/>
      <c r="H165" s="19">
        <f t="shared" si="20"/>
        <v>10</v>
      </c>
      <c r="I165" s="7">
        <f t="shared" si="17"/>
        <v>0</v>
      </c>
      <c r="J165" s="7">
        <f>IFERROR(VLOOKUP(D165,Event_Master!B:E,4,FALSE),1)</f>
        <v>1.5</v>
      </c>
      <c r="K165" s="7">
        <f t="shared" si="18"/>
        <v>0</v>
      </c>
      <c r="L165" s="19">
        <f t="shared" si="19"/>
        <v>10</v>
      </c>
    </row>
    <row r="166" spans="1:12">
      <c r="A166" s="24" t="s">
        <v>232</v>
      </c>
      <c r="B166" s="17">
        <v>454456</v>
      </c>
      <c r="C166" s="18" t="str">
        <f>VLOOKUP(B166,Employee_Master!A:B,2,0)</f>
        <v>Akash Deshmukh</v>
      </c>
      <c r="D166" s="7" t="s">
        <v>215</v>
      </c>
      <c r="E166" s="7" t="s">
        <v>231</v>
      </c>
      <c r="F166" s="7" t="s">
        <v>231</v>
      </c>
      <c r="G166" s="7"/>
      <c r="H166" s="19">
        <f t="shared" si="20"/>
        <v>10</v>
      </c>
      <c r="I166" s="7">
        <f t="shared" si="17"/>
        <v>0</v>
      </c>
      <c r="J166" s="7">
        <f>IFERROR(VLOOKUP(D166,Event_Master!B:E,4,FALSE),1)</f>
        <v>1.5</v>
      </c>
      <c r="K166" s="7">
        <f t="shared" si="18"/>
        <v>0</v>
      </c>
      <c r="L166" s="19">
        <f t="shared" si="19"/>
        <v>10</v>
      </c>
    </row>
    <row r="167" spans="1:12">
      <c r="A167" s="24" t="s">
        <v>232</v>
      </c>
      <c r="B167" s="17">
        <v>440620</v>
      </c>
      <c r="C167" s="18" t="str">
        <f>VLOOKUP(B167,Employee_Master!A:B,2,0)</f>
        <v>Kuldeep Singh</v>
      </c>
      <c r="D167" s="7" t="s">
        <v>215</v>
      </c>
      <c r="E167" s="7" t="s">
        <v>231</v>
      </c>
      <c r="F167" s="7" t="s">
        <v>231</v>
      </c>
      <c r="G167" s="7"/>
      <c r="H167" s="19">
        <f t="shared" si="20"/>
        <v>10</v>
      </c>
      <c r="I167" s="7">
        <f t="shared" si="17"/>
        <v>0</v>
      </c>
      <c r="J167" s="7">
        <f>IFERROR(VLOOKUP(D167,Event_Master!B:E,4,FALSE),1)</f>
        <v>1.5</v>
      </c>
      <c r="K167" s="7">
        <f t="shared" si="18"/>
        <v>0</v>
      </c>
      <c r="L167" s="19">
        <f t="shared" si="19"/>
        <v>10</v>
      </c>
    </row>
    <row r="168" spans="1:12">
      <c r="A168" s="24" t="s">
        <v>232</v>
      </c>
      <c r="B168" s="17">
        <v>451567</v>
      </c>
      <c r="C168" s="18" t="str">
        <f>VLOOKUP(B168,Employee_Master!A:B,2,0)</f>
        <v xml:space="preserve">Gaurav Kumar  </v>
      </c>
      <c r="D168" s="7" t="s">
        <v>215</v>
      </c>
      <c r="E168" s="7" t="s">
        <v>231</v>
      </c>
      <c r="F168" s="7" t="s">
        <v>231</v>
      </c>
      <c r="G168" s="7"/>
      <c r="H168" s="19">
        <f t="shared" si="20"/>
        <v>10</v>
      </c>
      <c r="I168" s="7">
        <f t="shared" si="17"/>
        <v>0</v>
      </c>
      <c r="J168" s="7">
        <f>IFERROR(VLOOKUP(D168,Event_Master!B:E,4,FALSE),1)</f>
        <v>1.5</v>
      </c>
      <c r="K168" s="7">
        <f t="shared" si="18"/>
        <v>0</v>
      </c>
      <c r="L168" s="19">
        <f t="shared" si="19"/>
        <v>10</v>
      </c>
    </row>
    <row r="169" spans="1:12">
      <c r="A169" s="24" t="s">
        <v>232</v>
      </c>
      <c r="B169" s="17">
        <v>476372</v>
      </c>
      <c r="C169" s="18" t="str">
        <f>VLOOKUP(B169,Employee_Master!A:B,2,0)</f>
        <v>Laksh</v>
      </c>
      <c r="D169" s="7" t="s">
        <v>215</v>
      </c>
      <c r="E169" s="7" t="s">
        <v>231</v>
      </c>
      <c r="F169" s="7" t="s">
        <v>231</v>
      </c>
      <c r="G169" s="7"/>
      <c r="H169" s="19">
        <f t="shared" si="20"/>
        <v>10</v>
      </c>
      <c r="I169" s="7">
        <f t="shared" si="17"/>
        <v>0</v>
      </c>
      <c r="J169" s="7">
        <f>IFERROR(VLOOKUP(D169,Event_Master!B:E,4,FALSE),1)</f>
        <v>1.5</v>
      </c>
      <c r="K169" s="7">
        <f t="shared" si="18"/>
        <v>0</v>
      </c>
      <c r="L169" s="19">
        <f t="shared" si="19"/>
        <v>10</v>
      </c>
    </row>
    <row r="170" spans="1:12">
      <c r="A170" s="24" t="s">
        <v>232</v>
      </c>
      <c r="B170" s="17">
        <v>466445</v>
      </c>
      <c r="C170" s="18" t="str">
        <f>VLOOKUP(B170,Employee_Master!A:B,2,0)</f>
        <v>Ayush Kumar</v>
      </c>
      <c r="D170" s="7" t="s">
        <v>215</v>
      </c>
      <c r="E170" s="7" t="s">
        <v>231</v>
      </c>
      <c r="F170" s="7" t="s">
        <v>231</v>
      </c>
      <c r="G170" s="7"/>
      <c r="H170" s="19">
        <f t="shared" si="20"/>
        <v>10</v>
      </c>
      <c r="I170" s="7">
        <f t="shared" si="17"/>
        <v>0</v>
      </c>
      <c r="J170" s="7">
        <f>IFERROR(VLOOKUP(D170,Event_Master!B:E,4,FALSE),1)</f>
        <v>1.5</v>
      </c>
      <c r="K170" s="7">
        <f t="shared" si="18"/>
        <v>0</v>
      </c>
      <c r="L170" s="19">
        <f t="shared" si="19"/>
        <v>10</v>
      </c>
    </row>
    <row r="171" spans="1:12">
      <c r="A171" s="24" t="s">
        <v>232</v>
      </c>
      <c r="B171" s="17">
        <v>478084</v>
      </c>
      <c r="C171" s="18" t="str">
        <f>VLOOKUP(B171,Employee_Master!A:B,2,0)</f>
        <v>Ashish Mishra</v>
      </c>
      <c r="D171" s="7" t="s">
        <v>215</v>
      </c>
      <c r="E171" s="7" t="s">
        <v>231</v>
      </c>
      <c r="F171" s="7" t="s">
        <v>231</v>
      </c>
      <c r="G171" s="7"/>
      <c r="H171" s="19">
        <f t="shared" si="20"/>
        <v>10</v>
      </c>
      <c r="I171" s="7">
        <f t="shared" si="17"/>
        <v>0</v>
      </c>
      <c r="J171" s="7">
        <f>IFERROR(VLOOKUP(D171,Event_Master!B:E,4,FALSE),1)</f>
        <v>1.5</v>
      </c>
      <c r="K171" s="7">
        <f t="shared" si="18"/>
        <v>0</v>
      </c>
      <c r="L171" s="19">
        <f t="shared" si="19"/>
        <v>10</v>
      </c>
    </row>
    <row r="172" spans="1:12">
      <c r="A172" s="24" t="s">
        <v>232</v>
      </c>
      <c r="B172" s="17">
        <v>437534</v>
      </c>
      <c r="C172" s="18" t="str">
        <f>VLOOKUP(B172,Employee_Master!A:B,2,0)</f>
        <v>Himanshu Sangar</v>
      </c>
      <c r="D172" s="7" t="s">
        <v>215</v>
      </c>
      <c r="E172" s="7" t="s">
        <v>231</v>
      </c>
      <c r="F172" s="7" t="s">
        <v>231</v>
      </c>
      <c r="G172" s="7"/>
      <c r="H172" s="19">
        <f t="shared" si="20"/>
        <v>10</v>
      </c>
      <c r="I172" s="7">
        <f t="shared" si="17"/>
        <v>0</v>
      </c>
      <c r="J172" s="7">
        <f>IFERROR(VLOOKUP(D172,Event_Master!B:E,4,FALSE),1)</f>
        <v>1.5</v>
      </c>
      <c r="K172" s="7">
        <f t="shared" si="18"/>
        <v>0</v>
      </c>
      <c r="L172" s="19">
        <f t="shared" si="19"/>
        <v>10</v>
      </c>
    </row>
    <row r="173" spans="1:12">
      <c r="A173" s="24" t="s">
        <v>232</v>
      </c>
      <c r="B173" s="17">
        <v>464188</v>
      </c>
      <c r="C173" s="18" t="str">
        <f>VLOOKUP(B173,Employee_Master!A:B,2,0)</f>
        <v>Himanshu Saini</v>
      </c>
      <c r="D173" s="7" t="s">
        <v>215</v>
      </c>
      <c r="E173" s="7" t="s">
        <v>231</v>
      </c>
      <c r="F173" s="7" t="s">
        <v>231</v>
      </c>
      <c r="G173" s="7"/>
      <c r="H173" s="19">
        <f t="shared" si="20"/>
        <v>10</v>
      </c>
      <c r="I173" s="7">
        <f t="shared" si="17"/>
        <v>0</v>
      </c>
      <c r="J173" s="7">
        <f>IFERROR(VLOOKUP(D173,Event_Master!B:E,4,FALSE),1)</f>
        <v>1.5</v>
      </c>
      <c r="K173" s="7">
        <f t="shared" si="18"/>
        <v>0</v>
      </c>
      <c r="L173" s="19">
        <f t="shared" si="19"/>
        <v>10</v>
      </c>
    </row>
    <row r="174" spans="1:12">
      <c r="A174" s="24" t="s">
        <v>232</v>
      </c>
      <c r="B174" s="17">
        <v>452057</v>
      </c>
      <c r="C174" s="18" t="str">
        <f>VLOOKUP(B174,Employee_Master!A:B,2,0)</f>
        <v xml:space="preserve">Sahil Thakur </v>
      </c>
      <c r="D174" s="7" t="s">
        <v>215</v>
      </c>
      <c r="E174" s="7" t="s">
        <v>231</v>
      </c>
      <c r="F174" s="7" t="s">
        <v>231</v>
      </c>
      <c r="G174" s="7"/>
      <c r="H174" s="19">
        <f t="shared" si="20"/>
        <v>10</v>
      </c>
      <c r="I174" s="7">
        <f t="shared" si="17"/>
        <v>0</v>
      </c>
      <c r="J174" s="7">
        <f>IFERROR(VLOOKUP(D174,Event_Master!B:E,4,FALSE),1)</f>
        <v>1.5</v>
      </c>
      <c r="K174" s="7">
        <f t="shared" si="18"/>
        <v>0</v>
      </c>
      <c r="L174" s="19">
        <f t="shared" si="19"/>
        <v>10</v>
      </c>
    </row>
    <row r="175" spans="1:12">
      <c r="A175" s="24" t="s">
        <v>232</v>
      </c>
      <c r="B175" s="17">
        <v>452799</v>
      </c>
      <c r="C175" s="18" t="str">
        <f>VLOOKUP(B175,Employee_Master!A:B,2,0)</f>
        <v>Manish Kukreti</v>
      </c>
      <c r="D175" s="7" t="s">
        <v>215</v>
      </c>
      <c r="E175" s="7" t="s">
        <v>231</v>
      </c>
      <c r="F175" s="7" t="s">
        <v>231</v>
      </c>
      <c r="G175" s="7"/>
      <c r="H175" s="19">
        <f t="shared" si="20"/>
        <v>10</v>
      </c>
      <c r="I175" s="7">
        <f t="shared" si="17"/>
        <v>0</v>
      </c>
      <c r="J175" s="7">
        <f>IFERROR(VLOOKUP(D175,Event_Master!B:E,4,FALSE),1)</f>
        <v>1.5</v>
      </c>
      <c r="K175" s="7">
        <f t="shared" si="18"/>
        <v>0</v>
      </c>
      <c r="L175" s="19">
        <f t="shared" si="19"/>
        <v>10</v>
      </c>
    </row>
    <row r="176" spans="1:12">
      <c r="A176" s="24" t="s">
        <v>232</v>
      </c>
      <c r="B176" s="17">
        <v>451609</v>
      </c>
      <c r="C176" s="18" t="str">
        <f>VLOOKUP(B176,Employee_Master!A:B,2,0)</f>
        <v>Vivek Kumar Yadav</v>
      </c>
      <c r="D176" s="7" t="s">
        <v>215</v>
      </c>
      <c r="E176" s="7" t="s">
        <v>231</v>
      </c>
      <c r="F176" s="7" t="s">
        <v>231</v>
      </c>
      <c r="G176" s="7"/>
      <c r="H176" s="19">
        <f t="shared" si="20"/>
        <v>10</v>
      </c>
      <c r="I176" s="7">
        <f t="shared" si="17"/>
        <v>0</v>
      </c>
      <c r="J176" s="7">
        <f>IFERROR(VLOOKUP(D176,Event_Master!B:E,4,FALSE),1)</f>
        <v>1.5</v>
      </c>
      <c r="K176" s="7">
        <f t="shared" si="18"/>
        <v>0</v>
      </c>
      <c r="L176" s="19">
        <f t="shared" si="19"/>
        <v>10</v>
      </c>
    </row>
    <row r="177" spans="1:12">
      <c r="A177" s="24" t="s">
        <v>232</v>
      </c>
      <c r="B177" s="17">
        <v>464871</v>
      </c>
      <c r="C177" s="18" t="str">
        <f>VLOOKUP(B177,Employee_Master!A:B,2,0)</f>
        <v>Mohit Sahu</v>
      </c>
      <c r="D177" s="7" t="s">
        <v>215</v>
      </c>
      <c r="E177" s="7" t="s">
        <v>231</v>
      </c>
      <c r="F177" s="7" t="s">
        <v>231</v>
      </c>
      <c r="G177" s="7"/>
      <c r="H177" s="19">
        <f t="shared" si="20"/>
        <v>10</v>
      </c>
      <c r="I177" s="7">
        <f t="shared" si="17"/>
        <v>0</v>
      </c>
      <c r="J177" s="7">
        <f>IFERROR(VLOOKUP(D177,Event_Master!B:E,4,FALSE),1)</f>
        <v>1.5</v>
      </c>
      <c r="K177" s="7">
        <f t="shared" si="18"/>
        <v>0</v>
      </c>
      <c r="L177" s="19">
        <f t="shared" si="19"/>
        <v>10</v>
      </c>
    </row>
    <row r="178" spans="1:12">
      <c r="A178" s="24" t="s">
        <v>232</v>
      </c>
      <c r="B178" s="17">
        <v>465254</v>
      </c>
      <c r="C178" s="18" t="str">
        <f>VLOOKUP(B178,Employee_Master!A:B,2,0)</f>
        <v>Narender Kumar</v>
      </c>
      <c r="D178" s="7" t="s">
        <v>215</v>
      </c>
      <c r="E178" s="7" t="s">
        <v>231</v>
      </c>
      <c r="F178" s="7" t="s">
        <v>231</v>
      </c>
      <c r="G178" s="7"/>
      <c r="H178" s="19">
        <f t="shared" si="20"/>
        <v>10</v>
      </c>
      <c r="I178" s="7">
        <f t="shared" si="17"/>
        <v>0</v>
      </c>
      <c r="J178" s="7">
        <f>IFERROR(VLOOKUP(D178,Event_Master!B:E,4,FALSE),1)</f>
        <v>1.5</v>
      </c>
      <c r="K178" s="7">
        <f t="shared" si="18"/>
        <v>0</v>
      </c>
      <c r="L178" s="19">
        <f t="shared" si="19"/>
        <v>10</v>
      </c>
    </row>
    <row r="179" spans="1:12">
      <c r="A179" s="24" t="s">
        <v>232</v>
      </c>
      <c r="B179" s="17">
        <v>452056</v>
      </c>
      <c r="C179" s="18" t="str">
        <f>VLOOKUP(B179,Employee_Master!A:B,2,0)</f>
        <v xml:space="preserve">Rupesh </v>
      </c>
      <c r="D179" s="7" t="s">
        <v>215</v>
      </c>
      <c r="E179" s="7" t="s">
        <v>231</v>
      </c>
      <c r="F179" s="7" t="s">
        <v>231</v>
      </c>
      <c r="G179" s="7" t="s">
        <v>219</v>
      </c>
      <c r="H179" s="19">
        <f t="shared" ref="H179:H210" si="21">IF(F179="Yes",10,0)</f>
        <v>10</v>
      </c>
      <c r="I179" s="7">
        <f t="shared" ref="I179:I210" si="22">IF(G179="Winner",100,IF(G179="Runner-up",70,IF(G179="2nd Runner-up",50,IF(G179="Semi",30,IF(G179="Quarter",20,0)))))</f>
        <v>50</v>
      </c>
      <c r="J179" s="7">
        <f>IFERROR(VLOOKUP(D179,Event_Master!B:E,4,FALSE),1)</f>
        <v>1.5</v>
      </c>
      <c r="K179" s="7">
        <f t="shared" ref="K179:K210" si="23">(I179*J179)</f>
        <v>75</v>
      </c>
      <c r="L179" s="19">
        <f t="shared" ref="L179:L210" si="24">K179+H179</f>
        <v>85</v>
      </c>
    </row>
    <row r="180" spans="1:12">
      <c r="A180" s="24" t="s">
        <v>232</v>
      </c>
      <c r="B180" s="17">
        <v>457157</v>
      </c>
      <c r="C180" s="18" t="str">
        <f>VLOOKUP(B180,Employee_Master!A:B,2,0)</f>
        <v>Sachin Kashyap</v>
      </c>
      <c r="D180" s="7" t="s">
        <v>215</v>
      </c>
      <c r="E180" s="7" t="s">
        <v>231</v>
      </c>
      <c r="F180" s="7" t="s">
        <v>231</v>
      </c>
      <c r="G180" s="7" t="s">
        <v>219</v>
      </c>
      <c r="H180" s="19">
        <f t="shared" si="21"/>
        <v>10</v>
      </c>
      <c r="I180" s="7">
        <f t="shared" si="22"/>
        <v>50</v>
      </c>
      <c r="J180" s="7">
        <f>IFERROR(VLOOKUP(D180,Event_Master!B:E,4,FALSE),1)</f>
        <v>1.5</v>
      </c>
      <c r="K180" s="7">
        <f t="shared" si="23"/>
        <v>75</v>
      </c>
      <c r="L180" s="19">
        <f t="shared" si="24"/>
        <v>85</v>
      </c>
    </row>
    <row r="181" spans="1:12">
      <c r="A181" s="24" t="s">
        <v>232</v>
      </c>
      <c r="B181" s="17">
        <v>722393</v>
      </c>
      <c r="C181" s="18" t="str">
        <f>VLOOKUP(B181,Employee_Master!A:B,2,0)</f>
        <v>Koteswara Devireddy</v>
      </c>
      <c r="D181" s="7" t="s">
        <v>215</v>
      </c>
      <c r="E181" s="7" t="s">
        <v>231</v>
      </c>
      <c r="F181" s="7" t="s">
        <v>231</v>
      </c>
      <c r="G181" s="7"/>
      <c r="H181" s="19">
        <f t="shared" si="21"/>
        <v>10</v>
      </c>
      <c r="I181" s="7">
        <f t="shared" si="22"/>
        <v>0</v>
      </c>
      <c r="J181" s="7">
        <f>IFERROR(VLOOKUP(D181,Event_Master!B:E,4,FALSE),1)</f>
        <v>1.5</v>
      </c>
      <c r="K181" s="7">
        <f t="shared" si="23"/>
        <v>0</v>
      </c>
      <c r="L181" s="19">
        <f t="shared" si="24"/>
        <v>10</v>
      </c>
    </row>
    <row r="182" spans="1:12">
      <c r="A182" s="24" t="s">
        <v>232</v>
      </c>
      <c r="B182" s="17">
        <v>416087</v>
      </c>
      <c r="C182" s="18" t="str">
        <f>VLOOKUP(B182,Employee_Master!A:B,2,0)</f>
        <v>Manoj Singh</v>
      </c>
      <c r="D182" s="7" t="s">
        <v>215</v>
      </c>
      <c r="E182" s="7" t="s">
        <v>231</v>
      </c>
      <c r="F182" s="7" t="s">
        <v>231</v>
      </c>
      <c r="G182" s="7"/>
      <c r="H182" s="19">
        <f t="shared" si="21"/>
        <v>10</v>
      </c>
      <c r="I182" s="7">
        <f t="shared" si="22"/>
        <v>0</v>
      </c>
      <c r="J182" s="7">
        <f>IFERROR(VLOOKUP(D182,Event_Master!B:E,4,FALSE),1)</f>
        <v>1.5</v>
      </c>
      <c r="K182" s="7">
        <f t="shared" si="23"/>
        <v>0</v>
      </c>
      <c r="L182" s="19">
        <f t="shared" si="24"/>
        <v>10</v>
      </c>
    </row>
    <row r="183" spans="1:12">
      <c r="A183" s="24" t="s">
        <v>232</v>
      </c>
      <c r="B183" s="17">
        <v>486309</v>
      </c>
      <c r="C183" s="18" t="str">
        <f>VLOOKUP(B183,Employee_Master!A:B,2,0)</f>
        <v>Ankit Bhatt</v>
      </c>
      <c r="D183" s="7" t="s">
        <v>215</v>
      </c>
      <c r="E183" s="7" t="s">
        <v>231</v>
      </c>
      <c r="F183" s="7" t="s">
        <v>231</v>
      </c>
      <c r="G183" s="7"/>
      <c r="H183" s="19">
        <f t="shared" si="21"/>
        <v>10</v>
      </c>
      <c r="I183" s="7">
        <f t="shared" si="22"/>
        <v>0</v>
      </c>
      <c r="J183" s="7">
        <f>IFERROR(VLOOKUP(D183,Event_Master!B:E,4,FALSE),1)</f>
        <v>1.5</v>
      </c>
      <c r="K183" s="7">
        <f t="shared" si="23"/>
        <v>0</v>
      </c>
      <c r="L183" s="19">
        <f t="shared" si="24"/>
        <v>10</v>
      </c>
    </row>
    <row r="184" spans="1:12">
      <c r="A184" s="24" t="s">
        <v>232</v>
      </c>
      <c r="B184" s="17">
        <v>457430</v>
      </c>
      <c r="C184" s="18" t="str">
        <f>VLOOKUP(B184,Employee_Master!A:B,2,0)</f>
        <v>Manish Kumar</v>
      </c>
      <c r="D184" s="7" t="s">
        <v>215</v>
      </c>
      <c r="E184" s="7" t="s">
        <v>231</v>
      </c>
      <c r="F184" s="7" t="s">
        <v>231</v>
      </c>
      <c r="G184" s="7"/>
      <c r="H184" s="19">
        <f t="shared" si="21"/>
        <v>10</v>
      </c>
      <c r="I184" s="7">
        <f t="shared" si="22"/>
        <v>0</v>
      </c>
      <c r="J184" s="7">
        <f>IFERROR(VLOOKUP(D184,Event_Master!B:E,4,FALSE),1)</f>
        <v>1.5</v>
      </c>
      <c r="K184" s="7">
        <f t="shared" si="23"/>
        <v>0</v>
      </c>
      <c r="L184" s="19">
        <f t="shared" si="24"/>
        <v>10</v>
      </c>
    </row>
    <row r="185" spans="1:12">
      <c r="A185" s="24" t="s">
        <v>232</v>
      </c>
      <c r="B185" s="17">
        <v>716610</v>
      </c>
      <c r="C185" s="18" t="str">
        <f>VLOOKUP(B185,Employee_Master!A:B,2,0)</f>
        <v>Naval Singh</v>
      </c>
      <c r="D185" s="7" t="s">
        <v>215</v>
      </c>
      <c r="E185" s="7" t="s">
        <v>231</v>
      </c>
      <c r="F185" s="7" t="s">
        <v>231</v>
      </c>
      <c r="G185" s="7" t="s">
        <v>219</v>
      </c>
      <c r="H185" s="19">
        <f t="shared" si="21"/>
        <v>10</v>
      </c>
      <c r="I185" s="7">
        <f t="shared" si="22"/>
        <v>50</v>
      </c>
      <c r="J185" s="7">
        <f>IFERROR(VLOOKUP(D185,Event_Master!B:E,4,FALSE),1)</f>
        <v>1.5</v>
      </c>
      <c r="K185" s="7">
        <f t="shared" si="23"/>
        <v>75</v>
      </c>
      <c r="L185" s="19">
        <f t="shared" si="24"/>
        <v>85</v>
      </c>
    </row>
    <row r="186" spans="1:12">
      <c r="A186" s="24" t="s">
        <v>232</v>
      </c>
      <c r="B186" s="17">
        <v>450228</v>
      </c>
      <c r="C186" s="18" t="str">
        <f>VLOOKUP(B186,Employee_Master!A:B,2,0)</f>
        <v>Shubham Sharma</v>
      </c>
      <c r="D186" s="7" t="s">
        <v>215</v>
      </c>
      <c r="E186" s="7" t="s">
        <v>231</v>
      </c>
      <c r="F186" s="7" t="s">
        <v>231</v>
      </c>
      <c r="G186" s="7"/>
      <c r="H186" s="19">
        <f t="shared" si="21"/>
        <v>10</v>
      </c>
      <c r="I186" s="7">
        <f t="shared" si="22"/>
        <v>0</v>
      </c>
      <c r="J186" s="7">
        <f>IFERROR(VLOOKUP(D186,Event_Master!B:E,4,FALSE),1)</f>
        <v>1.5</v>
      </c>
      <c r="K186" s="7">
        <f t="shared" si="23"/>
        <v>0</v>
      </c>
      <c r="L186" s="19">
        <f t="shared" si="24"/>
        <v>10</v>
      </c>
    </row>
    <row r="187" spans="1:12">
      <c r="A187" s="24" t="s">
        <v>232</v>
      </c>
      <c r="B187" s="17">
        <v>466367</v>
      </c>
      <c r="C187" s="18" t="str">
        <f>VLOOKUP(B187,Employee_Master!A:B,2,0)</f>
        <v>Arjun Sharma</v>
      </c>
      <c r="D187" s="7" t="s">
        <v>215</v>
      </c>
      <c r="E187" s="7" t="s">
        <v>231</v>
      </c>
      <c r="F187" s="7" t="s">
        <v>231</v>
      </c>
      <c r="G187" s="7"/>
      <c r="H187" s="19">
        <f t="shared" si="21"/>
        <v>10</v>
      </c>
      <c r="I187" s="7">
        <f t="shared" si="22"/>
        <v>0</v>
      </c>
      <c r="J187" s="7">
        <f>IFERROR(VLOOKUP(D187,Event_Master!B:E,4,FALSE),1)</f>
        <v>1.5</v>
      </c>
      <c r="K187" s="7">
        <f t="shared" si="23"/>
        <v>0</v>
      </c>
      <c r="L187" s="19">
        <f t="shared" si="24"/>
        <v>10</v>
      </c>
    </row>
    <row r="188" spans="1:12">
      <c r="A188" s="24" t="s">
        <v>232</v>
      </c>
      <c r="B188" s="17">
        <v>450224</v>
      </c>
      <c r="C188" s="18" t="str">
        <f>VLOOKUP(B188,Employee_Master!A:B,2,0)</f>
        <v>Lalit Nagar</v>
      </c>
      <c r="D188" s="7" t="s">
        <v>215</v>
      </c>
      <c r="E188" s="7" t="s">
        <v>231</v>
      </c>
      <c r="F188" s="7" t="s">
        <v>231</v>
      </c>
      <c r="G188" s="7"/>
      <c r="H188" s="19">
        <f t="shared" si="21"/>
        <v>10</v>
      </c>
      <c r="I188" s="7">
        <f t="shared" si="22"/>
        <v>0</v>
      </c>
      <c r="J188" s="7">
        <f>IFERROR(VLOOKUP(D188,Event_Master!B:E,4,FALSE),1)</f>
        <v>1.5</v>
      </c>
      <c r="K188" s="7">
        <f t="shared" si="23"/>
        <v>0</v>
      </c>
      <c r="L188" s="19">
        <f t="shared" si="24"/>
        <v>10</v>
      </c>
    </row>
    <row r="189" spans="1:12">
      <c r="A189" s="24" t="s">
        <v>232</v>
      </c>
      <c r="B189" s="17">
        <v>452121</v>
      </c>
      <c r="C189" s="18" t="str">
        <f>VLOOKUP(B189,Employee_Master!A:B,2,0)</f>
        <v>Nishi Singh</v>
      </c>
      <c r="D189" s="7" t="s">
        <v>215</v>
      </c>
      <c r="E189" s="7" t="s">
        <v>231</v>
      </c>
      <c r="F189" s="7" t="s">
        <v>231</v>
      </c>
      <c r="G189" s="7" t="s">
        <v>219</v>
      </c>
      <c r="H189" s="19">
        <f t="shared" si="21"/>
        <v>10</v>
      </c>
      <c r="I189" s="7">
        <f t="shared" si="22"/>
        <v>50</v>
      </c>
      <c r="J189" s="7">
        <f>IFERROR(VLOOKUP(D189,Event_Master!B:E,4,FALSE),1)</f>
        <v>1.5</v>
      </c>
      <c r="K189" s="7">
        <f t="shared" si="23"/>
        <v>75</v>
      </c>
      <c r="L189" s="19">
        <f t="shared" si="24"/>
        <v>85</v>
      </c>
    </row>
    <row r="190" spans="1:12">
      <c r="A190" s="24" t="s">
        <v>232</v>
      </c>
      <c r="B190" s="17">
        <v>450437</v>
      </c>
      <c r="C190" s="18" t="str">
        <f>VLOOKUP(B190,Employee_Master!A:B,2,0)</f>
        <v xml:space="preserve">Tinku Shekhawat </v>
      </c>
      <c r="D190" s="7" t="s">
        <v>215</v>
      </c>
      <c r="E190" s="7" t="s">
        <v>231</v>
      </c>
      <c r="F190" s="7" t="s">
        <v>231</v>
      </c>
      <c r="G190" s="7"/>
      <c r="H190" s="19">
        <f t="shared" si="21"/>
        <v>10</v>
      </c>
      <c r="I190" s="7">
        <f t="shared" si="22"/>
        <v>0</v>
      </c>
      <c r="J190" s="7">
        <f>IFERROR(VLOOKUP(D190,Event_Master!B:E,4,FALSE),1)</f>
        <v>1.5</v>
      </c>
      <c r="K190" s="7">
        <f t="shared" si="23"/>
        <v>0</v>
      </c>
      <c r="L190" s="19">
        <f t="shared" si="24"/>
        <v>10</v>
      </c>
    </row>
    <row r="191" spans="1:12">
      <c r="A191" s="24" t="s">
        <v>232</v>
      </c>
      <c r="B191" s="17">
        <v>452115</v>
      </c>
      <c r="C191" s="18" t="str">
        <f>VLOOKUP(B191,Employee_Master!A:B,2,0)</f>
        <v xml:space="preserve">Anshul Sharma </v>
      </c>
      <c r="D191" s="7" t="s">
        <v>215</v>
      </c>
      <c r="E191" s="7" t="s">
        <v>231</v>
      </c>
      <c r="F191" s="7" t="s">
        <v>231</v>
      </c>
      <c r="G191" s="7"/>
      <c r="H191" s="19">
        <f t="shared" si="21"/>
        <v>10</v>
      </c>
      <c r="I191" s="7">
        <f t="shared" si="22"/>
        <v>0</v>
      </c>
      <c r="J191" s="7">
        <f>IFERROR(VLOOKUP(D191,Event_Master!B:E,4,FALSE),1)</f>
        <v>1.5</v>
      </c>
      <c r="K191" s="7">
        <f t="shared" si="23"/>
        <v>0</v>
      </c>
      <c r="L191" s="19">
        <f t="shared" si="24"/>
        <v>10</v>
      </c>
    </row>
    <row r="192" spans="1:12">
      <c r="A192" s="24" t="s">
        <v>232</v>
      </c>
      <c r="B192" s="17">
        <v>451509</v>
      </c>
      <c r="C192" s="18" t="str">
        <f>VLOOKUP(B192,Employee_Master!A:B,2,0)</f>
        <v>Vivek Aswal</v>
      </c>
      <c r="D192" s="7" t="s">
        <v>215</v>
      </c>
      <c r="E192" s="7" t="s">
        <v>231</v>
      </c>
      <c r="F192" s="7" t="s">
        <v>231</v>
      </c>
      <c r="G192" s="7" t="s">
        <v>218</v>
      </c>
      <c r="H192" s="19">
        <f t="shared" si="21"/>
        <v>10</v>
      </c>
      <c r="I192" s="7">
        <f t="shared" si="22"/>
        <v>70</v>
      </c>
      <c r="J192" s="7">
        <f>IFERROR(VLOOKUP(D192,Event_Master!B:E,4,FALSE),1)</f>
        <v>1.5</v>
      </c>
      <c r="K192" s="7">
        <f t="shared" si="23"/>
        <v>105</v>
      </c>
      <c r="L192" s="19">
        <f t="shared" si="24"/>
        <v>115</v>
      </c>
    </row>
    <row r="193" spans="1:12">
      <c r="A193" s="24" t="s">
        <v>232</v>
      </c>
      <c r="B193" s="17">
        <v>452076</v>
      </c>
      <c r="C193" s="18" t="str">
        <f>VLOOKUP(B193,Employee_Master!A:B,2,0)</f>
        <v>Shraddha Singh</v>
      </c>
      <c r="D193" s="7" t="s">
        <v>215</v>
      </c>
      <c r="E193" s="7" t="s">
        <v>231</v>
      </c>
      <c r="F193" s="7" t="s">
        <v>231</v>
      </c>
      <c r="G193" s="7" t="s">
        <v>218</v>
      </c>
      <c r="H193" s="19">
        <f t="shared" si="21"/>
        <v>10</v>
      </c>
      <c r="I193" s="7">
        <f t="shared" si="22"/>
        <v>70</v>
      </c>
      <c r="J193" s="7">
        <f>IFERROR(VLOOKUP(D193,Event_Master!B:E,4,FALSE),1)</f>
        <v>1.5</v>
      </c>
      <c r="K193" s="7">
        <f t="shared" si="23"/>
        <v>105</v>
      </c>
      <c r="L193" s="19">
        <f t="shared" si="24"/>
        <v>115</v>
      </c>
    </row>
    <row r="194" spans="1:12">
      <c r="A194" s="24" t="s">
        <v>232</v>
      </c>
      <c r="B194" s="17">
        <v>420109</v>
      </c>
      <c r="C194" s="18" t="str">
        <f>VLOOKUP(B194,Employee_Master!A:B,2,0)</f>
        <v>Chandraprakash Nandwana</v>
      </c>
      <c r="D194" s="7" t="s">
        <v>215</v>
      </c>
      <c r="E194" s="7" t="s">
        <v>231</v>
      </c>
      <c r="F194" s="7" t="s">
        <v>231</v>
      </c>
      <c r="G194" s="7"/>
      <c r="H194" s="19">
        <f t="shared" si="21"/>
        <v>10</v>
      </c>
      <c r="I194" s="7">
        <f t="shared" si="22"/>
        <v>0</v>
      </c>
      <c r="J194" s="7">
        <f>IFERROR(VLOOKUP(D194,Event_Master!B:E,4,FALSE),1)</f>
        <v>1.5</v>
      </c>
      <c r="K194" s="7">
        <f t="shared" si="23"/>
        <v>0</v>
      </c>
      <c r="L194" s="19">
        <f t="shared" si="24"/>
        <v>10</v>
      </c>
    </row>
    <row r="195" spans="1:12">
      <c r="A195" s="24" t="s">
        <v>232</v>
      </c>
      <c r="B195" s="17">
        <v>450030</v>
      </c>
      <c r="C195" s="18" t="str">
        <f>VLOOKUP(B195,Employee_Master!A:B,2,0)</f>
        <v xml:space="preserve">Manish bisht </v>
      </c>
      <c r="D195" s="7" t="s">
        <v>215</v>
      </c>
      <c r="E195" s="7" t="s">
        <v>231</v>
      </c>
      <c r="F195" s="7" t="s">
        <v>231</v>
      </c>
      <c r="G195" s="7"/>
      <c r="H195" s="19">
        <f t="shared" si="21"/>
        <v>10</v>
      </c>
      <c r="I195" s="7">
        <f t="shared" si="22"/>
        <v>0</v>
      </c>
      <c r="J195" s="7">
        <f>IFERROR(VLOOKUP(D195,Event_Master!B:E,4,FALSE),1)</f>
        <v>1.5</v>
      </c>
      <c r="K195" s="7">
        <f t="shared" si="23"/>
        <v>0</v>
      </c>
      <c r="L195" s="19">
        <f t="shared" si="24"/>
        <v>10</v>
      </c>
    </row>
    <row r="196" spans="1:12">
      <c r="A196" s="24" t="s">
        <v>232</v>
      </c>
      <c r="B196" s="17">
        <v>365114</v>
      </c>
      <c r="C196" s="18" t="str">
        <f>VLOOKUP(B196,Employee_Master!A:B,2,0)</f>
        <v>Bhanu Sirohi</v>
      </c>
      <c r="D196" s="7" t="s">
        <v>215</v>
      </c>
      <c r="E196" s="7" t="s">
        <v>231</v>
      </c>
      <c r="F196" s="7" t="s">
        <v>231</v>
      </c>
      <c r="G196" s="7"/>
      <c r="H196" s="19">
        <f t="shared" si="21"/>
        <v>10</v>
      </c>
      <c r="I196" s="7">
        <f t="shared" si="22"/>
        <v>0</v>
      </c>
      <c r="J196" s="7">
        <f>IFERROR(VLOOKUP(D196,Event_Master!B:E,4,FALSE),1)</f>
        <v>1.5</v>
      </c>
      <c r="K196" s="7">
        <f t="shared" si="23"/>
        <v>0</v>
      </c>
      <c r="L196" s="19">
        <f t="shared" si="24"/>
        <v>10</v>
      </c>
    </row>
    <row r="197" spans="1:12">
      <c r="A197" s="24" t="s">
        <v>232</v>
      </c>
      <c r="B197" s="17">
        <v>468660</v>
      </c>
      <c r="C197" s="18" t="str">
        <f>VLOOKUP(B197,Employee_Master!A:B,2,0)</f>
        <v>Samay Raj</v>
      </c>
      <c r="D197" s="7" t="s">
        <v>215</v>
      </c>
      <c r="E197" s="7" t="s">
        <v>231</v>
      </c>
      <c r="F197" s="7" t="s">
        <v>231</v>
      </c>
      <c r="G197" s="7"/>
      <c r="H197" s="19">
        <f t="shared" si="21"/>
        <v>10</v>
      </c>
      <c r="I197" s="7">
        <f t="shared" si="22"/>
        <v>0</v>
      </c>
      <c r="J197" s="7">
        <f>IFERROR(VLOOKUP(D197,Event_Master!B:E,4,FALSE),1)</f>
        <v>1.5</v>
      </c>
      <c r="K197" s="7">
        <f t="shared" si="23"/>
        <v>0</v>
      </c>
      <c r="L197" s="19">
        <f t="shared" si="24"/>
        <v>10</v>
      </c>
    </row>
    <row r="198" spans="1:12">
      <c r="A198" s="24" t="s">
        <v>232</v>
      </c>
      <c r="B198" s="17">
        <v>430977</v>
      </c>
      <c r="C198" s="18" t="str">
        <f>VLOOKUP(B198,Employee_Master!A:B,2,0)</f>
        <v>Akshit Sood</v>
      </c>
      <c r="D198" s="7" t="s">
        <v>215</v>
      </c>
      <c r="E198" s="7" t="s">
        <v>231</v>
      </c>
      <c r="F198" s="7" t="s">
        <v>231</v>
      </c>
      <c r="G198" s="7" t="s">
        <v>219</v>
      </c>
      <c r="H198" s="19">
        <f t="shared" si="21"/>
        <v>10</v>
      </c>
      <c r="I198" s="7">
        <f t="shared" si="22"/>
        <v>50</v>
      </c>
      <c r="J198" s="7">
        <f>IFERROR(VLOOKUP(D198,Event_Master!B:E,4,FALSE),1)</f>
        <v>1.5</v>
      </c>
      <c r="K198" s="7">
        <f t="shared" si="23"/>
        <v>75</v>
      </c>
      <c r="L198" s="19">
        <f t="shared" si="24"/>
        <v>85</v>
      </c>
    </row>
    <row r="199" spans="1:12">
      <c r="A199" s="24" t="s">
        <v>232</v>
      </c>
      <c r="B199" s="17">
        <v>396485</v>
      </c>
      <c r="C199" s="18" t="str">
        <f>VLOOKUP(B199,Employee_Master!A:B,2,0)</f>
        <v>Khushbir Singh</v>
      </c>
      <c r="D199" s="7" t="s">
        <v>215</v>
      </c>
      <c r="E199" s="7" t="s">
        <v>231</v>
      </c>
      <c r="F199" s="7" t="s">
        <v>231</v>
      </c>
      <c r="G199" s="7"/>
      <c r="H199" s="19">
        <f t="shared" si="21"/>
        <v>10</v>
      </c>
      <c r="I199" s="7">
        <f t="shared" si="22"/>
        <v>0</v>
      </c>
      <c r="J199" s="7">
        <f>IFERROR(VLOOKUP(D199,Event_Master!B:E,4,FALSE),1)</f>
        <v>1.5</v>
      </c>
      <c r="K199" s="7">
        <f t="shared" si="23"/>
        <v>0</v>
      </c>
      <c r="L199" s="19">
        <f t="shared" si="24"/>
        <v>10</v>
      </c>
    </row>
    <row r="200" spans="1:12">
      <c r="A200" s="24" t="s">
        <v>232</v>
      </c>
      <c r="B200" s="17">
        <v>426232</v>
      </c>
      <c r="C200" s="18" t="str">
        <f>VLOOKUP(B200,Employee_Master!A:B,2,0)</f>
        <v>Varish Hussain</v>
      </c>
      <c r="D200" s="7" t="s">
        <v>215</v>
      </c>
      <c r="E200" s="7" t="s">
        <v>231</v>
      </c>
      <c r="F200" s="7" t="s">
        <v>231</v>
      </c>
      <c r="G200" s="7"/>
      <c r="H200" s="19">
        <f t="shared" si="21"/>
        <v>10</v>
      </c>
      <c r="I200" s="7">
        <f t="shared" si="22"/>
        <v>0</v>
      </c>
      <c r="J200" s="7">
        <f>IFERROR(VLOOKUP(D200,Event_Master!B:E,4,FALSE),1)</f>
        <v>1.5</v>
      </c>
      <c r="K200" s="7">
        <f t="shared" si="23"/>
        <v>0</v>
      </c>
      <c r="L200" s="19">
        <f t="shared" si="24"/>
        <v>10</v>
      </c>
    </row>
    <row r="201" spans="1:12">
      <c r="A201" s="24" t="s">
        <v>232</v>
      </c>
      <c r="B201" s="17">
        <v>463833</v>
      </c>
      <c r="C201" s="18" t="str">
        <f>VLOOKUP(B201,Employee_Master!A:B,2,0)</f>
        <v>Kartik Shakya</v>
      </c>
      <c r="D201" s="7" t="s">
        <v>215</v>
      </c>
      <c r="E201" s="7" t="s">
        <v>231</v>
      </c>
      <c r="F201" s="7" t="s">
        <v>231</v>
      </c>
      <c r="G201" s="7"/>
      <c r="H201" s="19">
        <f t="shared" si="21"/>
        <v>10</v>
      </c>
      <c r="I201" s="7">
        <f t="shared" si="22"/>
        <v>0</v>
      </c>
      <c r="J201" s="7">
        <f>IFERROR(VLOOKUP(D201,Event_Master!B:E,4,FALSE),1)</f>
        <v>1.5</v>
      </c>
      <c r="K201" s="7">
        <f t="shared" si="23"/>
        <v>0</v>
      </c>
      <c r="L201" s="19">
        <f t="shared" si="24"/>
        <v>10</v>
      </c>
    </row>
    <row r="202" spans="1:12">
      <c r="A202" s="24" t="s">
        <v>232</v>
      </c>
      <c r="B202" s="17">
        <v>487107</v>
      </c>
      <c r="C202" s="18" t="str">
        <f>VLOOKUP(B202,Employee_Master!A:B,2,0)</f>
        <v>Manish Kr. Singh</v>
      </c>
      <c r="D202" s="7" t="s">
        <v>215</v>
      </c>
      <c r="E202" s="7" t="s">
        <v>231</v>
      </c>
      <c r="F202" s="7" t="s">
        <v>231</v>
      </c>
      <c r="G202" s="7"/>
      <c r="H202" s="19">
        <f t="shared" si="21"/>
        <v>10</v>
      </c>
      <c r="I202" s="7">
        <f t="shared" si="22"/>
        <v>0</v>
      </c>
      <c r="J202" s="7">
        <f>IFERROR(VLOOKUP(D202,Event_Master!B:E,4,FALSE),1)</f>
        <v>1.5</v>
      </c>
      <c r="K202" s="7">
        <f t="shared" si="23"/>
        <v>0</v>
      </c>
      <c r="L202" s="19">
        <f t="shared" si="24"/>
        <v>10</v>
      </c>
    </row>
    <row r="203" spans="1:12">
      <c r="A203" s="24" t="s">
        <v>232</v>
      </c>
      <c r="B203" s="17">
        <v>436468</v>
      </c>
      <c r="C203" s="18" t="str">
        <f>VLOOKUP(B203,Employee_Master!A:B,2,0)</f>
        <v>Karan Singh</v>
      </c>
      <c r="D203" s="7" t="s">
        <v>215</v>
      </c>
      <c r="E203" s="7" t="s">
        <v>231</v>
      </c>
      <c r="F203" s="7" t="s">
        <v>231</v>
      </c>
      <c r="G203" s="7"/>
      <c r="H203" s="19">
        <f t="shared" si="21"/>
        <v>10</v>
      </c>
      <c r="I203" s="7">
        <f t="shared" si="22"/>
        <v>0</v>
      </c>
      <c r="J203" s="7">
        <f>IFERROR(VLOOKUP(D203,Event_Master!B:E,4,FALSE),1)</f>
        <v>1.5</v>
      </c>
      <c r="K203" s="7">
        <f t="shared" si="23"/>
        <v>0</v>
      </c>
      <c r="L203" s="19">
        <f t="shared" si="24"/>
        <v>10</v>
      </c>
    </row>
    <row r="204" spans="1:12">
      <c r="A204" s="24" t="s">
        <v>232</v>
      </c>
      <c r="B204" s="17">
        <v>460764</v>
      </c>
      <c r="C204" s="18" t="str">
        <f>VLOOKUP(B204,Employee_Master!A:B,2,0)</f>
        <v>Himanshu Yadav</v>
      </c>
      <c r="D204" s="7" t="s">
        <v>215</v>
      </c>
      <c r="E204" s="7" t="s">
        <v>231</v>
      </c>
      <c r="F204" s="7" t="s">
        <v>231</v>
      </c>
      <c r="G204" s="7"/>
      <c r="H204" s="19">
        <f t="shared" si="21"/>
        <v>10</v>
      </c>
      <c r="I204" s="7">
        <f t="shared" si="22"/>
        <v>0</v>
      </c>
      <c r="J204" s="7">
        <f>IFERROR(VLOOKUP(D204,Event_Master!B:E,4,FALSE),1)</f>
        <v>1.5</v>
      </c>
      <c r="K204" s="7">
        <f t="shared" si="23"/>
        <v>0</v>
      </c>
      <c r="L204" s="19">
        <f t="shared" si="24"/>
        <v>10</v>
      </c>
    </row>
    <row r="205" spans="1:12">
      <c r="A205" s="24" t="s">
        <v>232</v>
      </c>
      <c r="B205" s="17">
        <v>700216</v>
      </c>
      <c r="C205" s="18" t="str">
        <f>VLOOKUP(B205,Employee_Master!A:B,2,0)</f>
        <v>Shivam Rani</v>
      </c>
      <c r="D205" s="7" t="s">
        <v>215</v>
      </c>
      <c r="E205" s="7" t="s">
        <v>231</v>
      </c>
      <c r="F205" s="7" t="s">
        <v>231</v>
      </c>
      <c r="G205" s="7" t="s">
        <v>218</v>
      </c>
      <c r="H205" s="19">
        <f t="shared" si="21"/>
        <v>10</v>
      </c>
      <c r="I205" s="7">
        <f t="shared" si="22"/>
        <v>70</v>
      </c>
      <c r="J205" s="7">
        <f>IFERROR(VLOOKUP(D205,Event_Master!B:E,4,FALSE),1)</f>
        <v>1.5</v>
      </c>
      <c r="K205" s="7">
        <f t="shared" si="23"/>
        <v>105</v>
      </c>
      <c r="L205" s="19">
        <f t="shared" si="24"/>
        <v>115</v>
      </c>
    </row>
    <row r="206" spans="1:12">
      <c r="A206" s="24" t="s">
        <v>232</v>
      </c>
      <c r="B206" s="17">
        <v>420533</v>
      </c>
      <c r="C206" s="18" t="str">
        <f>VLOOKUP(B206,Employee_Master!A:B,2,0)</f>
        <v>Gaurav Saxena</v>
      </c>
      <c r="D206" s="7" t="s">
        <v>215</v>
      </c>
      <c r="E206" s="7" t="s">
        <v>231</v>
      </c>
      <c r="F206" s="7" t="s">
        <v>231</v>
      </c>
      <c r="G206" s="7"/>
      <c r="H206" s="19">
        <f t="shared" si="21"/>
        <v>10</v>
      </c>
      <c r="I206" s="7">
        <f t="shared" si="22"/>
        <v>0</v>
      </c>
      <c r="J206" s="7">
        <f>IFERROR(VLOOKUP(D206,Event_Master!B:E,4,FALSE),1)</f>
        <v>1.5</v>
      </c>
      <c r="K206" s="7">
        <f t="shared" si="23"/>
        <v>0</v>
      </c>
      <c r="L206" s="19">
        <f t="shared" si="24"/>
        <v>10</v>
      </c>
    </row>
    <row r="207" spans="1:12">
      <c r="A207" s="24" t="s">
        <v>232</v>
      </c>
      <c r="B207" s="17">
        <v>708792</v>
      </c>
      <c r="C207" s="18" t="str">
        <f>VLOOKUP(B207,Employee_Master!A:B,2,0)</f>
        <v>Shubhanshu Pandey</v>
      </c>
      <c r="D207" s="7" t="s">
        <v>215</v>
      </c>
      <c r="E207" s="7" t="s">
        <v>231</v>
      </c>
      <c r="F207" s="7" t="s">
        <v>231</v>
      </c>
      <c r="G207" s="7"/>
      <c r="H207" s="19">
        <f t="shared" si="21"/>
        <v>10</v>
      </c>
      <c r="I207" s="7">
        <f t="shared" si="22"/>
        <v>0</v>
      </c>
      <c r="J207" s="7">
        <f>IFERROR(VLOOKUP(D207,Event_Master!B:E,4,FALSE),1)</f>
        <v>1.5</v>
      </c>
      <c r="K207" s="7">
        <f t="shared" si="23"/>
        <v>0</v>
      </c>
      <c r="L207" s="19">
        <f t="shared" si="24"/>
        <v>10</v>
      </c>
    </row>
    <row r="208" spans="1:12">
      <c r="A208" s="24" t="s">
        <v>232</v>
      </c>
      <c r="B208" s="17">
        <v>424332</v>
      </c>
      <c r="C208" s="18" t="str">
        <f>VLOOKUP(B208,Employee_Master!A:B,2,0)</f>
        <v>Naresh Kumar</v>
      </c>
      <c r="D208" s="7" t="s">
        <v>215</v>
      </c>
      <c r="E208" s="7" t="s">
        <v>231</v>
      </c>
      <c r="F208" s="7" t="s">
        <v>231</v>
      </c>
      <c r="G208" s="7"/>
      <c r="H208" s="19">
        <f t="shared" si="21"/>
        <v>10</v>
      </c>
      <c r="I208" s="7">
        <f t="shared" si="22"/>
        <v>0</v>
      </c>
      <c r="J208" s="7">
        <f>IFERROR(VLOOKUP(D208,Event_Master!B:E,4,FALSE),1)</f>
        <v>1.5</v>
      </c>
      <c r="K208" s="7">
        <f t="shared" si="23"/>
        <v>0</v>
      </c>
      <c r="L208" s="19">
        <f t="shared" si="24"/>
        <v>10</v>
      </c>
    </row>
    <row r="209" spans="1:12">
      <c r="A209" s="24" t="s">
        <v>232</v>
      </c>
      <c r="B209" s="17">
        <v>452073</v>
      </c>
      <c r="C209" s="18" t="str">
        <f>VLOOKUP(B209,Employee_Master!A:B,2,0)</f>
        <v xml:space="preserve">Aashish </v>
      </c>
      <c r="D209" s="7" t="s">
        <v>215</v>
      </c>
      <c r="E209" s="7" t="s">
        <v>231</v>
      </c>
      <c r="F209" s="7" t="s">
        <v>231</v>
      </c>
      <c r="G209" s="7"/>
      <c r="H209" s="19">
        <f t="shared" si="21"/>
        <v>10</v>
      </c>
      <c r="I209" s="7">
        <f t="shared" si="22"/>
        <v>0</v>
      </c>
      <c r="J209" s="7">
        <f>IFERROR(VLOOKUP(D209,Event_Master!B:E,4,FALSE),1)</f>
        <v>1.5</v>
      </c>
      <c r="K209" s="7">
        <f t="shared" si="23"/>
        <v>0</v>
      </c>
      <c r="L209" s="19">
        <f t="shared" si="24"/>
        <v>10</v>
      </c>
    </row>
    <row r="210" spans="1:12">
      <c r="A210" s="24" t="s">
        <v>232</v>
      </c>
      <c r="B210" s="17">
        <v>459464</v>
      </c>
      <c r="C210" s="18" t="str">
        <f>VLOOKUP(B210,Employee_Master!A:B,2,0)</f>
        <v>Manish Kumar Maury</v>
      </c>
      <c r="D210" s="7" t="s">
        <v>215</v>
      </c>
      <c r="E210" s="7" t="s">
        <v>231</v>
      </c>
      <c r="F210" s="7" t="s">
        <v>231</v>
      </c>
      <c r="G210" s="7"/>
      <c r="H210" s="19">
        <f t="shared" si="21"/>
        <v>10</v>
      </c>
      <c r="I210" s="7">
        <f t="shared" si="22"/>
        <v>0</v>
      </c>
      <c r="J210" s="7">
        <f>IFERROR(VLOOKUP(D210,Event_Master!B:E,4,FALSE),1)</f>
        <v>1.5</v>
      </c>
      <c r="K210" s="7">
        <f t="shared" si="23"/>
        <v>0</v>
      </c>
      <c r="L210" s="19">
        <f t="shared" si="24"/>
        <v>10</v>
      </c>
    </row>
    <row r="211" spans="1:12">
      <c r="A211" s="24" t="s">
        <v>232</v>
      </c>
      <c r="B211" s="17">
        <v>449890</v>
      </c>
      <c r="C211" s="18" t="str">
        <f>VLOOKUP(B211,Employee_Master!A:B,2,0)</f>
        <v xml:space="preserve">Ashish Baghel </v>
      </c>
      <c r="D211" s="7" t="s">
        <v>215</v>
      </c>
      <c r="E211" s="7" t="s">
        <v>231</v>
      </c>
      <c r="F211" s="7" t="s">
        <v>231</v>
      </c>
      <c r="G211" s="7"/>
      <c r="H211" s="19">
        <f t="shared" ref="H211:H232" si="25">IF(F211="Yes",10,0)</f>
        <v>10</v>
      </c>
      <c r="I211" s="7">
        <f t="shared" ref="I211:I232" si="26">IF(G211="Winner",100,IF(G211="Runner-up",70,IF(G211="2nd Runner-up",50,IF(G211="Semi",30,IF(G211="Quarter",20,0)))))</f>
        <v>0</v>
      </c>
      <c r="J211" s="7">
        <f>IFERROR(VLOOKUP(D211,Event_Master!B:E,4,FALSE),1)</f>
        <v>1.5</v>
      </c>
      <c r="K211" s="7">
        <f t="shared" ref="K211:K232" si="27">(I211*J211)</f>
        <v>0</v>
      </c>
      <c r="L211" s="19">
        <f t="shared" ref="L211:L232" si="28">K211+H211</f>
        <v>10</v>
      </c>
    </row>
    <row r="212" spans="1:12">
      <c r="A212" s="24" t="s">
        <v>232</v>
      </c>
      <c r="B212" s="17">
        <v>450256</v>
      </c>
      <c r="C212" s="18" t="str">
        <f>VLOOKUP(B212,Employee_Master!A:B,2,0)</f>
        <v>Jyotish  Patar</v>
      </c>
      <c r="D212" s="7" t="s">
        <v>215</v>
      </c>
      <c r="E212" s="7" t="s">
        <v>231</v>
      </c>
      <c r="F212" s="7" t="s">
        <v>231</v>
      </c>
      <c r="G212" s="7"/>
      <c r="H212" s="19">
        <f t="shared" si="25"/>
        <v>10</v>
      </c>
      <c r="I212" s="7">
        <f t="shared" si="26"/>
        <v>0</v>
      </c>
      <c r="J212" s="7">
        <f>IFERROR(VLOOKUP(D212,Event_Master!B:E,4,FALSE),1)</f>
        <v>1.5</v>
      </c>
      <c r="K212" s="7">
        <f t="shared" si="27"/>
        <v>0</v>
      </c>
      <c r="L212" s="19">
        <f t="shared" si="28"/>
        <v>10</v>
      </c>
    </row>
    <row r="213" spans="1:12">
      <c r="A213" s="24" t="s">
        <v>232</v>
      </c>
      <c r="B213" s="17">
        <v>438864</v>
      </c>
      <c r="C213" s="18" t="str">
        <f>VLOOKUP(B213,Employee_Master!A:B,2,0)</f>
        <v>Rajan Gupta</v>
      </c>
      <c r="D213" s="7" t="s">
        <v>215</v>
      </c>
      <c r="E213" s="7" t="s">
        <v>231</v>
      </c>
      <c r="F213" s="7" t="s">
        <v>231</v>
      </c>
      <c r="G213" s="7"/>
      <c r="H213" s="19">
        <f t="shared" si="25"/>
        <v>10</v>
      </c>
      <c r="I213" s="7">
        <f t="shared" si="26"/>
        <v>0</v>
      </c>
      <c r="J213" s="7">
        <f>IFERROR(VLOOKUP(D213,Event_Master!B:E,4,FALSE),1)</f>
        <v>1.5</v>
      </c>
      <c r="K213" s="7">
        <f t="shared" si="27"/>
        <v>0</v>
      </c>
      <c r="L213" s="19">
        <f t="shared" si="28"/>
        <v>10</v>
      </c>
    </row>
    <row r="214" spans="1:12">
      <c r="A214" s="24" t="s">
        <v>232</v>
      </c>
      <c r="B214" s="17">
        <v>438263</v>
      </c>
      <c r="C214" s="18" t="str">
        <f>VLOOKUP(B214,Employee_Master!A:B,2,0)</f>
        <v>Vikash Kumar</v>
      </c>
      <c r="D214" s="7" t="s">
        <v>215</v>
      </c>
      <c r="E214" s="7" t="s">
        <v>231</v>
      </c>
      <c r="F214" s="7" t="s">
        <v>231</v>
      </c>
      <c r="G214" s="7"/>
      <c r="H214" s="19">
        <f t="shared" si="25"/>
        <v>10</v>
      </c>
      <c r="I214" s="7">
        <f t="shared" si="26"/>
        <v>0</v>
      </c>
      <c r="J214" s="7">
        <f>IFERROR(VLOOKUP(D214,Event_Master!B:E,4,FALSE),1)</f>
        <v>1.5</v>
      </c>
      <c r="K214" s="7">
        <f t="shared" si="27"/>
        <v>0</v>
      </c>
      <c r="L214" s="19">
        <f t="shared" si="28"/>
        <v>10</v>
      </c>
    </row>
    <row r="215" spans="1:12">
      <c r="A215" s="24" t="s">
        <v>232</v>
      </c>
      <c r="B215" s="17">
        <v>467519</v>
      </c>
      <c r="C215" s="18" t="str">
        <f>VLOOKUP(B215,Employee_Master!A:B,2,0)</f>
        <v>Vivek Tiwari</v>
      </c>
      <c r="D215" s="7" t="s">
        <v>215</v>
      </c>
      <c r="E215" s="7" t="s">
        <v>231</v>
      </c>
      <c r="F215" s="7" t="s">
        <v>231</v>
      </c>
      <c r="G215" s="7"/>
      <c r="H215" s="19">
        <f t="shared" si="25"/>
        <v>10</v>
      </c>
      <c r="I215" s="7">
        <f t="shared" si="26"/>
        <v>0</v>
      </c>
      <c r="J215" s="7">
        <f>IFERROR(VLOOKUP(D215,Event_Master!B:E,4,FALSE),1)</f>
        <v>1.5</v>
      </c>
      <c r="K215" s="7">
        <f t="shared" si="27"/>
        <v>0</v>
      </c>
      <c r="L215" s="19">
        <f t="shared" si="28"/>
        <v>10</v>
      </c>
    </row>
    <row r="216" spans="1:12">
      <c r="A216" s="24" t="s">
        <v>232</v>
      </c>
      <c r="B216" s="17">
        <v>434518</v>
      </c>
      <c r="C216" s="18" t="str">
        <f>VLOOKUP(B216,Employee_Master!A:B,2,0)</f>
        <v>Maneesh Mohan</v>
      </c>
      <c r="D216" s="7" t="s">
        <v>215</v>
      </c>
      <c r="E216" s="7" t="s">
        <v>231</v>
      </c>
      <c r="F216" s="7" t="s">
        <v>231</v>
      </c>
      <c r="G216" s="7" t="s">
        <v>217</v>
      </c>
      <c r="H216" s="19">
        <f t="shared" si="25"/>
        <v>10</v>
      </c>
      <c r="I216" s="7">
        <f t="shared" si="26"/>
        <v>100</v>
      </c>
      <c r="J216" s="7">
        <f>IFERROR(VLOOKUP(D216,Event_Master!B:E,4,FALSE),1)</f>
        <v>1.5</v>
      </c>
      <c r="K216" s="7">
        <f t="shared" si="27"/>
        <v>150</v>
      </c>
      <c r="L216" s="19">
        <f t="shared" si="28"/>
        <v>160</v>
      </c>
    </row>
    <row r="217" spans="1:12">
      <c r="A217" s="24" t="s">
        <v>232</v>
      </c>
      <c r="B217" s="17">
        <v>484877</v>
      </c>
      <c r="C217" s="18" t="str">
        <f>VLOOKUP(B217,Employee_Master!A:B,2,0)</f>
        <v>Prashant Gupta</v>
      </c>
      <c r="D217" s="7" t="s">
        <v>215</v>
      </c>
      <c r="E217" s="7" t="s">
        <v>231</v>
      </c>
      <c r="F217" s="7" t="s">
        <v>231</v>
      </c>
      <c r="G217" s="7"/>
      <c r="H217" s="19">
        <f t="shared" si="25"/>
        <v>10</v>
      </c>
      <c r="I217" s="7">
        <f t="shared" si="26"/>
        <v>0</v>
      </c>
      <c r="J217" s="7">
        <f>IFERROR(VLOOKUP(D217,Event_Master!B:E,4,FALSE),1)</f>
        <v>1.5</v>
      </c>
      <c r="K217" s="7">
        <f t="shared" si="27"/>
        <v>0</v>
      </c>
      <c r="L217" s="19">
        <f t="shared" si="28"/>
        <v>10</v>
      </c>
    </row>
    <row r="218" spans="1:12">
      <c r="A218" s="24" t="s">
        <v>232</v>
      </c>
      <c r="B218" s="17">
        <v>705995</v>
      </c>
      <c r="C218" s="18" t="str">
        <f>VLOOKUP(B218,Employee_Master!A:B,2,0)</f>
        <v>Sahil.</v>
      </c>
      <c r="D218" s="7" t="s">
        <v>215</v>
      </c>
      <c r="E218" s="7" t="s">
        <v>231</v>
      </c>
      <c r="F218" s="7" t="s">
        <v>231</v>
      </c>
      <c r="G218" s="7"/>
      <c r="H218" s="19">
        <f t="shared" si="25"/>
        <v>10</v>
      </c>
      <c r="I218" s="7">
        <f t="shared" si="26"/>
        <v>0</v>
      </c>
      <c r="J218" s="7">
        <f>IFERROR(VLOOKUP(D218,Event_Master!B:E,4,FALSE),1)</f>
        <v>1.5</v>
      </c>
      <c r="K218" s="7">
        <f t="shared" si="27"/>
        <v>0</v>
      </c>
      <c r="L218" s="19">
        <f t="shared" si="28"/>
        <v>10</v>
      </c>
    </row>
    <row r="219" spans="1:12">
      <c r="A219" s="24" t="s">
        <v>232</v>
      </c>
      <c r="B219" s="17">
        <v>460812</v>
      </c>
      <c r="C219" s="18" t="str">
        <f>VLOOKUP(B219,Employee_Master!A:B,2,0)</f>
        <v>Deepak Sharma</v>
      </c>
      <c r="D219" s="7" t="s">
        <v>215</v>
      </c>
      <c r="E219" s="7" t="s">
        <v>231</v>
      </c>
      <c r="F219" s="7" t="s">
        <v>231</v>
      </c>
      <c r="G219" s="7"/>
      <c r="H219" s="19">
        <f t="shared" si="25"/>
        <v>10</v>
      </c>
      <c r="I219" s="7">
        <f t="shared" si="26"/>
        <v>0</v>
      </c>
      <c r="J219" s="7">
        <f>IFERROR(VLOOKUP(D219,Event_Master!B:E,4,FALSE),1)</f>
        <v>1.5</v>
      </c>
      <c r="K219" s="7">
        <f t="shared" si="27"/>
        <v>0</v>
      </c>
      <c r="L219" s="19">
        <f t="shared" si="28"/>
        <v>10</v>
      </c>
    </row>
    <row r="220" spans="1:12">
      <c r="A220" s="24" t="s">
        <v>232</v>
      </c>
      <c r="B220" s="17">
        <v>464500</v>
      </c>
      <c r="C220" s="18" t="str">
        <f>VLOOKUP(B220,Employee_Master!A:B,2,0)</f>
        <v>Dalip Sharma</v>
      </c>
      <c r="D220" s="7" t="s">
        <v>215</v>
      </c>
      <c r="E220" s="7" t="s">
        <v>231</v>
      </c>
      <c r="F220" s="7" t="s">
        <v>231</v>
      </c>
      <c r="G220" s="7"/>
      <c r="H220" s="19">
        <f t="shared" si="25"/>
        <v>10</v>
      </c>
      <c r="I220" s="7">
        <f t="shared" si="26"/>
        <v>0</v>
      </c>
      <c r="J220" s="7">
        <f>IFERROR(VLOOKUP(D220,Event_Master!B:E,4,FALSE),1)</f>
        <v>1.5</v>
      </c>
      <c r="K220" s="7">
        <f t="shared" si="27"/>
        <v>0</v>
      </c>
      <c r="L220" s="19">
        <f t="shared" si="28"/>
        <v>10</v>
      </c>
    </row>
    <row r="221" spans="1:12">
      <c r="A221" s="24" t="s">
        <v>232</v>
      </c>
      <c r="B221" s="17">
        <v>456091</v>
      </c>
      <c r="C221" s="18" t="str">
        <f>VLOOKUP(B221,Employee_Master!A:B,2,0)</f>
        <v>Abhinesh Pandey</v>
      </c>
      <c r="D221" s="7" t="s">
        <v>215</v>
      </c>
      <c r="E221" s="7" t="s">
        <v>231</v>
      </c>
      <c r="F221" s="7" t="s">
        <v>231</v>
      </c>
      <c r="G221" s="7"/>
      <c r="H221" s="19">
        <f t="shared" si="25"/>
        <v>10</v>
      </c>
      <c r="I221" s="7">
        <f t="shared" si="26"/>
        <v>0</v>
      </c>
      <c r="J221" s="7">
        <f>IFERROR(VLOOKUP(D221,Event_Master!B:E,4,FALSE),1)</f>
        <v>1.5</v>
      </c>
      <c r="K221" s="7">
        <f t="shared" si="27"/>
        <v>0</v>
      </c>
      <c r="L221" s="19">
        <f t="shared" si="28"/>
        <v>10</v>
      </c>
    </row>
    <row r="222" spans="1:12">
      <c r="A222" s="24" t="s">
        <v>232</v>
      </c>
      <c r="B222" s="17">
        <v>416828</v>
      </c>
      <c r="C222" s="18" t="str">
        <f>VLOOKUP(B222,Employee_Master!A:B,2,0)</f>
        <v>Keshav Dev</v>
      </c>
      <c r="D222" s="7" t="s">
        <v>215</v>
      </c>
      <c r="E222" s="7" t="s">
        <v>231</v>
      </c>
      <c r="F222" s="7" t="s">
        <v>231</v>
      </c>
      <c r="G222" s="7"/>
      <c r="H222" s="19">
        <f t="shared" si="25"/>
        <v>10</v>
      </c>
      <c r="I222" s="7">
        <f t="shared" si="26"/>
        <v>0</v>
      </c>
      <c r="J222" s="7">
        <f>IFERROR(VLOOKUP(D222,Event_Master!B:E,4,FALSE),1)</f>
        <v>1.5</v>
      </c>
      <c r="K222" s="7">
        <f t="shared" si="27"/>
        <v>0</v>
      </c>
      <c r="L222" s="19">
        <f t="shared" si="28"/>
        <v>10</v>
      </c>
    </row>
    <row r="223" spans="1:12">
      <c r="A223" s="24" t="s">
        <v>232</v>
      </c>
      <c r="B223" s="17">
        <v>449635</v>
      </c>
      <c r="C223" s="18" t="str">
        <f>VLOOKUP(B223,Employee_Master!A:B,2,0)</f>
        <v>Sushma Tiwari</v>
      </c>
      <c r="D223" s="7" t="s">
        <v>215</v>
      </c>
      <c r="E223" s="7" t="s">
        <v>231</v>
      </c>
      <c r="F223" s="7" t="s">
        <v>231</v>
      </c>
      <c r="G223" s="7"/>
      <c r="H223" s="19">
        <f t="shared" si="25"/>
        <v>10</v>
      </c>
      <c r="I223" s="7">
        <f t="shared" si="26"/>
        <v>0</v>
      </c>
      <c r="J223" s="7">
        <f>IFERROR(VLOOKUP(D223,Event_Master!B:E,4,FALSE),1)</f>
        <v>1.5</v>
      </c>
      <c r="K223" s="7">
        <f t="shared" si="27"/>
        <v>0</v>
      </c>
      <c r="L223" s="19">
        <f t="shared" si="28"/>
        <v>10</v>
      </c>
    </row>
    <row r="224" spans="1:12">
      <c r="A224" s="24" t="s">
        <v>232</v>
      </c>
      <c r="B224" s="17">
        <v>458702</v>
      </c>
      <c r="C224" s="18" t="str">
        <f>VLOOKUP(B224,Employee_Master!A:B,2,0)</f>
        <v>Jasbeer Singh</v>
      </c>
      <c r="D224" s="7" t="s">
        <v>215</v>
      </c>
      <c r="E224" s="7" t="s">
        <v>231</v>
      </c>
      <c r="F224" s="7" t="s">
        <v>231</v>
      </c>
      <c r="G224" s="7" t="s">
        <v>217</v>
      </c>
      <c r="H224" s="19">
        <f t="shared" si="25"/>
        <v>10</v>
      </c>
      <c r="I224" s="7">
        <f t="shared" si="26"/>
        <v>100</v>
      </c>
      <c r="J224" s="7">
        <f>IFERROR(VLOOKUP(D224,Event_Master!B:E,4,FALSE),1)</f>
        <v>1.5</v>
      </c>
      <c r="K224" s="7">
        <f t="shared" si="27"/>
        <v>150</v>
      </c>
      <c r="L224" s="19">
        <f t="shared" si="28"/>
        <v>160</v>
      </c>
    </row>
    <row r="225" spans="1:12">
      <c r="A225" s="24" t="s">
        <v>232</v>
      </c>
      <c r="B225" s="17">
        <v>474194</v>
      </c>
      <c r="C225" s="18" t="str">
        <f>VLOOKUP(B225,Employee_Master!A:B,2,0)</f>
        <v>Rohit Yadav</v>
      </c>
      <c r="D225" s="7" t="s">
        <v>215</v>
      </c>
      <c r="E225" s="7" t="s">
        <v>231</v>
      </c>
      <c r="F225" s="7" t="s">
        <v>231</v>
      </c>
      <c r="G225" s="7" t="s">
        <v>217</v>
      </c>
      <c r="H225" s="19">
        <f t="shared" si="25"/>
        <v>10</v>
      </c>
      <c r="I225" s="7">
        <f t="shared" si="26"/>
        <v>100</v>
      </c>
      <c r="J225" s="7">
        <f>IFERROR(VLOOKUP(D225,Event_Master!B:E,4,FALSE),1)</f>
        <v>1.5</v>
      </c>
      <c r="K225" s="7">
        <f t="shared" si="27"/>
        <v>150</v>
      </c>
      <c r="L225" s="19">
        <f t="shared" si="28"/>
        <v>160</v>
      </c>
    </row>
    <row r="226" spans="1:12">
      <c r="A226" s="24" t="s">
        <v>232</v>
      </c>
      <c r="B226" s="17">
        <v>438679</v>
      </c>
      <c r="C226" s="18" t="str">
        <f>VLOOKUP(B226,Employee_Master!A:B,2,0)</f>
        <v>Saurabh Kumar</v>
      </c>
      <c r="D226" s="7" t="s">
        <v>215</v>
      </c>
      <c r="E226" s="7" t="s">
        <v>231</v>
      </c>
      <c r="F226" s="7" t="s">
        <v>231</v>
      </c>
      <c r="G226" s="7" t="s">
        <v>217</v>
      </c>
      <c r="H226" s="19">
        <f t="shared" si="25"/>
        <v>10</v>
      </c>
      <c r="I226" s="7">
        <f t="shared" si="26"/>
        <v>100</v>
      </c>
      <c r="J226" s="7">
        <f>IFERROR(VLOOKUP(D226,Event_Master!B:E,4,FALSE),1)</f>
        <v>1.5</v>
      </c>
      <c r="K226" s="7">
        <f t="shared" si="27"/>
        <v>150</v>
      </c>
      <c r="L226" s="19">
        <f t="shared" si="28"/>
        <v>160</v>
      </c>
    </row>
    <row r="227" spans="1:12">
      <c r="A227" s="24" t="s">
        <v>232</v>
      </c>
      <c r="B227" s="17">
        <v>452118</v>
      </c>
      <c r="C227" s="18" t="str">
        <f>VLOOKUP(B227,Employee_Master!A:B,2,0)</f>
        <v>Riya Kumari</v>
      </c>
      <c r="D227" s="7" t="s">
        <v>215</v>
      </c>
      <c r="E227" s="7" t="s">
        <v>231</v>
      </c>
      <c r="F227" s="7" t="s">
        <v>231</v>
      </c>
      <c r="G227" s="7"/>
      <c r="H227" s="19">
        <f t="shared" si="25"/>
        <v>10</v>
      </c>
      <c r="I227" s="7">
        <f t="shared" si="26"/>
        <v>0</v>
      </c>
      <c r="J227" s="7">
        <f>IFERROR(VLOOKUP(D227,Event_Master!B:E,4,FALSE),1)</f>
        <v>1.5</v>
      </c>
      <c r="K227" s="7">
        <f t="shared" si="27"/>
        <v>0</v>
      </c>
      <c r="L227" s="19">
        <f t="shared" si="28"/>
        <v>10</v>
      </c>
    </row>
    <row r="228" spans="1:12">
      <c r="A228" s="24" t="s">
        <v>232</v>
      </c>
      <c r="B228" s="17">
        <v>452059</v>
      </c>
      <c r="C228" s="18" t="str">
        <f>VLOOKUP(B228,Employee_Master!A:B,2,0)</f>
        <v>Mahi Singh</v>
      </c>
      <c r="D228" s="7" t="s">
        <v>215</v>
      </c>
      <c r="E228" s="7" t="s">
        <v>231</v>
      </c>
      <c r="F228" s="7" t="s">
        <v>231</v>
      </c>
      <c r="G228" s="7"/>
      <c r="H228" s="19">
        <f t="shared" si="25"/>
        <v>10</v>
      </c>
      <c r="I228" s="7">
        <f t="shared" si="26"/>
        <v>0</v>
      </c>
      <c r="J228" s="7">
        <f>IFERROR(VLOOKUP(D228,Event_Master!B:E,4,FALSE),1)</f>
        <v>1.5</v>
      </c>
      <c r="K228" s="7">
        <f t="shared" si="27"/>
        <v>0</v>
      </c>
      <c r="L228" s="19">
        <f t="shared" si="28"/>
        <v>10</v>
      </c>
    </row>
    <row r="229" spans="1:12">
      <c r="A229" s="24" t="s">
        <v>232</v>
      </c>
      <c r="B229" s="17">
        <v>449891</v>
      </c>
      <c r="C229" s="18" t="str">
        <f>VLOOKUP(B229,Employee_Master!A:B,2,0)</f>
        <v>Komalpreet</v>
      </c>
      <c r="D229" s="7" t="s">
        <v>215</v>
      </c>
      <c r="E229" s="7" t="s">
        <v>231</v>
      </c>
      <c r="F229" s="7" t="s">
        <v>231</v>
      </c>
      <c r="G229" s="7"/>
      <c r="H229" s="19">
        <f t="shared" si="25"/>
        <v>10</v>
      </c>
      <c r="I229" s="7">
        <f t="shared" si="26"/>
        <v>0</v>
      </c>
      <c r="J229" s="7">
        <f>IFERROR(VLOOKUP(D229,Event_Master!B:E,4,FALSE),1)</f>
        <v>1.5</v>
      </c>
      <c r="K229" s="7">
        <f t="shared" si="27"/>
        <v>0</v>
      </c>
      <c r="L229" s="19">
        <f t="shared" si="28"/>
        <v>10</v>
      </c>
    </row>
    <row r="230" spans="1:12">
      <c r="A230" s="24" t="s">
        <v>232</v>
      </c>
      <c r="B230" s="17">
        <v>450230</v>
      </c>
      <c r="C230" s="18" t="str">
        <f>VLOOKUP(B230,Employee_Master!A:B,2,0)</f>
        <v>Aarti Gupta</v>
      </c>
      <c r="D230" s="7" t="s">
        <v>215</v>
      </c>
      <c r="E230" s="7" t="s">
        <v>231</v>
      </c>
      <c r="F230" s="7" t="s">
        <v>231</v>
      </c>
      <c r="G230" s="7"/>
      <c r="H230" s="19">
        <f t="shared" si="25"/>
        <v>10</v>
      </c>
      <c r="I230" s="7">
        <f t="shared" si="26"/>
        <v>0</v>
      </c>
      <c r="J230" s="7">
        <f>IFERROR(VLOOKUP(D230,Event_Master!B:E,4,FALSE),1)</f>
        <v>1.5</v>
      </c>
      <c r="K230" s="7">
        <f t="shared" si="27"/>
        <v>0</v>
      </c>
      <c r="L230" s="19">
        <f t="shared" si="28"/>
        <v>10</v>
      </c>
    </row>
    <row r="231" spans="1:12">
      <c r="A231" s="24" t="s">
        <v>232</v>
      </c>
      <c r="B231" s="17">
        <v>452075</v>
      </c>
      <c r="C231" s="18" t="str">
        <f>VLOOKUP(B231,Employee_Master!A:B,2,0)</f>
        <v>Mansi Yadav</v>
      </c>
      <c r="D231" s="7" t="s">
        <v>215</v>
      </c>
      <c r="E231" s="7" t="s">
        <v>231</v>
      </c>
      <c r="F231" s="7" t="s">
        <v>231</v>
      </c>
      <c r="G231" s="7"/>
      <c r="H231" s="19">
        <f t="shared" si="25"/>
        <v>10</v>
      </c>
      <c r="I231" s="7">
        <f t="shared" si="26"/>
        <v>0</v>
      </c>
      <c r="J231" s="7">
        <f>IFERROR(VLOOKUP(D231,Event_Master!B:E,4,FALSE),1)</f>
        <v>1.5</v>
      </c>
      <c r="K231" s="7">
        <f t="shared" si="27"/>
        <v>0</v>
      </c>
      <c r="L231" s="19">
        <f t="shared" si="28"/>
        <v>10</v>
      </c>
    </row>
    <row r="232" spans="1:12">
      <c r="A232" s="24" t="s">
        <v>232</v>
      </c>
      <c r="B232" s="17">
        <v>712428</v>
      </c>
      <c r="C232" s="18" t="str">
        <f>VLOOKUP(B232,Employee_Master!A:B,2,0)</f>
        <v>Akanksha Gangwar</v>
      </c>
      <c r="D232" s="7" t="s">
        <v>215</v>
      </c>
      <c r="E232" s="7" t="s">
        <v>231</v>
      </c>
      <c r="F232" s="7" t="s">
        <v>231</v>
      </c>
      <c r="G232" s="7" t="s">
        <v>217</v>
      </c>
      <c r="H232" s="19">
        <f t="shared" si="25"/>
        <v>10</v>
      </c>
      <c r="I232" s="7">
        <f t="shared" si="26"/>
        <v>100</v>
      </c>
      <c r="J232" s="7">
        <f>IFERROR(VLOOKUP(D232,Event_Master!B:E,4,FALSE),1)</f>
        <v>1.5</v>
      </c>
      <c r="K232" s="7">
        <f t="shared" si="27"/>
        <v>150</v>
      </c>
      <c r="L232" s="19">
        <f t="shared" si="28"/>
        <v>160</v>
      </c>
    </row>
    <row r="233" spans="1:12">
      <c r="A233" s="24" t="s">
        <v>232</v>
      </c>
      <c r="B233" s="17">
        <v>706181</v>
      </c>
      <c r="C233" s="18" t="str">
        <f>VLOOKUP(B233,Employee_Master!A:B,2,0)</f>
        <v>Sonam Kachhap</v>
      </c>
      <c r="D233" s="7" t="s">
        <v>215</v>
      </c>
      <c r="E233" s="7" t="s">
        <v>231</v>
      </c>
      <c r="F233" s="7" t="s">
        <v>231</v>
      </c>
      <c r="G233" s="7"/>
      <c r="H233" s="19">
        <f t="shared" ref="H233:H239" si="29">IF(F233="Yes",10,0)</f>
        <v>10</v>
      </c>
      <c r="I233" s="7">
        <f t="shared" ref="I233:I239" si="30">IF(G233="Winner",100,IF(G233="Runner-up",70,IF(G233="2nd Runner-up",50,IF(G233="Semi",30,IF(G233="Quarter",20,0)))))</f>
        <v>0</v>
      </c>
      <c r="J233" s="7">
        <f>IFERROR(VLOOKUP(D233,Event_Master!B:E,4,FALSE),1)</f>
        <v>1.5</v>
      </c>
      <c r="K233" s="7">
        <f t="shared" ref="K233:K239" si="31">(I233*J233)</f>
        <v>0</v>
      </c>
      <c r="L233" s="19">
        <f t="shared" ref="L233:L239" si="32">K233+H233</f>
        <v>10</v>
      </c>
    </row>
    <row r="234" spans="1:12">
      <c r="A234" s="24" t="s">
        <v>232</v>
      </c>
      <c r="B234" s="17">
        <v>466167</v>
      </c>
      <c r="C234" s="18" t="str">
        <f>VLOOKUP(B234,Employee_Master!A:B,2,0)</f>
        <v>Aishwarya Sharma</v>
      </c>
      <c r="D234" s="7" t="s">
        <v>215</v>
      </c>
      <c r="E234" s="7" t="s">
        <v>231</v>
      </c>
      <c r="F234" s="7" t="s">
        <v>231</v>
      </c>
      <c r="G234" s="7"/>
      <c r="H234" s="19">
        <f t="shared" si="29"/>
        <v>10</v>
      </c>
      <c r="I234" s="7">
        <f t="shared" si="30"/>
        <v>0</v>
      </c>
      <c r="J234" s="7">
        <f>IFERROR(VLOOKUP(D234,Event_Master!B:E,4,FALSE),1)</f>
        <v>1.5</v>
      </c>
      <c r="K234" s="7">
        <f t="shared" si="31"/>
        <v>0</v>
      </c>
      <c r="L234" s="19">
        <f t="shared" si="32"/>
        <v>10</v>
      </c>
    </row>
    <row r="235" spans="1:12">
      <c r="A235" s="24" t="s">
        <v>232</v>
      </c>
      <c r="B235" s="17">
        <v>452058</v>
      </c>
      <c r="C235" s="18" t="str">
        <f>VLOOKUP(B235,Employee_Master!A:B,2,0)</f>
        <v>Bhavya Gupta</v>
      </c>
      <c r="D235" s="7" t="s">
        <v>215</v>
      </c>
      <c r="E235" s="7" t="s">
        <v>231</v>
      </c>
      <c r="F235" s="7" t="s">
        <v>231</v>
      </c>
      <c r="G235" s="7"/>
      <c r="H235" s="19">
        <f t="shared" si="29"/>
        <v>10</v>
      </c>
      <c r="I235" s="7">
        <f t="shared" si="30"/>
        <v>0</v>
      </c>
      <c r="J235" s="7">
        <f>IFERROR(VLOOKUP(D235,Event_Master!B:E,4,FALSE),1)</f>
        <v>1.5</v>
      </c>
      <c r="K235" s="7">
        <f t="shared" si="31"/>
        <v>0</v>
      </c>
      <c r="L235" s="19">
        <f t="shared" si="32"/>
        <v>10</v>
      </c>
    </row>
    <row r="236" spans="1:12">
      <c r="A236" s="24" t="s">
        <v>232</v>
      </c>
      <c r="B236" s="17">
        <v>492857</v>
      </c>
      <c r="C236" s="18" t="str">
        <f>VLOOKUP(B236,Employee_Master!A:B,2,0)</f>
        <v>Arnima Thakur</v>
      </c>
      <c r="D236" s="7" t="s">
        <v>215</v>
      </c>
      <c r="E236" s="7" t="s">
        <v>231</v>
      </c>
      <c r="F236" s="7" t="s">
        <v>231</v>
      </c>
      <c r="G236" s="7"/>
      <c r="H236" s="19">
        <f t="shared" si="29"/>
        <v>10</v>
      </c>
      <c r="I236" s="7">
        <f t="shared" si="30"/>
        <v>0</v>
      </c>
      <c r="J236" s="7">
        <f>IFERROR(VLOOKUP(D236,Event_Master!B:E,4,FALSE),1)</f>
        <v>1.5</v>
      </c>
      <c r="K236" s="7">
        <f t="shared" si="31"/>
        <v>0</v>
      </c>
      <c r="L236" s="19">
        <f t="shared" si="32"/>
        <v>10</v>
      </c>
    </row>
    <row r="237" spans="1:12">
      <c r="A237" s="24" t="s">
        <v>232</v>
      </c>
      <c r="B237" s="17">
        <v>450694</v>
      </c>
      <c r="C237" s="18" t="str">
        <f>VLOOKUP(B237,Employee_Master!A:B,2,0)</f>
        <v>Kawaljot Kaur</v>
      </c>
      <c r="D237" s="7" t="s">
        <v>215</v>
      </c>
      <c r="E237" s="7" t="s">
        <v>231</v>
      </c>
      <c r="F237" s="7" t="s">
        <v>231</v>
      </c>
      <c r="G237" s="7"/>
      <c r="H237" s="19">
        <f t="shared" si="29"/>
        <v>10</v>
      </c>
      <c r="I237" s="7">
        <f t="shared" si="30"/>
        <v>0</v>
      </c>
      <c r="J237" s="7">
        <f>IFERROR(VLOOKUP(D237,Event_Master!B:E,4,FALSE),1)</f>
        <v>1.5</v>
      </c>
      <c r="K237" s="7">
        <f t="shared" si="31"/>
        <v>0</v>
      </c>
      <c r="L237" s="19">
        <f t="shared" si="32"/>
        <v>10</v>
      </c>
    </row>
    <row r="238" spans="1:12">
      <c r="A238" s="24" t="s">
        <v>232</v>
      </c>
      <c r="B238" s="17">
        <v>721899</v>
      </c>
      <c r="C238" s="18" t="str">
        <f>VLOOKUP(B238,Employee_Master!A:B,2,0)</f>
        <v>Khushboo Yadav</v>
      </c>
      <c r="D238" s="7" t="s">
        <v>215</v>
      </c>
      <c r="E238" s="7" t="s">
        <v>231</v>
      </c>
      <c r="F238" s="7" t="s">
        <v>231</v>
      </c>
      <c r="G238" s="7"/>
      <c r="H238" s="19">
        <f t="shared" si="29"/>
        <v>10</v>
      </c>
      <c r="I238" s="7">
        <f t="shared" si="30"/>
        <v>0</v>
      </c>
      <c r="J238" s="7">
        <f>IFERROR(VLOOKUP(D238,Event_Master!B:E,4,FALSE),1)</f>
        <v>1.5</v>
      </c>
      <c r="K238" s="7">
        <f t="shared" si="31"/>
        <v>0</v>
      </c>
      <c r="L238" s="19">
        <f t="shared" si="32"/>
        <v>10</v>
      </c>
    </row>
    <row r="239" spans="1:12">
      <c r="A239" s="24" t="s">
        <v>232</v>
      </c>
      <c r="B239" s="17">
        <v>721765</v>
      </c>
      <c r="C239" s="18" t="str">
        <f>VLOOKUP(B239,Employee_Master!A:B,2,0)</f>
        <v>Sneha .</v>
      </c>
      <c r="D239" s="7" t="s">
        <v>215</v>
      </c>
      <c r="E239" s="7" t="s">
        <v>231</v>
      </c>
      <c r="F239" s="7" t="s">
        <v>231</v>
      </c>
      <c r="G239" s="7"/>
      <c r="H239" s="19">
        <f t="shared" si="29"/>
        <v>10</v>
      </c>
      <c r="I239" s="7">
        <f t="shared" si="30"/>
        <v>0</v>
      </c>
      <c r="J239" s="7">
        <f>IFERROR(VLOOKUP(D239,Event_Master!B:E,4,FALSE),1)</f>
        <v>1.5</v>
      </c>
      <c r="K239" s="7">
        <f t="shared" si="31"/>
        <v>0</v>
      </c>
      <c r="L239" s="19">
        <f t="shared" si="32"/>
        <v>10</v>
      </c>
    </row>
    <row r="240" spans="1:12">
      <c r="A240" s="20">
        <v>46026</v>
      </c>
      <c r="B240" s="17">
        <v>478308</v>
      </c>
      <c r="C240" s="18" t="s">
        <v>233</v>
      </c>
      <c r="D240" s="7" t="s">
        <v>234</v>
      </c>
      <c r="E240" s="7" t="s">
        <v>231</v>
      </c>
      <c r="F240" s="7" t="s">
        <v>231</v>
      </c>
      <c r="G240" s="7"/>
      <c r="H240" s="19">
        <f t="shared" ref="H240:H265" si="33">IF(F240="Yes",10,0)</f>
        <v>10</v>
      </c>
      <c r="I240" s="7">
        <f t="shared" ref="I240:I280" si="34">IF(G240="Winner",100,IF(G240="Runner-up",70,IF(G240="2nd Runner-up",50,IF(G240="Semi",30,IF(G240="Quarter",20,0)))))</f>
        <v>0</v>
      </c>
      <c r="J240" s="7">
        <f>IFERROR(VLOOKUP(D240,Event_Master!B:E,4,FALSE),1)</f>
        <v>1</v>
      </c>
      <c r="K240" s="7">
        <f t="shared" ref="K240:K303" si="35">(I240*J240)</f>
        <v>0</v>
      </c>
      <c r="L240" s="19">
        <f t="shared" ref="L240:L303" si="36">K240+H240</f>
        <v>10</v>
      </c>
    </row>
    <row r="241" spans="1:12">
      <c r="A241" s="20">
        <v>46026</v>
      </c>
      <c r="B241" s="17">
        <v>452075</v>
      </c>
      <c r="C241" s="18" t="s">
        <v>235</v>
      </c>
      <c r="D241" s="7" t="s">
        <v>234</v>
      </c>
      <c r="E241" s="7" t="s">
        <v>231</v>
      </c>
      <c r="F241" s="7" t="s">
        <v>231</v>
      </c>
      <c r="G241" s="7"/>
      <c r="H241" s="19">
        <f t="shared" si="33"/>
        <v>10</v>
      </c>
      <c r="I241" s="7">
        <f t="shared" si="34"/>
        <v>0</v>
      </c>
      <c r="J241" s="7">
        <f>IFERROR(VLOOKUP(D241,Event_Master!B:E,4,FALSE),1)</f>
        <v>1</v>
      </c>
      <c r="K241" s="7">
        <f t="shared" si="35"/>
        <v>0</v>
      </c>
      <c r="L241" s="19">
        <f t="shared" si="36"/>
        <v>10</v>
      </c>
    </row>
    <row r="242" spans="1:12">
      <c r="A242" s="20">
        <v>46026</v>
      </c>
      <c r="B242" s="17">
        <v>440317</v>
      </c>
      <c r="C242" s="18" t="s">
        <v>29</v>
      </c>
      <c r="D242" s="7" t="s">
        <v>234</v>
      </c>
      <c r="E242" s="7" t="s">
        <v>231</v>
      </c>
      <c r="F242" s="7" t="s">
        <v>231</v>
      </c>
      <c r="G242" s="7"/>
      <c r="H242" s="19">
        <f t="shared" si="33"/>
        <v>10</v>
      </c>
      <c r="I242" s="7">
        <f t="shared" si="34"/>
        <v>0</v>
      </c>
      <c r="J242" s="7">
        <f>IFERROR(VLOOKUP(D242,Event_Master!B:E,4,FALSE),1)</f>
        <v>1</v>
      </c>
      <c r="K242" s="7">
        <f t="shared" si="35"/>
        <v>0</v>
      </c>
      <c r="L242" s="19">
        <f t="shared" si="36"/>
        <v>10</v>
      </c>
    </row>
    <row r="243" spans="1:12">
      <c r="A243" s="20">
        <v>46026</v>
      </c>
      <c r="B243" s="17">
        <v>446300</v>
      </c>
      <c r="C243" s="18" t="s">
        <v>148</v>
      </c>
      <c r="D243" s="7" t="s">
        <v>234</v>
      </c>
      <c r="E243" s="7" t="s">
        <v>231</v>
      </c>
      <c r="F243" s="7" t="s">
        <v>231</v>
      </c>
      <c r="G243" s="7"/>
      <c r="H243" s="19">
        <f t="shared" si="33"/>
        <v>10</v>
      </c>
      <c r="I243" s="7">
        <f t="shared" si="34"/>
        <v>0</v>
      </c>
      <c r="J243" s="7">
        <f>IFERROR(VLOOKUP(D243,Event_Master!B:E,4,FALSE),1)</f>
        <v>1</v>
      </c>
      <c r="K243" s="7">
        <f t="shared" si="35"/>
        <v>0</v>
      </c>
      <c r="L243" s="19">
        <f t="shared" si="36"/>
        <v>10</v>
      </c>
    </row>
    <row r="244" spans="1:12">
      <c r="A244" s="20">
        <v>46026</v>
      </c>
      <c r="B244" s="17">
        <v>722356</v>
      </c>
      <c r="C244" s="18" t="s">
        <v>236</v>
      </c>
      <c r="D244" s="7" t="s">
        <v>234</v>
      </c>
      <c r="E244" s="7" t="s">
        <v>231</v>
      </c>
      <c r="F244" s="7" t="s">
        <v>231</v>
      </c>
      <c r="G244" s="7"/>
      <c r="H244" s="19">
        <f t="shared" si="33"/>
        <v>10</v>
      </c>
      <c r="I244" s="7">
        <f t="shared" si="34"/>
        <v>0</v>
      </c>
      <c r="J244" s="7">
        <f>IFERROR(VLOOKUP(D244,Event_Master!B:E,4,FALSE),1)</f>
        <v>1</v>
      </c>
      <c r="K244" s="7">
        <f t="shared" si="35"/>
        <v>0</v>
      </c>
      <c r="L244" s="19">
        <f t="shared" si="36"/>
        <v>10</v>
      </c>
    </row>
    <row r="245" spans="1:12">
      <c r="A245" s="20">
        <v>46026</v>
      </c>
      <c r="B245" s="17">
        <v>716610</v>
      </c>
      <c r="C245" s="18" t="s">
        <v>237</v>
      </c>
      <c r="D245" s="7" t="s">
        <v>234</v>
      </c>
      <c r="E245" s="7" t="s">
        <v>231</v>
      </c>
      <c r="F245" s="7" t="s">
        <v>231</v>
      </c>
      <c r="G245" s="7"/>
      <c r="H245" s="19">
        <f t="shared" si="33"/>
        <v>10</v>
      </c>
      <c r="I245" s="7">
        <f t="shared" si="34"/>
        <v>0</v>
      </c>
      <c r="J245" s="7">
        <f>IFERROR(VLOOKUP(D245,Event_Master!B:E,4,FALSE),1)</f>
        <v>1</v>
      </c>
      <c r="K245" s="7">
        <f t="shared" si="35"/>
        <v>0</v>
      </c>
      <c r="L245" s="19">
        <f t="shared" si="36"/>
        <v>10</v>
      </c>
    </row>
    <row r="246" spans="1:12">
      <c r="A246" s="20">
        <v>46026</v>
      </c>
      <c r="B246" s="17">
        <v>445891</v>
      </c>
      <c r="C246" s="18" t="s">
        <v>143</v>
      </c>
      <c r="D246" s="7" t="s">
        <v>234</v>
      </c>
      <c r="E246" s="7" t="s">
        <v>231</v>
      </c>
      <c r="F246" s="7" t="s">
        <v>231</v>
      </c>
      <c r="G246" s="7"/>
      <c r="H246" s="19">
        <f t="shared" si="33"/>
        <v>10</v>
      </c>
      <c r="I246" s="7">
        <f t="shared" si="34"/>
        <v>0</v>
      </c>
      <c r="J246" s="7">
        <f>IFERROR(VLOOKUP(D246,Event_Master!B:E,4,FALSE),1)</f>
        <v>1</v>
      </c>
      <c r="K246" s="7">
        <f t="shared" si="35"/>
        <v>0</v>
      </c>
      <c r="L246" s="19">
        <f t="shared" si="36"/>
        <v>10</v>
      </c>
    </row>
    <row r="247" spans="1:12">
      <c r="A247" s="20">
        <v>46026</v>
      </c>
      <c r="B247" s="17">
        <v>412273</v>
      </c>
      <c r="C247" s="18" t="s">
        <v>113</v>
      </c>
      <c r="D247" s="7" t="s">
        <v>234</v>
      </c>
      <c r="E247" s="7" t="s">
        <v>231</v>
      </c>
      <c r="F247" s="7" t="s">
        <v>231</v>
      </c>
      <c r="G247" s="7"/>
      <c r="H247" s="19">
        <f t="shared" si="33"/>
        <v>10</v>
      </c>
      <c r="I247" s="7">
        <f t="shared" si="34"/>
        <v>0</v>
      </c>
      <c r="J247" s="7">
        <f>IFERROR(VLOOKUP(D247,Event_Master!B:E,4,FALSE),1)</f>
        <v>1</v>
      </c>
      <c r="K247" s="7">
        <f t="shared" si="35"/>
        <v>0</v>
      </c>
      <c r="L247" s="19">
        <f t="shared" si="36"/>
        <v>10</v>
      </c>
    </row>
    <row r="248" spans="1:12">
      <c r="A248" s="20">
        <v>46026</v>
      </c>
      <c r="B248" s="17">
        <v>467519</v>
      </c>
      <c r="C248" s="18" t="s">
        <v>80</v>
      </c>
      <c r="D248" s="7" t="s">
        <v>234</v>
      </c>
      <c r="E248" s="7" t="s">
        <v>231</v>
      </c>
      <c r="F248" s="7" t="s">
        <v>231</v>
      </c>
      <c r="G248" s="7"/>
      <c r="H248" s="19">
        <f t="shared" si="33"/>
        <v>10</v>
      </c>
      <c r="I248" s="7">
        <f t="shared" si="34"/>
        <v>0</v>
      </c>
      <c r="J248" s="7">
        <f>IFERROR(VLOOKUP(D248,Event_Master!B:E,4,FALSE),1)</f>
        <v>1</v>
      </c>
      <c r="K248" s="7">
        <f t="shared" si="35"/>
        <v>0</v>
      </c>
      <c r="L248" s="19">
        <f t="shared" si="36"/>
        <v>10</v>
      </c>
    </row>
    <row r="249" spans="1:12">
      <c r="A249" s="20">
        <v>46026</v>
      </c>
      <c r="B249" s="17">
        <v>365114</v>
      </c>
      <c r="C249" s="18" t="s">
        <v>54</v>
      </c>
      <c r="D249" s="7" t="s">
        <v>234</v>
      </c>
      <c r="E249" s="7" t="s">
        <v>231</v>
      </c>
      <c r="F249" s="7" t="s">
        <v>231</v>
      </c>
      <c r="G249" s="7"/>
      <c r="H249" s="19">
        <f t="shared" si="33"/>
        <v>10</v>
      </c>
      <c r="I249" s="7">
        <f t="shared" si="34"/>
        <v>0</v>
      </c>
      <c r="J249" s="7">
        <f>IFERROR(VLOOKUP(D249,Event_Master!B:E,4,FALSE),1)</f>
        <v>1</v>
      </c>
      <c r="K249" s="7">
        <f t="shared" si="35"/>
        <v>0</v>
      </c>
      <c r="L249" s="19">
        <f t="shared" si="36"/>
        <v>10</v>
      </c>
    </row>
    <row r="250" spans="1:12">
      <c r="A250" s="20">
        <v>46026</v>
      </c>
      <c r="B250" s="17">
        <v>723888</v>
      </c>
      <c r="C250" s="18" t="s">
        <v>81</v>
      </c>
      <c r="D250" s="7" t="s">
        <v>234</v>
      </c>
      <c r="E250" s="7" t="s">
        <v>231</v>
      </c>
      <c r="F250" s="7" t="s">
        <v>231</v>
      </c>
      <c r="G250" s="7"/>
      <c r="H250" s="19">
        <f t="shared" si="33"/>
        <v>10</v>
      </c>
      <c r="I250" s="7">
        <f t="shared" si="34"/>
        <v>0</v>
      </c>
      <c r="J250" s="7">
        <f>IFERROR(VLOOKUP(D250,Event_Master!B:E,4,FALSE),1)</f>
        <v>1</v>
      </c>
      <c r="K250" s="7">
        <f t="shared" si="35"/>
        <v>0</v>
      </c>
      <c r="L250" s="19">
        <f t="shared" si="36"/>
        <v>10</v>
      </c>
    </row>
    <row r="251" spans="1:12">
      <c r="A251" s="20">
        <v>46026</v>
      </c>
      <c r="B251" s="17">
        <v>451567</v>
      </c>
      <c r="C251" s="18" t="s">
        <v>238</v>
      </c>
      <c r="D251" s="7" t="s">
        <v>234</v>
      </c>
      <c r="E251" s="7" t="s">
        <v>231</v>
      </c>
      <c r="F251" s="7" t="s">
        <v>231</v>
      </c>
      <c r="G251" s="7"/>
      <c r="H251" s="19">
        <f t="shared" si="33"/>
        <v>10</v>
      </c>
      <c r="I251" s="7">
        <f t="shared" si="34"/>
        <v>0</v>
      </c>
      <c r="J251" s="7">
        <f>IFERROR(VLOOKUP(D251,Event_Master!B:E,4,FALSE),1)</f>
        <v>1</v>
      </c>
      <c r="K251" s="7">
        <f t="shared" si="35"/>
        <v>0</v>
      </c>
      <c r="L251" s="19">
        <f t="shared" si="36"/>
        <v>10</v>
      </c>
    </row>
    <row r="252" spans="1:12">
      <c r="A252" s="20">
        <v>46026</v>
      </c>
      <c r="B252" s="17">
        <v>420533</v>
      </c>
      <c r="C252" s="18" t="s">
        <v>131</v>
      </c>
      <c r="D252" s="7" t="s">
        <v>234</v>
      </c>
      <c r="E252" s="7" t="s">
        <v>231</v>
      </c>
      <c r="F252" s="7" t="s">
        <v>231</v>
      </c>
      <c r="G252" s="7"/>
      <c r="H252" s="19">
        <f t="shared" si="33"/>
        <v>10</v>
      </c>
      <c r="I252" s="7">
        <f t="shared" si="34"/>
        <v>0</v>
      </c>
      <c r="J252" s="7">
        <f>IFERROR(VLOOKUP(D252,Event_Master!B:E,4,FALSE),1)</f>
        <v>1</v>
      </c>
      <c r="K252" s="7">
        <f t="shared" si="35"/>
        <v>0</v>
      </c>
      <c r="L252" s="19">
        <f t="shared" si="36"/>
        <v>10</v>
      </c>
    </row>
    <row r="253" spans="1:12">
      <c r="A253" s="20">
        <v>46026</v>
      </c>
      <c r="B253" s="17">
        <v>408627</v>
      </c>
      <c r="C253" s="18" t="s">
        <v>92</v>
      </c>
      <c r="D253" s="7" t="s">
        <v>234</v>
      </c>
      <c r="E253" s="7" t="s">
        <v>231</v>
      </c>
      <c r="F253" s="7" t="s">
        <v>231</v>
      </c>
      <c r="G253" s="7"/>
      <c r="H253" s="19">
        <f t="shared" si="33"/>
        <v>10</v>
      </c>
      <c r="I253" s="7">
        <f t="shared" si="34"/>
        <v>0</v>
      </c>
      <c r="J253" s="7">
        <f>IFERROR(VLOOKUP(D253,Event_Master!B:E,4,FALSE),1)</f>
        <v>1</v>
      </c>
      <c r="K253" s="7">
        <f t="shared" si="35"/>
        <v>0</v>
      </c>
      <c r="L253" s="19">
        <f t="shared" si="36"/>
        <v>10</v>
      </c>
    </row>
    <row r="254" spans="1:12">
      <c r="A254" s="20">
        <v>46026</v>
      </c>
      <c r="B254" s="17">
        <v>435548</v>
      </c>
      <c r="C254" s="18" t="s">
        <v>56</v>
      </c>
      <c r="D254" s="7" t="s">
        <v>234</v>
      </c>
      <c r="E254" s="7" t="s">
        <v>231</v>
      </c>
      <c r="F254" s="7" t="s">
        <v>231</v>
      </c>
      <c r="G254" s="7"/>
      <c r="H254" s="19">
        <f t="shared" si="33"/>
        <v>10</v>
      </c>
      <c r="I254" s="7">
        <f t="shared" si="34"/>
        <v>0</v>
      </c>
      <c r="J254" s="7">
        <f>IFERROR(VLOOKUP(D254,Event_Master!B:E,4,FALSE),1)</f>
        <v>1</v>
      </c>
      <c r="K254" s="7">
        <f t="shared" si="35"/>
        <v>0</v>
      </c>
      <c r="L254" s="19">
        <f t="shared" si="36"/>
        <v>10</v>
      </c>
    </row>
    <row r="255" spans="1:12">
      <c r="A255" s="20">
        <v>46026</v>
      </c>
      <c r="B255" s="17">
        <v>464188</v>
      </c>
      <c r="C255" s="18" t="s">
        <v>59</v>
      </c>
      <c r="D255" s="7" t="s">
        <v>234</v>
      </c>
      <c r="E255" s="7" t="s">
        <v>231</v>
      </c>
      <c r="F255" s="7" t="s">
        <v>231</v>
      </c>
      <c r="G255" s="7"/>
      <c r="H255" s="19">
        <f t="shared" si="33"/>
        <v>10</v>
      </c>
      <c r="I255" s="7">
        <f t="shared" si="34"/>
        <v>0</v>
      </c>
      <c r="J255" s="7">
        <f>IFERROR(VLOOKUP(D255,Event_Master!B:E,4,FALSE),1)</f>
        <v>1</v>
      </c>
      <c r="K255" s="7">
        <f t="shared" si="35"/>
        <v>0</v>
      </c>
      <c r="L255" s="19">
        <f t="shared" si="36"/>
        <v>10</v>
      </c>
    </row>
    <row r="256" spans="1:12">
      <c r="A256" s="20">
        <v>46026</v>
      </c>
      <c r="B256" s="17">
        <v>708792</v>
      </c>
      <c r="C256" s="18" t="s">
        <v>75</v>
      </c>
      <c r="D256" s="7" t="s">
        <v>234</v>
      </c>
      <c r="E256" s="7" t="s">
        <v>231</v>
      </c>
      <c r="F256" s="7" t="s">
        <v>231</v>
      </c>
      <c r="G256" s="7"/>
      <c r="H256" s="19">
        <f t="shared" si="33"/>
        <v>10</v>
      </c>
      <c r="I256" s="7">
        <f t="shared" si="34"/>
        <v>0</v>
      </c>
      <c r="J256" s="7">
        <f>IFERROR(VLOOKUP(D256,Event_Master!B:E,4,FALSE),1)</f>
        <v>1</v>
      </c>
      <c r="K256" s="7">
        <f t="shared" si="35"/>
        <v>0</v>
      </c>
      <c r="L256" s="19">
        <f t="shared" si="36"/>
        <v>10</v>
      </c>
    </row>
    <row r="257" spans="1:12">
      <c r="A257" s="20">
        <v>46026</v>
      </c>
      <c r="B257" s="17">
        <v>427154</v>
      </c>
      <c r="C257" s="18" t="s">
        <v>37</v>
      </c>
      <c r="D257" s="7" t="s">
        <v>234</v>
      </c>
      <c r="E257" s="7" t="s">
        <v>231</v>
      </c>
      <c r="F257" s="7" t="s">
        <v>231</v>
      </c>
      <c r="G257" s="7"/>
      <c r="H257" s="19">
        <f t="shared" si="33"/>
        <v>10</v>
      </c>
      <c r="I257" s="7">
        <f t="shared" si="34"/>
        <v>0</v>
      </c>
      <c r="J257" s="7">
        <f>IFERROR(VLOOKUP(D257,Event_Master!B:E,4,FALSE),1)</f>
        <v>1</v>
      </c>
      <c r="K257" s="7">
        <f t="shared" si="35"/>
        <v>0</v>
      </c>
      <c r="L257" s="19">
        <f t="shared" si="36"/>
        <v>10</v>
      </c>
    </row>
    <row r="258" spans="1:12">
      <c r="A258" s="20">
        <v>46026</v>
      </c>
      <c r="B258" s="17">
        <v>720995</v>
      </c>
      <c r="C258" s="18" t="s">
        <v>115</v>
      </c>
      <c r="D258" s="7" t="s">
        <v>234</v>
      </c>
      <c r="E258" s="7" t="s">
        <v>231</v>
      </c>
      <c r="F258" s="7" t="s">
        <v>231</v>
      </c>
      <c r="G258" s="7"/>
      <c r="H258" s="19">
        <f t="shared" si="33"/>
        <v>10</v>
      </c>
      <c r="I258" s="7">
        <f t="shared" si="34"/>
        <v>0</v>
      </c>
      <c r="J258" s="7">
        <f>IFERROR(VLOOKUP(D258,Event_Master!B:E,4,FALSE),1)</f>
        <v>1</v>
      </c>
      <c r="K258" s="7">
        <f t="shared" si="35"/>
        <v>0</v>
      </c>
      <c r="L258" s="19">
        <f t="shared" si="36"/>
        <v>10</v>
      </c>
    </row>
    <row r="259" spans="1:12">
      <c r="A259" s="20">
        <v>46026</v>
      </c>
      <c r="B259" s="17">
        <v>492857</v>
      </c>
      <c r="C259" s="18" t="s">
        <v>164</v>
      </c>
      <c r="D259" s="7" t="s">
        <v>234</v>
      </c>
      <c r="E259" s="7" t="s">
        <v>231</v>
      </c>
      <c r="F259" s="7" t="s">
        <v>231</v>
      </c>
      <c r="G259" s="7"/>
      <c r="H259" s="19">
        <f t="shared" si="33"/>
        <v>10</v>
      </c>
      <c r="I259" s="7">
        <f t="shared" si="34"/>
        <v>0</v>
      </c>
      <c r="J259" s="7">
        <f>IFERROR(VLOOKUP(D259,Event_Master!B:E,4,FALSE),1)</f>
        <v>1</v>
      </c>
      <c r="K259" s="7">
        <f t="shared" si="35"/>
        <v>0</v>
      </c>
      <c r="L259" s="19">
        <f t="shared" si="36"/>
        <v>10</v>
      </c>
    </row>
    <row r="260" spans="1:12">
      <c r="A260" s="20">
        <v>46026</v>
      </c>
      <c r="B260" s="17">
        <v>464500</v>
      </c>
      <c r="C260" s="18" t="s">
        <v>165</v>
      </c>
      <c r="D260" s="7" t="s">
        <v>234</v>
      </c>
      <c r="E260" s="7" t="s">
        <v>231</v>
      </c>
      <c r="F260" s="7" t="s">
        <v>231</v>
      </c>
      <c r="G260" s="7"/>
      <c r="H260" s="19">
        <f t="shared" si="33"/>
        <v>10</v>
      </c>
      <c r="I260" s="7">
        <f t="shared" si="34"/>
        <v>0</v>
      </c>
      <c r="J260" s="7">
        <f>IFERROR(VLOOKUP(D260,Event_Master!B:E,4,FALSE),1)</f>
        <v>1</v>
      </c>
      <c r="K260" s="7">
        <f t="shared" si="35"/>
        <v>0</v>
      </c>
      <c r="L260" s="19">
        <f t="shared" si="36"/>
        <v>10</v>
      </c>
    </row>
    <row r="261" spans="1:12">
      <c r="A261" s="20">
        <v>46026</v>
      </c>
      <c r="B261" s="17">
        <v>437534</v>
      </c>
      <c r="C261" s="18" t="s">
        <v>95</v>
      </c>
      <c r="D261" s="7" t="s">
        <v>234</v>
      </c>
      <c r="E261" s="7" t="s">
        <v>231</v>
      </c>
      <c r="F261" s="7" t="s">
        <v>231</v>
      </c>
      <c r="G261" s="7"/>
      <c r="H261" s="19">
        <f t="shared" si="33"/>
        <v>10</v>
      </c>
      <c r="I261" s="7">
        <f t="shared" si="34"/>
        <v>0</v>
      </c>
      <c r="J261" s="7">
        <f>IFERROR(VLOOKUP(D261,Event_Master!B:E,4,FALSE),1)</f>
        <v>1</v>
      </c>
      <c r="K261" s="7">
        <f t="shared" si="35"/>
        <v>0</v>
      </c>
      <c r="L261" s="19">
        <f t="shared" si="36"/>
        <v>10</v>
      </c>
    </row>
    <row r="262" spans="1:12">
      <c r="A262" s="20">
        <v>46026</v>
      </c>
      <c r="B262" s="17">
        <v>722393</v>
      </c>
      <c r="C262" s="18" t="s">
        <v>156</v>
      </c>
      <c r="D262" s="7" t="s">
        <v>234</v>
      </c>
      <c r="E262" s="7" t="s">
        <v>231</v>
      </c>
      <c r="F262" s="7" t="s">
        <v>231</v>
      </c>
      <c r="G262" s="7"/>
      <c r="H262" s="19">
        <f t="shared" si="33"/>
        <v>10</v>
      </c>
      <c r="I262" s="7">
        <f t="shared" si="34"/>
        <v>0</v>
      </c>
      <c r="J262" s="7">
        <f>IFERROR(VLOOKUP(D262,Event_Master!B:E,4,FALSE),1)</f>
        <v>1</v>
      </c>
      <c r="K262" s="7">
        <f t="shared" si="35"/>
        <v>0</v>
      </c>
      <c r="L262" s="19">
        <f t="shared" si="36"/>
        <v>10</v>
      </c>
    </row>
    <row r="263" spans="1:12">
      <c r="A263" s="20">
        <v>46026</v>
      </c>
      <c r="B263" s="17">
        <v>466367</v>
      </c>
      <c r="C263" s="18" t="s">
        <v>239</v>
      </c>
      <c r="D263" s="7" t="s">
        <v>234</v>
      </c>
      <c r="E263" s="7" t="s">
        <v>231</v>
      </c>
      <c r="F263" s="7" t="s">
        <v>231</v>
      </c>
      <c r="G263" s="7"/>
      <c r="H263" s="19">
        <f t="shared" si="33"/>
        <v>10</v>
      </c>
      <c r="I263" s="7">
        <f t="shared" si="34"/>
        <v>0</v>
      </c>
      <c r="J263" s="7">
        <f>IFERROR(VLOOKUP(D263,Event_Master!B:E,4,FALSE),1)</f>
        <v>1</v>
      </c>
      <c r="K263" s="7">
        <f t="shared" si="35"/>
        <v>0</v>
      </c>
      <c r="L263" s="19">
        <f t="shared" si="36"/>
        <v>10</v>
      </c>
    </row>
    <row r="264" spans="1:12">
      <c r="A264" s="20">
        <v>46026</v>
      </c>
      <c r="B264" s="17">
        <v>478084</v>
      </c>
      <c r="C264" s="18" t="s">
        <v>240</v>
      </c>
      <c r="D264" s="7" t="s">
        <v>234</v>
      </c>
      <c r="E264" s="7" t="s">
        <v>231</v>
      </c>
      <c r="F264" s="7" t="s">
        <v>231</v>
      </c>
      <c r="G264" s="7"/>
      <c r="H264" s="19">
        <f t="shared" si="33"/>
        <v>10</v>
      </c>
      <c r="I264" s="7">
        <f t="shared" si="34"/>
        <v>0</v>
      </c>
      <c r="J264" s="7">
        <f>IFERROR(VLOOKUP(D264,Event_Master!B:E,4,FALSE),1)</f>
        <v>1</v>
      </c>
      <c r="K264" s="7">
        <f t="shared" si="35"/>
        <v>0</v>
      </c>
      <c r="L264" s="19">
        <f t="shared" si="36"/>
        <v>10</v>
      </c>
    </row>
    <row r="265" spans="1:12">
      <c r="A265" s="20">
        <v>46026</v>
      </c>
      <c r="B265" s="17">
        <v>466445</v>
      </c>
      <c r="C265" s="18" t="s">
        <v>241</v>
      </c>
      <c r="D265" s="7" t="s">
        <v>234</v>
      </c>
      <c r="E265" s="7" t="s">
        <v>231</v>
      </c>
      <c r="F265" s="7" t="s">
        <v>231</v>
      </c>
      <c r="G265" s="7"/>
      <c r="H265" s="19">
        <f t="shared" si="33"/>
        <v>10</v>
      </c>
      <c r="I265" s="7">
        <f t="shared" si="34"/>
        <v>0</v>
      </c>
      <c r="J265" s="7">
        <f>IFERROR(VLOOKUP(D265,Event_Master!B:E,4,FALSE),1)</f>
        <v>1</v>
      </c>
      <c r="K265" s="7">
        <f t="shared" si="35"/>
        <v>0</v>
      </c>
      <c r="L265" s="19">
        <f t="shared" si="36"/>
        <v>10</v>
      </c>
    </row>
    <row r="266" spans="1:12">
      <c r="A266" s="20">
        <v>46026</v>
      </c>
      <c r="B266" s="17">
        <v>460513</v>
      </c>
      <c r="C266" s="18" t="s">
        <v>91</v>
      </c>
      <c r="D266" s="7" t="s">
        <v>234</v>
      </c>
      <c r="E266" s="7" t="s">
        <v>231</v>
      </c>
      <c r="F266" s="7" t="s">
        <v>231</v>
      </c>
      <c r="G266" s="7"/>
      <c r="H266" s="19">
        <f t="shared" ref="H266:H329" si="37">IF(F266="Yes",10,0)</f>
        <v>10</v>
      </c>
      <c r="I266" s="7">
        <f t="shared" si="34"/>
        <v>0</v>
      </c>
      <c r="J266" s="7">
        <f>IFERROR(VLOOKUP(D266,Event_Master!B:E,4,FALSE),1)</f>
        <v>1</v>
      </c>
      <c r="K266" s="7">
        <f t="shared" si="35"/>
        <v>0</v>
      </c>
      <c r="L266" s="19">
        <f t="shared" si="36"/>
        <v>10</v>
      </c>
    </row>
    <row r="267" spans="1:12">
      <c r="A267" s="20">
        <v>46026</v>
      </c>
      <c r="B267" s="17">
        <v>722183</v>
      </c>
      <c r="C267" s="18" t="s">
        <v>242</v>
      </c>
      <c r="D267" s="7" t="s">
        <v>234</v>
      </c>
      <c r="E267" s="7" t="s">
        <v>231</v>
      </c>
      <c r="F267" s="7" t="s">
        <v>231</v>
      </c>
      <c r="G267" s="7"/>
      <c r="H267" s="19">
        <f t="shared" si="37"/>
        <v>10</v>
      </c>
      <c r="I267" s="7">
        <f t="shared" si="34"/>
        <v>0</v>
      </c>
      <c r="J267" s="7">
        <f>IFERROR(VLOOKUP(D267,Event_Master!B:E,4,FALSE),1)</f>
        <v>1</v>
      </c>
      <c r="K267" s="7">
        <f t="shared" si="35"/>
        <v>0</v>
      </c>
      <c r="L267" s="19">
        <f t="shared" si="36"/>
        <v>10</v>
      </c>
    </row>
    <row r="268" spans="1:12">
      <c r="A268" s="20">
        <v>46026</v>
      </c>
      <c r="B268" s="17">
        <v>458702</v>
      </c>
      <c r="C268" s="18" t="s">
        <v>132</v>
      </c>
      <c r="D268" s="7" t="s">
        <v>234</v>
      </c>
      <c r="E268" s="7" t="s">
        <v>231</v>
      </c>
      <c r="F268" s="7" t="s">
        <v>231</v>
      </c>
      <c r="G268" s="7"/>
      <c r="H268" s="19">
        <f t="shared" si="37"/>
        <v>10</v>
      </c>
      <c r="I268" s="7">
        <f t="shared" si="34"/>
        <v>0</v>
      </c>
      <c r="J268" s="7">
        <f>IFERROR(VLOOKUP(D268,Event_Master!B:E,4,FALSE),1)</f>
        <v>1</v>
      </c>
      <c r="K268" s="7">
        <f t="shared" si="35"/>
        <v>0</v>
      </c>
      <c r="L268" s="19">
        <f t="shared" si="36"/>
        <v>10</v>
      </c>
    </row>
    <row r="269" spans="1:12">
      <c r="A269" s="20">
        <v>46026</v>
      </c>
      <c r="B269" s="17">
        <v>710013</v>
      </c>
      <c r="C269" s="18" t="s">
        <v>243</v>
      </c>
      <c r="D269" s="7" t="s">
        <v>234</v>
      </c>
      <c r="E269" s="7" t="s">
        <v>231</v>
      </c>
      <c r="F269" s="7" t="s">
        <v>231</v>
      </c>
      <c r="G269" s="7"/>
      <c r="H269" s="19">
        <f t="shared" si="37"/>
        <v>10</v>
      </c>
      <c r="I269" s="7">
        <f t="shared" si="34"/>
        <v>0</v>
      </c>
      <c r="J269" s="7">
        <f>IFERROR(VLOOKUP(D269,Event_Master!B:E,4,FALSE),1)</f>
        <v>1</v>
      </c>
      <c r="K269" s="7">
        <f t="shared" si="35"/>
        <v>0</v>
      </c>
      <c r="L269" s="19">
        <f t="shared" si="36"/>
        <v>10</v>
      </c>
    </row>
    <row r="270" spans="1:12">
      <c r="A270" s="20">
        <v>46026</v>
      </c>
      <c r="B270" s="17">
        <v>396485</v>
      </c>
      <c r="C270" s="18" t="s">
        <v>135</v>
      </c>
      <c r="D270" s="7" t="s">
        <v>234</v>
      </c>
      <c r="E270" s="7" t="s">
        <v>231</v>
      </c>
      <c r="F270" s="7" t="s">
        <v>231</v>
      </c>
      <c r="G270" s="7"/>
      <c r="H270" s="19">
        <f t="shared" si="37"/>
        <v>10</v>
      </c>
      <c r="I270" s="7">
        <f t="shared" si="34"/>
        <v>0</v>
      </c>
      <c r="J270" s="7">
        <f>IFERROR(VLOOKUP(D270,Event_Master!B:E,4,FALSE),1)</f>
        <v>1</v>
      </c>
      <c r="K270" s="7">
        <f t="shared" si="35"/>
        <v>0</v>
      </c>
      <c r="L270" s="19">
        <f t="shared" si="36"/>
        <v>10</v>
      </c>
    </row>
    <row r="271" spans="1:12">
      <c r="A271" s="20">
        <v>46026</v>
      </c>
      <c r="B271" s="17">
        <v>476372</v>
      </c>
      <c r="C271" s="18" t="s">
        <v>244</v>
      </c>
      <c r="D271" s="7" t="s">
        <v>234</v>
      </c>
      <c r="E271" s="7" t="s">
        <v>231</v>
      </c>
      <c r="F271" s="7" t="s">
        <v>231</v>
      </c>
      <c r="G271" s="7"/>
      <c r="H271" s="19">
        <f t="shared" si="37"/>
        <v>10</v>
      </c>
      <c r="I271" s="7">
        <f t="shared" si="34"/>
        <v>0</v>
      </c>
      <c r="J271" s="7">
        <f>IFERROR(VLOOKUP(D271,Event_Master!B:E,4,FALSE),1)</f>
        <v>1</v>
      </c>
      <c r="K271" s="7">
        <f t="shared" si="35"/>
        <v>0</v>
      </c>
      <c r="L271" s="19">
        <f t="shared" si="36"/>
        <v>10</v>
      </c>
    </row>
    <row r="272" spans="1:12">
      <c r="A272" s="20">
        <v>46026</v>
      </c>
      <c r="B272" s="17">
        <v>450030</v>
      </c>
      <c r="C272" s="18" t="s">
        <v>245</v>
      </c>
      <c r="D272" s="7" t="s">
        <v>234</v>
      </c>
      <c r="E272" s="7" t="s">
        <v>231</v>
      </c>
      <c r="F272" s="7" t="s">
        <v>231</v>
      </c>
      <c r="G272" s="7"/>
      <c r="H272" s="19">
        <f t="shared" si="37"/>
        <v>10</v>
      </c>
      <c r="I272" s="7">
        <f t="shared" si="34"/>
        <v>0</v>
      </c>
      <c r="J272" s="7">
        <f>IFERROR(VLOOKUP(D272,Event_Master!B:E,4,FALSE),1)</f>
        <v>1</v>
      </c>
      <c r="K272" s="7">
        <f t="shared" si="35"/>
        <v>0</v>
      </c>
      <c r="L272" s="19">
        <f t="shared" si="36"/>
        <v>10</v>
      </c>
    </row>
    <row r="273" spans="1:12">
      <c r="A273" s="20">
        <v>46026</v>
      </c>
      <c r="B273" s="17">
        <v>458749</v>
      </c>
      <c r="C273" s="18" t="s">
        <v>246</v>
      </c>
      <c r="D273" s="7" t="s">
        <v>234</v>
      </c>
      <c r="E273" s="7" t="s">
        <v>231</v>
      </c>
      <c r="F273" s="7" t="s">
        <v>231</v>
      </c>
      <c r="G273" s="7"/>
      <c r="H273" s="19">
        <f t="shared" si="37"/>
        <v>10</v>
      </c>
      <c r="I273" s="7">
        <f t="shared" si="34"/>
        <v>0</v>
      </c>
      <c r="J273" s="7">
        <f>IFERROR(VLOOKUP(D273,Event_Master!B:E,4,FALSE),1)</f>
        <v>1</v>
      </c>
      <c r="K273" s="7">
        <f t="shared" si="35"/>
        <v>0</v>
      </c>
      <c r="L273" s="19">
        <f t="shared" si="36"/>
        <v>10</v>
      </c>
    </row>
    <row r="274" spans="1:12">
      <c r="A274" s="20">
        <v>46026</v>
      </c>
      <c r="B274" s="17">
        <v>440774</v>
      </c>
      <c r="C274" s="18" t="s">
        <v>64</v>
      </c>
      <c r="D274" s="7" t="s">
        <v>234</v>
      </c>
      <c r="E274" s="7" t="s">
        <v>231</v>
      </c>
      <c r="F274" s="7" t="s">
        <v>231</v>
      </c>
      <c r="G274" s="7"/>
      <c r="H274" s="19">
        <f t="shared" si="37"/>
        <v>10</v>
      </c>
      <c r="I274" s="7">
        <f t="shared" si="34"/>
        <v>0</v>
      </c>
      <c r="J274" s="7">
        <f>IFERROR(VLOOKUP(D274,Event_Master!B:E,4,FALSE),1)</f>
        <v>1</v>
      </c>
      <c r="K274" s="7">
        <f t="shared" si="35"/>
        <v>0</v>
      </c>
      <c r="L274" s="19">
        <f t="shared" si="36"/>
        <v>10</v>
      </c>
    </row>
    <row r="275" spans="1:12">
      <c r="A275" s="20">
        <v>46026</v>
      </c>
      <c r="B275" s="17">
        <v>464871</v>
      </c>
      <c r="C275" s="18" t="s">
        <v>27</v>
      </c>
      <c r="D275" s="7" t="s">
        <v>234</v>
      </c>
      <c r="E275" s="7" t="s">
        <v>231</v>
      </c>
      <c r="F275" s="7" t="s">
        <v>231</v>
      </c>
      <c r="G275" s="7"/>
      <c r="H275" s="19">
        <f t="shared" si="37"/>
        <v>10</v>
      </c>
      <c r="I275" s="7">
        <f t="shared" si="34"/>
        <v>0</v>
      </c>
      <c r="J275" s="7">
        <f>IFERROR(VLOOKUP(D275,Event_Master!B:E,4,FALSE),1)</f>
        <v>1</v>
      </c>
      <c r="K275" s="7">
        <f t="shared" si="35"/>
        <v>0</v>
      </c>
      <c r="L275" s="19">
        <f t="shared" si="36"/>
        <v>10</v>
      </c>
    </row>
    <row r="276" spans="1:12">
      <c r="A276" s="20">
        <v>46026</v>
      </c>
      <c r="B276" s="17">
        <v>722752</v>
      </c>
      <c r="C276" s="18" t="s">
        <v>84</v>
      </c>
      <c r="D276" s="7" t="s">
        <v>234</v>
      </c>
      <c r="E276" s="7" t="s">
        <v>231</v>
      </c>
      <c r="F276" s="7" t="s">
        <v>231</v>
      </c>
      <c r="G276" s="7"/>
      <c r="H276" s="19">
        <f t="shared" si="37"/>
        <v>10</v>
      </c>
      <c r="I276" s="7">
        <f t="shared" si="34"/>
        <v>0</v>
      </c>
      <c r="J276" s="7">
        <f>IFERROR(VLOOKUP(D276,Event_Master!B:E,4,FALSE),1)</f>
        <v>1</v>
      </c>
      <c r="K276" s="7">
        <f t="shared" si="35"/>
        <v>0</v>
      </c>
      <c r="L276" s="19">
        <f t="shared" si="36"/>
        <v>10</v>
      </c>
    </row>
    <row r="277" spans="1:12">
      <c r="A277" s="20">
        <v>46026</v>
      </c>
      <c r="B277" s="17">
        <v>707131</v>
      </c>
      <c r="C277" s="18" t="s">
        <v>67</v>
      </c>
      <c r="D277" s="7" t="s">
        <v>234</v>
      </c>
      <c r="E277" s="7" t="s">
        <v>231</v>
      </c>
      <c r="F277" s="7" t="s">
        <v>231</v>
      </c>
      <c r="G277" s="7"/>
      <c r="H277" s="19">
        <f t="shared" si="37"/>
        <v>10</v>
      </c>
      <c r="I277" s="7">
        <f t="shared" si="34"/>
        <v>0</v>
      </c>
      <c r="J277" s="7">
        <f>IFERROR(VLOOKUP(D277,Event_Master!B:E,4,FALSE),1)</f>
        <v>1</v>
      </c>
      <c r="K277" s="7">
        <f t="shared" si="35"/>
        <v>0</v>
      </c>
      <c r="L277" s="19">
        <f t="shared" si="36"/>
        <v>10</v>
      </c>
    </row>
    <row r="278" spans="1:12">
      <c r="A278" s="20">
        <v>46026</v>
      </c>
      <c r="B278" s="17">
        <v>447836</v>
      </c>
      <c r="C278" s="18" t="s">
        <v>69</v>
      </c>
      <c r="D278" s="7" t="s">
        <v>234</v>
      </c>
      <c r="E278" s="7" t="s">
        <v>231</v>
      </c>
      <c r="F278" s="7" t="s">
        <v>231</v>
      </c>
      <c r="G278" s="7"/>
      <c r="H278" s="19">
        <f t="shared" si="37"/>
        <v>10</v>
      </c>
      <c r="I278" s="7">
        <f t="shared" si="34"/>
        <v>0</v>
      </c>
      <c r="J278" s="7">
        <f>IFERROR(VLOOKUP(D278,Event_Master!B:E,4,FALSE),1)</f>
        <v>1</v>
      </c>
      <c r="K278" s="7">
        <f t="shared" si="35"/>
        <v>0</v>
      </c>
      <c r="L278" s="19">
        <f t="shared" si="36"/>
        <v>10</v>
      </c>
    </row>
    <row r="279" spans="1:12">
      <c r="A279" s="20">
        <v>46026</v>
      </c>
      <c r="B279" s="17">
        <v>474194</v>
      </c>
      <c r="C279" s="18" t="s">
        <v>70</v>
      </c>
      <c r="D279" s="7" t="s">
        <v>234</v>
      </c>
      <c r="E279" s="7" t="s">
        <v>231</v>
      </c>
      <c r="F279" s="7" t="s">
        <v>231</v>
      </c>
      <c r="G279" s="7"/>
      <c r="H279" s="19">
        <f t="shared" si="37"/>
        <v>10</v>
      </c>
      <c r="I279" s="7">
        <f t="shared" si="34"/>
        <v>0</v>
      </c>
      <c r="J279" s="7">
        <f>IFERROR(VLOOKUP(D279,Event_Master!B:E,4,FALSE),1)</f>
        <v>1</v>
      </c>
      <c r="K279" s="7">
        <f t="shared" si="35"/>
        <v>0</v>
      </c>
      <c r="L279" s="19">
        <f t="shared" si="36"/>
        <v>10</v>
      </c>
    </row>
    <row r="280" spans="1:12">
      <c r="A280" s="20">
        <v>46026</v>
      </c>
      <c r="B280" s="17">
        <v>432865</v>
      </c>
      <c r="C280" s="18" t="s">
        <v>38</v>
      </c>
      <c r="D280" s="7" t="s">
        <v>234</v>
      </c>
      <c r="E280" s="7" t="s">
        <v>231</v>
      </c>
      <c r="F280" s="7" t="s">
        <v>231</v>
      </c>
      <c r="G280" s="7"/>
      <c r="H280" s="19">
        <f t="shared" si="37"/>
        <v>10</v>
      </c>
      <c r="I280" s="7">
        <f t="shared" si="34"/>
        <v>0</v>
      </c>
      <c r="J280" s="7">
        <f>IFERROR(VLOOKUP(D280,Event_Master!B:E,4,FALSE),1)</f>
        <v>1</v>
      </c>
      <c r="K280" s="7">
        <f t="shared" si="35"/>
        <v>0</v>
      </c>
      <c r="L280" s="19">
        <f t="shared" si="36"/>
        <v>10</v>
      </c>
    </row>
    <row r="281" spans="1:12">
      <c r="A281" s="20">
        <v>46026</v>
      </c>
      <c r="B281" s="17">
        <v>457157</v>
      </c>
      <c r="C281" s="18" t="s">
        <v>247</v>
      </c>
      <c r="D281" s="7" t="s">
        <v>234</v>
      </c>
      <c r="E281" s="7" t="s">
        <v>231</v>
      </c>
      <c r="F281" s="7" t="s">
        <v>231</v>
      </c>
      <c r="G281" s="7"/>
      <c r="H281" s="19">
        <f t="shared" si="37"/>
        <v>10</v>
      </c>
      <c r="I281" s="7">
        <f t="shared" ref="I281:I344" si="38">IF(G281="Winner",100,IF(G281="Runner-up",70,IF(G281="2nd Runner-up",50,IF(G281="Semi",30,IF(G281="Quarter",20,0)))))</f>
        <v>0</v>
      </c>
      <c r="J281" s="7">
        <f>IFERROR(VLOOKUP(D281,Event_Master!B:E,4,FALSE),1)</f>
        <v>1</v>
      </c>
      <c r="K281" s="7">
        <f t="shared" si="35"/>
        <v>0</v>
      </c>
      <c r="L281" s="19">
        <f t="shared" si="36"/>
        <v>10</v>
      </c>
    </row>
    <row r="282" spans="1:12">
      <c r="A282" s="20">
        <v>46026</v>
      </c>
      <c r="B282" s="17">
        <v>472840</v>
      </c>
      <c r="C282" s="18" t="s">
        <v>181</v>
      </c>
      <c r="D282" s="7" t="s">
        <v>234</v>
      </c>
      <c r="E282" s="7" t="s">
        <v>231</v>
      </c>
      <c r="F282" s="7" t="s">
        <v>231</v>
      </c>
      <c r="G282" s="7"/>
      <c r="H282" s="19">
        <f t="shared" si="37"/>
        <v>10</v>
      </c>
      <c r="I282" s="7">
        <f t="shared" si="38"/>
        <v>0</v>
      </c>
      <c r="J282" s="7">
        <f>IFERROR(VLOOKUP(D282,Event_Master!B:E,4,FALSE),1)</f>
        <v>1</v>
      </c>
      <c r="K282" s="7">
        <f t="shared" si="35"/>
        <v>0</v>
      </c>
      <c r="L282" s="19">
        <f t="shared" si="36"/>
        <v>10</v>
      </c>
    </row>
    <row r="283" spans="1:12">
      <c r="A283" s="20">
        <v>46026</v>
      </c>
      <c r="B283" s="17">
        <v>449635</v>
      </c>
      <c r="C283" s="18" t="s">
        <v>182</v>
      </c>
      <c r="D283" s="7" t="s">
        <v>234</v>
      </c>
      <c r="E283" s="7" t="s">
        <v>231</v>
      </c>
      <c r="F283" s="7" t="s">
        <v>231</v>
      </c>
      <c r="G283" s="7"/>
      <c r="H283" s="19">
        <f t="shared" si="37"/>
        <v>10</v>
      </c>
      <c r="I283" s="7">
        <f t="shared" si="38"/>
        <v>0</v>
      </c>
      <c r="J283" s="7">
        <f>IFERROR(VLOOKUP(D283,Event_Master!B:E,4,FALSE),1)</f>
        <v>1</v>
      </c>
      <c r="K283" s="7">
        <f t="shared" si="35"/>
        <v>0</v>
      </c>
      <c r="L283" s="19">
        <f t="shared" si="36"/>
        <v>10</v>
      </c>
    </row>
    <row r="284" spans="1:12">
      <c r="A284" s="20">
        <v>46026</v>
      </c>
      <c r="B284" s="17">
        <v>467544</v>
      </c>
      <c r="C284" s="18" t="s">
        <v>78</v>
      </c>
      <c r="D284" s="7" t="s">
        <v>234</v>
      </c>
      <c r="E284" s="7" t="s">
        <v>231</v>
      </c>
      <c r="F284" s="7" t="s">
        <v>231</v>
      </c>
      <c r="G284" s="7"/>
      <c r="H284" s="19">
        <f t="shared" si="37"/>
        <v>10</v>
      </c>
      <c r="I284" s="7">
        <f t="shared" si="38"/>
        <v>0</v>
      </c>
      <c r="J284" s="7">
        <f>IFERROR(VLOOKUP(D284,Event_Master!B:E,4,FALSE),1)</f>
        <v>1</v>
      </c>
      <c r="K284" s="7">
        <f t="shared" si="35"/>
        <v>0</v>
      </c>
      <c r="L284" s="19">
        <f t="shared" si="36"/>
        <v>10</v>
      </c>
    </row>
    <row r="285" spans="1:12">
      <c r="A285" s="20">
        <v>46026</v>
      </c>
      <c r="B285" s="17">
        <v>722783</v>
      </c>
      <c r="C285" s="18" t="s">
        <v>83</v>
      </c>
      <c r="D285" s="7" t="s">
        <v>234</v>
      </c>
      <c r="E285" s="7" t="s">
        <v>231</v>
      </c>
      <c r="F285" s="7" t="s">
        <v>231</v>
      </c>
      <c r="G285" s="7"/>
      <c r="H285" s="19">
        <f t="shared" si="37"/>
        <v>10</v>
      </c>
      <c r="I285" s="7">
        <f t="shared" si="38"/>
        <v>0</v>
      </c>
      <c r="J285" s="7">
        <f>IFERROR(VLOOKUP(D285,Event_Master!B:E,4,FALSE),1)</f>
        <v>1</v>
      </c>
      <c r="K285" s="7">
        <f t="shared" si="35"/>
        <v>0</v>
      </c>
      <c r="L285" s="19">
        <f t="shared" si="36"/>
        <v>10</v>
      </c>
    </row>
    <row r="286" spans="1:12">
      <c r="A286" s="20">
        <v>46026</v>
      </c>
      <c r="B286" s="17">
        <v>452115</v>
      </c>
      <c r="C286" s="18" t="s">
        <v>248</v>
      </c>
      <c r="D286" s="7" t="s">
        <v>234</v>
      </c>
      <c r="E286" s="7" t="s">
        <v>231</v>
      </c>
      <c r="F286" s="7" t="s">
        <v>231</v>
      </c>
      <c r="G286" s="7"/>
      <c r="H286" s="19">
        <f t="shared" si="37"/>
        <v>10</v>
      </c>
      <c r="I286" s="7">
        <f t="shared" si="38"/>
        <v>0</v>
      </c>
      <c r="J286" s="7">
        <f>IFERROR(VLOOKUP(D286,Event_Master!B:E,4,FALSE),1)</f>
        <v>1</v>
      </c>
      <c r="K286" s="7">
        <f t="shared" si="35"/>
        <v>0</v>
      </c>
      <c r="L286" s="19">
        <f t="shared" si="36"/>
        <v>10</v>
      </c>
    </row>
    <row r="287" spans="1:12">
      <c r="A287" s="20">
        <v>46026</v>
      </c>
      <c r="B287" s="17">
        <v>467068</v>
      </c>
      <c r="C287" s="18" t="s">
        <v>249</v>
      </c>
      <c r="D287" s="7" t="s">
        <v>234</v>
      </c>
      <c r="E287" s="7" t="s">
        <v>231</v>
      </c>
      <c r="F287" s="7" t="s">
        <v>231</v>
      </c>
      <c r="G287" s="7"/>
      <c r="H287" s="19">
        <f t="shared" si="37"/>
        <v>10</v>
      </c>
      <c r="I287" s="7">
        <f t="shared" si="38"/>
        <v>0</v>
      </c>
      <c r="J287" s="7">
        <f>IFERROR(VLOOKUP(D287,Event_Master!B:E,4,FALSE),1)</f>
        <v>1</v>
      </c>
      <c r="K287" s="7">
        <f t="shared" si="35"/>
        <v>0</v>
      </c>
      <c r="L287" s="19">
        <f t="shared" si="36"/>
        <v>10</v>
      </c>
    </row>
    <row r="288" spans="1:12">
      <c r="A288" s="20">
        <v>46026</v>
      </c>
      <c r="B288" s="17">
        <v>452991</v>
      </c>
      <c r="C288" s="18" t="s">
        <v>250</v>
      </c>
      <c r="D288" s="7" t="s">
        <v>234</v>
      </c>
      <c r="E288" s="7" t="s">
        <v>231</v>
      </c>
      <c r="F288" s="7" t="s">
        <v>231</v>
      </c>
      <c r="G288" s="7"/>
      <c r="H288" s="19">
        <f t="shared" si="37"/>
        <v>10</v>
      </c>
      <c r="I288" s="7">
        <f t="shared" si="38"/>
        <v>0</v>
      </c>
      <c r="J288" s="7">
        <f>IFERROR(VLOOKUP(D288,Event_Master!B:E,4,FALSE),1)</f>
        <v>1</v>
      </c>
      <c r="K288" s="7">
        <f t="shared" si="35"/>
        <v>0</v>
      </c>
      <c r="L288" s="19">
        <f t="shared" si="36"/>
        <v>10</v>
      </c>
    </row>
    <row r="289" spans="1:12">
      <c r="A289" s="20">
        <v>46026</v>
      </c>
      <c r="B289" s="17">
        <v>463097</v>
      </c>
      <c r="C289" s="18" t="s">
        <v>55</v>
      </c>
      <c r="D289" s="7" t="s">
        <v>234</v>
      </c>
      <c r="E289" s="7" t="s">
        <v>231</v>
      </c>
      <c r="F289" s="7" t="s">
        <v>231</v>
      </c>
      <c r="G289" s="7"/>
      <c r="H289" s="19">
        <f t="shared" si="37"/>
        <v>10</v>
      </c>
      <c r="I289" s="7">
        <f t="shared" si="38"/>
        <v>0</v>
      </c>
      <c r="J289" s="7">
        <f>IFERROR(VLOOKUP(D289,Event_Master!B:E,4,FALSE),1)</f>
        <v>1</v>
      </c>
      <c r="K289" s="7">
        <f t="shared" si="35"/>
        <v>0</v>
      </c>
      <c r="L289" s="19">
        <f t="shared" si="36"/>
        <v>10</v>
      </c>
    </row>
    <row r="290" spans="1:12">
      <c r="A290" s="20">
        <v>46026</v>
      </c>
      <c r="B290" s="17">
        <v>464193</v>
      </c>
      <c r="C290" s="18" t="s">
        <v>21</v>
      </c>
      <c r="D290" s="7" t="s">
        <v>234</v>
      </c>
      <c r="E290" s="7" t="s">
        <v>231</v>
      </c>
      <c r="F290" s="7" t="s">
        <v>231</v>
      </c>
      <c r="G290" s="7"/>
      <c r="H290" s="19">
        <f t="shared" si="37"/>
        <v>10</v>
      </c>
      <c r="I290" s="7">
        <f t="shared" si="38"/>
        <v>0</v>
      </c>
      <c r="J290" s="7">
        <f>IFERROR(VLOOKUP(D290,Event_Master!B:E,4,FALSE),1)</f>
        <v>1</v>
      </c>
      <c r="K290" s="7">
        <f t="shared" si="35"/>
        <v>0</v>
      </c>
      <c r="L290" s="19">
        <f t="shared" si="36"/>
        <v>10</v>
      </c>
    </row>
    <row r="291" spans="1:12">
      <c r="A291" s="20">
        <v>46026</v>
      </c>
      <c r="B291" s="17">
        <v>465255</v>
      </c>
      <c r="C291" s="18" t="s">
        <v>251</v>
      </c>
      <c r="D291" s="7" t="s">
        <v>234</v>
      </c>
      <c r="E291" s="7" t="s">
        <v>231</v>
      </c>
      <c r="F291" s="7" t="s">
        <v>231</v>
      </c>
      <c r="G291" s="7"/>
      <c r="H291" s="19">
        <f t="shared" si="37"/>
        <v>10</v>
      </c>
      <c r="I291" s="7">
        <f t="shared" si="38"/>
        <v>0</v>
      </c>
      <c r="J291" s="7">
        <f>IFERROR(VLOOKUP(D291,Event_Master!B:E,4,FALSE),1)</f>
        <v>1</v>
      </c>
      <c r="K291" s="7">
        <f t="shared" si="35"/>
        <v>0</v>
      </c>
      <c r="L291" s="19">
        <f t="shared" si="36"/>
        <v>10</v>
      </c>
    </row>
    <row r="292" spans="1:12">
      <c r="A292" s="20">
        <v>46026</v>
      </c>
      <c r="B292" s="17">
        <v>453949</v>
      </c>
      <c r="C292" s="18" t="s">
        <v>105</v>
      </c>
      <c r="D292" s="7" t="s">
        <v>234</v>
      </c>
      <c r="E292" s="7" t="s">
        <v>231</v>
      </c>
      <c r="F292" s="7" t="s">
        <v>231</v>
      </c>
      <c r="G292" s="7"/>
      <c r="H292" s="19">
        <f t="shared" si="37"/>
        <v>10</v>
      </c>
      <c r="I292" s="7">
        <f t="shared" si="38"/>
        <v>0</v>
      </c>
      <c r="J292" s="7">
        <f>IFERROR(VLOOKUP(D292,Event_Master!B:E,4,FALSE),1)</f>
        <v>1</v>
      </c>
      <c r="K292" s="7">
        <f t="shared" si="35"/>
        <v>0</v>
      </c>
      <c r="L292" s="19">
        <f t="shared" si="36"/>
        <v>10</v>
      </c>
    </row>
    <row r="293" spans="1:12">
      <c r="A293" s="20">
        <v>46026</v>
      </c>
      <c r="B293" s="17">
        <v>722751</v>
      </c>
      <c r="C293" s="18" t="s">
        <v>46</v>
      </c>
      <c r="D293" s="7" t="s">
        <v>234</v>
      </c>
      <c r="E293" s="7" t="s">
        <v>231</v>
      </c>
      <c r="F293" s="7" t="s">
        <v>231</v>
      </c>
      <c r="G293" s="7"/>
      <c r="H293" s="19">
        <f t="shared" si="37"/>
        <v>10</v>
      </c>
      <c r="I293" s="7">
        <f t="shared" si="38"/>
        <v>0</v>
      </c>
      <c r="J293" s="7">
        <f>IFERROR(VLOOKUP(D293,Event_Master!B:E,4,FALSE),1)</f>
        <v>1</v>
      </c>
      <c r="K293" s="7">
        <f t="shared" si="35"/>
        <v>0</v>
      </c>
      <c r="L293" s="19">
        <f t="shared" si="36"/>
        <v>10</v>
      </c>
    </row>
    <row r="294" spans="1:12">
      <c r="A294" s="20">
        <v>46026</v>
      </c>
      <c r="B294" s="17">
        <v>472322</v>
      </c>
      <c r="C294" s="18" t="s">
        <v>252</v>
      </c>
      <c r="D294" s="7" t="s">
        <v>234</v>
      </c>
      <c r="E294" s="7" t="s">
        <v>231</v>
      </c>
      <c r="F294" s="7" t="s">
        <v>231</v>
      </c>
      <c r="G294" s="7"/>
      <c r="H294" s="19">
        <f t="shared" si="37"/>
        <v>10</v>
      </c>
      <c r="I294" s="7">
        <f t="shared" si="38"/>
        <v>0</v>
      </c>
      <c r="J294" s="7">
        <f>IFERROR(VLOOKUP(D294,Event_Master!B:E,4,FALSE),1)</f>
        <v>1</v>
      </c>
      <c r="K294" s="7">
        <f t="shared" si="35"/>
        <v>0</v>
      </c>
      <c r="L294" s="19">
        <f t="shared" si="36"/>
        <v>10</v>
      </c>
    </row>
    <row r="295" spans="1:12">
      <c r="A295" s="20">
        <v>46026</v>
      </c>
      <c r="B295" s="17">
        <v>450228</v>
      </c>
      <c r="C295" s="18" t="s">
        <v>253</v>
      </c>
      <c r="D295" s="7" t="s">
        <v>234</v>
      </c>
      <c r="E295" s="7" t="s">
        <v>231</v>
      </c>
      <c r="F295" s="7" t="s">
        <v>231</v>
      </c>
      <c r="G295" s="7"/>
      <c r="H295" s="19">
        <f t="shared" si="37"/>
        <v>10</v>
      </c>
      <c r="I295" s="7">
        <f t="shared" si="38"/>
        <v>0</v>
      </c>
      <c r="J295" s="7">
        <f>IFERROR(VLOOKUP(D295,Event_Master!B:E,4,FALSE),1)</f>
        <v>1</v>
      </c>
      <c r="K295" s="7">
        <f t="shared" si="35"/>
        <v>0</v>
      </c>
      <c r="L295" s="19">
        <f t="shared" si="36"/>
        <v>10</v>
      </c>
    </row>
    <row r="296" spans="1:12">
      <c r="A296" s="20">
        <v>46026</v>
      </c>
      <c r="B296" s="17">
        <v>469617</v>
      </c>
      <c r="C296" s="18" t="s">
        <v>254</v>
      </c>
      <c r="D296" s="7" t="s">
        <v>234</v>
      </c>
      <c r="E296" s="7" t="s">
        <v>231</v>
      </c>
      <c r="F296" s="7" t="s">
        <v>231</v>
      </c>
      <c r="G296" s="7"/>
      <c r="H296" s="19">
        <f t="shared" si="37"/>
        <v>10</v>
      </c>
      <c r="I296" s="7">
        <f t="shared" si="38"/>
        <v>0</v>
      </c>
      <c r="J296" s="7">
        <f>IFERROR(VLOOKUP(D296,Event_Master!B:E,4,FALSE),1)</f>
        <v>1</v>
      </c>
      <c r="K296" s="7">
        <f t="shared" si="35"/>
        <v>0</v>
      </c>
      <c r="L296" s="19">
        <f t="shared" si="36"/>
        <v>10</v>
      </c>
    </row>
    <row r="297" spans="1:12">
      <c r="A297" s="20">
        <v>46026</v>
      </c>
      <c r="B297" s="17">
        <v>460628</v>
      </c>
      <c r="C297" s="18" t="s">
        <v>255</v>
      </c>
      <c r="D297" s="7" t="s">
        <v>234</v>
      </c>
      <c r="E297" s="7" t="s">
        <v>231</v>
      </c>
      <c r="F297" s="7" t="s">
        <v>231</v>
      </c>
      <c r="G297" s="7"/>
      <c r="H297" s="19">
        <f t="shared" si="37"/>
        <v>10</v>
      </c>
      <c r="I297" s="7">
        <f t="shared" si="38"/>
        <v>0</v>
      </c>
      <c r="J297" s="7">
        <f>IFERROR(VLOOKUP(D297,Event_Master!B:E,4,FALSE),1)</f>
        <v>1</v>
      </c>
      <c r="K297" s="7">
        <f t="shared" si="35"/>
        <v>0</v>
      </c>
      <c r="L297" s="19">
        <f t="shared" si="36"/>
        <v>10</v>
      </c>
    </row>
    <row r="298" spans="1:12">
      <c r="A298" s="20">
        <v>46026</v>
      </c>
      <c r="B298" s="17">
        <v>721765</v>
      </c>
      <c r="C298" s="18" t="s">
        <v>256</v>
      </c>
      <c r="D298" s="7" t="s">
        <v>234</v>
      </c>
      <c r="E298" s="7" t="s">
        <v>231</v>
      </c>
      <c r="F298" s="7" t="s">
        <v>231</v>
      </c>
      <c r="G298" s="7"/>
      <c r="H298" s="19">
        <f t="shared" si="37"/>
        <v>10</v>
      </c>
      <c r="I298" s="7">
        <f t="shared" si="38"/>
        <v>0</v>
      </c>
      <c r="J298" s="7">
        <f>IFERROR(VLOOKUP(D298,Event_Master!B:E,4,FALSE),1)</f>
        <v>1</v>
      </c>
      <c r="K298" s="7">
        <f t="shared" si="35"/>
        <v>0</v>
      </c>
      <c r="L298" s="19">
        <f t="shared" si="36"/>
        <v>10</v>
      </c>
    </row>
    <row r="299" spans="1:12">
      <c r="A299" s="20">
        <v>46026</v>
      </c>
      <c r="B299" s="17">
        <v>452058</v>
      </c>
      <c r="C299" s="18" t="s">
        <v>257</v>
      </c>
      <c r="D299" s="7" t="s">
        <v>234</v>
      </c>
      <c r="E299" s="7" t="s">
        <v>231</v>
      </c>
      <c r="F299" s="7" t="s">
        <v>231</v>
      </c>
      <c r="G299" s="7"/>
      <c r="H299" s="19">
        <f t="shared" si="37"/>
        <v>10</v>
      </c>
      <c r="I299" s="7">
        <f t="shared" si="38"/>
        <v>0</v>
      </c>
      <c r="J299" s="7">
        <f>IFERROR(VLOOKUP(D299,Event_Master!B:E,4,FALSE),1)</f>
        <v>1</v>
      </c>
      <c r="K299" s="7">
        <f t="shared" si="35"/>
        <v>0</v>
      </c>
      <c r="L299" s="19">
        <f t="shared" si="36"/>
        <v>10</v>
      </c>
    </row>
    <row r="300" spans="1:12">
      <c r="A300" s="20">
        <v>46026</v>
      </c>
      <c r="B300" s="17">
        <v>450230</v>
      </c>
      <c r="C300" s="18" t="s">
        <v>258</v>
      </c>
      <c r="D300" s="7" t="s">
        <v>234</v>
      </c>
      <c r="E300" s="7" t="s">
        <v>231</v>
      </c>
      <c r="F300" s="7" t="s">
        <v>231</v>
      </c>
      <c r="G300" s="7"/>
      <c r="H300" s="19">
        <f t="shared" si="37"/>
        <v>10</v>
      </c>
      <c r="I300" s="7">
        <f t="shared" si="38"/>
        <v>0</v>
      </c>
      <c r="J300" s="7">
        <f>IFERROR(VLOOKUP(D300,Event_Master!B:E,4,FALSE),1)</f>
        <v>1</v>
      </c>
      <c r="K300" s="7">
        <f t="shared" si="35"/>
        <v>0</v>
      </c>
      <c r="L300" s="19">
        <f t="shared" si="36"/>
        <v>10</v>
      </c>
    </row>
    <row r="301" spans="1:12">
      <c r="A301" s="20">
        <v>46026</v>
      </c>
      <c r="B301" s="17">
        <v>466167</v>
      </c>
      <c r="C301" s="18" t="s">
        <v>259</v>
      </c>
      <c r="D301" s="7" t="s">
        <v>234</v>
      </c>
      <c r="E301" s="7" t="s">
        <v>231</v>
      </c>
      <c r="F301" s="7" t="s">
        <v>231</v>
      </c>
      <c r="G301" s="7"/>
      <c r="H301" s="19">
        <f t="shared" si="37"/>
        <v>10</v>
      </c>
      <c r="I301" s="7">
        <f t="shared" si="38"/>
        <v>0</v>
      </c>
      <c r="J301" s="7">
        <f>IFERROR(VLOOKUP(D301,Event_Master!B:E,4,FALSE),1)</f>
        <v>1</v>
      </c>
      <c r="K301" s="7">
        <f t="shared" si="35"/>
        <v>0</v>
      </c>
      <c r="L301" s="19">
        <f t="shared" si="36"/>
        <v>10</v>
      </c>
    </row>
    <row r="302" spans="1:12">
      <c r="A302" s="20">
        <v>46026</v>
      </c>
      <c r="B302" s="17">
        <v>453948</v>
      </c>
      <c r="C302" s="18" t="s">
        <v>126</v>
      </c>
      <c r="D302" s="7" t="s">
        <v>234</v>
      </c>
      <c r="E302" s="7" t="s">
        <v>231</v>
      </c>
      <c r="F302" s="7" t="s">
        <v>231</v>
      </c>
      <c r="G302" s="7"/>
      <c r="H302" s="19">
        <f t="shared" si="37"/>
        <v>10</v>
      </c>
      <c r="I302" s="7">
        <f t="shared" si="38"/>
        <v>0</v>
      </c>
      <c r="J302" s="7">
        <f>IFERROR(VLOOKUP(D302,Event_Master!B:E,4,FALSE),1)</f>
        <v>1</v>
      </c>
      <c r="K302" s="7">
        <f t="shared" si="35"/>
        <v>0</v>
      </c>
      <c r="L302" s="19">
        <f t="shared" si="36"/>
        <v>10</v>
      </c>
    </row>
    <row r="303" spans="1:12">
      <c r="A303" s="20">
        <v>46026</v>
      </c>
      <c r="B303" s="17">
        <v>449891</v>
      </c>
      <c r="C303" s="18" t="s">
        <v>260</v>
      </c>
      <c r="D303" s="7" t="s">
        <v>234</v>
      </c>
      <c r="E303" s="7" t="s">
        <v>231</v>
      </c>
      <c r="F303" s="7" t="s">
        <v>231</v>
      </c>
      <c r="G303" s="7"/>
      <c r="H303" s="19">
        <f t="shared" si="37"/>
        <v>10</v>
      </c>
      <c r="I303" s="7">
        <f t="shared" si="38"/>
        <v>0</v>
      </c>
      <c r="J303" s="7">
        <f>IFERROR(VLOOKUP(D303,Event_Master!B:E,4,FALSE),1)</f>
        <v>1</v>
      </c>
      <c r="K303" s="7">
        <f t="shared" si="35"/>
        <v>0</v>
      </c>
      <c r="L303" s="19">
        <f t="shared" si="36"/>
        <v>10</v>
      </c>
    </row>
    <row r="304" spans="1:12">
      <c r="A304" s="20">
        <v>46026</v>
      </c>
      <c r="B304" s="17">
        <v>452059</v>
      </c>
      <c r="C304" s="18" t="s">
        <v>261</v>
      </c>
      <c r="D304" s="7" t="s">
        <v>234</v>
      </c>
      <c r="E304" s="7" t="s">
        <v>231</v>
      </c>
      <c r="F304" s="7" t="s">
        <v>231</v>
      </c>
      <c r="G304" s="7"/>
      <c r="H304" s="19">
        <f t="shared" si="37"/>
        <v>10</v>
      </c>
      <c r="I304" s="7">
        <f t="shared" si="38"/>
        <v>0</v>
      </c>
      <c r="J304" s="7">
        <f>IFERROR(VLOOKUP(D304,Event_Master!B:E,4,FALSE),1)</f>
        <v>1</v>
      </c>
      <c r="K304" s="7">
        <f t="shared" ref="K304:K349" si="39">(I304*J304)</f>
        <v>0</v>
      </c>
      <c r="L304" s="19">
        <f t="shared" ref="L304:L349" si="40">K304+H304</f>
        <v>10</v>
      </c>
    </row>
    <row r="305" spans="1:12">
      <c r="A305" s="20">
        <v>46026</v>
      </c>
      <c r="B305" s="17">
        <v>452799</v>
      </c>
      <c r="C305" s="18" t="s">
        <v>171</v>
      </c>
      <c r="D305" s="7" t="s">
        <v>234</v>
      </c>
      <c r="E305" s="7" t="s">
        <v>231</v>
      </c>
      <c r="F305" s="7" t="s">
        <v>231</v>
      </c>
      <c r="G305" s="7"/>
      <c r="H305" s="19">
        <f t="shared" si="37"/>
        <v>10</v>
      </c>
      <c r="I305" s="7">
        <f t="shared" si="38"/>
        <v>0</v>
      </c>
      <c r="J305" s="7">
        <f>IFERROR(VLOOKUP(D305,Event_Master!B:E,4,FALSE),1)</f>
        <v>1</v>
      </c>
      <c r="K305" s="7">
        <f t="shared" si="39"/>
        <v>0</v>
      </c>
      <c r="L305" s="19">
        <f t="shared" si="40"/>
        <v>10</v>
      </c>
    </row>
    <row r="306" spans="1:12">
      <c r="A306" s="20">
        <v>46026</v>
      </c>
      <c r="B306" s="17">
        <v>450171</v>
      </c>
      <c r="C306" s="18" t="s">
        <v>262</v>
      </c>
      <c r="D306" s="7" t="s">
        <v>234</v>
      </c>
      <c r="E306" s="7" t="s">
        <v>231</v>
      </c>
      <c r="F306" s="7" t="s">
        <v>231</v>
      </c>
      <c r="G306" s="7"/>
      <c r="H306" s="19">
        <f t="shared" si="37"/>
        <v>10</v>
      </c>
      <c r="I306" s="7">
        <f t="shared" si="38"/>
        <v>0</v>
      </c>
      <c r="J306" s="7">
        <f>IFERROR(VLOOKUP(D306,Event_Master!B:E,4,FALSE),1)</f>
        <v>1</v>
      </c>
      <c r="K306" s="7">
        <f t="shared" si="39"/>
        <v>0</v>
      </c>
      <c r="L306" s="19">
        <f t="shared" si="40"/>
        <v>10</v>
      </c>
    </row>
    <row r="307" spans="1:12">
      <c r="A307" s="20">
        <v>46026</v>
      </c>
      <c r="B307" s="17">
        <v>460692</v>
      </c>
      <c r="C307" s="18" t="s">
        <v>173</v>
      </c>
      <c r="D307" s="7" t="s">
        <v>234</v>
      </c>
      <c r="E307" s="7" t="s">
        <v>231</v>
      </c>
      <c r="F307" s="7" t="s">
        <v>231</v>
      </c>
      <c r="G307" s="7"/>
      <c r="H307" s="19">
        <f t="shared" si="37"/>
        <v>10</v>
      </c>
      <c r="I307" s="7">
        <f t="shared" si="38"/>
        <v>0</v>
      </c>
      <c r="J307" s="7">
        <f>IFERROR(VLOOKUP(D307,Event_Master!B:E,4,FALSE),1)</f>
        <v>1</v>
      </c>
      <c r="K307" s="7">
        <f t="shared" si="39"/>
        <v>0</v>
      </c>
      <c r="L307" s="19">
        <f t="shared" si="40"/>
        <v>10</v>
      </c>
    </row>
    <row r="308" spans="1:12">
      <c r="A308" s="20">
        <v>46026</v>
      </c>
      <c r="B308" s="17">
        <v>471387</v>
      </c>
      <c r="C308" s="18" t="s">
        <v>142</v>
      </c>
      <c r="D308" s="7" t="s">
        <v>234</v>
      </c>
      <c r="E308" s="7" t="s">
        <v>231</v>
      </c>
      <c r="F308" s="7" t="s">
        <v>231</v>
      </c>
      <c r="G308" s="7"/>
      <c r="H308" s="19">
        <f t="shared" si="37"/>
        <v>10</v>
      </c>
      <c r="I308" s="7">
        <f t="shared" si="38"/>
        <v>0</v>
      </c>
      <c r="J308" s="7">
        <f>IFERROR(VLOOKUP(D308,Event_Master!B:E,4,FALSE),1)</f>
        <v>1</v>
      </c>
      <c r="K308" s="7">
        <f t="shared" si="39"/>
        <v>0</v>
      </c>
      <c r="L308" s="19">
        <f t="shared" si="40"/>
        <v>10</v>
      </c>
    </row>
    <row r="309" spans="1:12">
      <c r="A309" s="20">
        <v>46026</v>
      </c>
      <c r="B309" s="17">
        <v>435877</v>
      </c>
      <c r="C309" s="18" t="s">
        <v>66</v>
      </c>
      <c r="D309" s="7" t="s">
        <v>234</v>
      </c>
      <c r="E309" s="7" t="s">
        <v>231</v>
      </c>
      <c r="F309" s="7" t="s">
        <v>231</v>
      </c>
      <c r="G309" s="7"/>
      <c r="H309" s="19">
        <f t="shared" si="37"/>
        <v>10</v>
      </c>
      <c r="I309" s="7">
        <f t="shared" si="38"/>
        <v>0</v>
      </c>
      <c r="J309" s="7">
        <f>IFERROR(VLOOKUP(D309,Event_Master!B:E,4,FALSE),1)</f>
        <v>1</v>
      </c>
      <c r="K309" s="7">
        <f t="shared" si="39"/>
        <v>0</v>
      </c>
      <c r="L309" s="19">
        <f t="shared" si="40"/>
        <v>10</v>
      </c>
    </row>
    <row r="310" spans="1:12">
      <c r="A310" s="20">
        <v>46026</v>
      </c>
      <c r="B310" s="17">
        <v>463059</v>
      </c>
      <c r="C310" s="18" t="s">
        <v>178</v>
      </c>
      <c r="D310" s="7" t="s">
        <v>234</v>
      </c>
      <c r="E310" s="7" t="s">
        <v>231</v>
      </c>
      <c r="F310" s="7" t="s">
        <v>231</v>
      </c>
      <c r="G310" s="7"/>
      <c r="H310" s="19">
        <f t="shared" si="37"/>
        <v>10</v>
      </c>
      <c r="I310" s="7">
        <f t="shared" si="38"/>
        <v>0</v>
      </c>
      <c r="J310" s="7">
        <f>IFERROR(VLOOKUP(D310,Event_Master!B:E,4,FALSE),1)</f>
        <v>1</v>
      </c>
      <c r="K310" s="7">
        <f t="shared" si="39"/>
        <v>0</v>
      </c>
      <c r="L310" s="19">
        <f t="shared" si="40"/>
        <v>10</v>
      </c>
    </row>
    <row r="311" spans="1:12">
      <c r="A311" s="20">
        <v>46026</v>
      </c>
      <c r="B311" s="17">
        <v>725073</v>
      </c>
      <c r="C311" s="18" t="s">
        <v>47</v>
      </c>
      <c r="D311" s="7" t="s">
        <v>234</v>
      </c>
      <c r="E311" s="7" t="s">
        <v>231</v>
      </c>
      <c r="F311" s="7" t="s">
        <v>231</v>
      </c>
      <c r="G311" s="7"/>
      <c r="H311" s="19">
        <f t="shared" si="37"/>
        <v>10</v>
      </c>
      <c r="I311" s="7">
        <f t="shared" si="38"/>
        <v>0</v>
      </c>
      <c r="J311" s="7">
        <f>IFERROR(VLOOKUP(D311,Event_Master!B:E,4,FALSE),1)</f>
        <v>1</v>
      </c>
      <c r="K311" s="7">
        <f t="shared" si="39"/>
        <v>0</v>
      </c>
      <c r="L311" s="19">
        <f t="shared" si="40"/>
        <v>10</v>
      </c>
    </row>
    <row r="312" spans="1:12">
      <c r="A312" s="20">
        <v>46026</v>
      </c>
      <c r="B312" s="17">
        <v>438864</v>
      </c>
      <c r="C312" s="18" t="s">
        <v>31</v>
      </c>
      <c r="D312" s="7" t="s">
        <v>234</v>
      </c>
      <c r="E312" s="7" t="s">
        <v>231</v>
      </c>
      <c r="F312" s="7" t="s">
        <v>231</v>
      </c>
      <c r="G312" s="7"/>
      <c r="H312" s="19">
        <f t="shared" si="37"/>
        <v>10</v>
      </c>
      <c r="I312" s="7">
        <f t="shared" si="38"/>
        <v>0</v>
      </c>
      <c r="J312" s="7">
        <f>IFERROR(VLOOKUP(D312,Event_Master!B:E,4,FALSE),1)</f>
        <v>1</v>
      </c>
      <c r="K312" s="7">
        <f t="shared" si="39"/>
        <v>0</v>
      </c>
      <c r="L312" s="19">
        <f t="shared" si="40"/>
        <v>10</v>
      </c>
    </row>
    <row r="313" spans="1:12">
      <c r="A313" s="20">
        <v>46026</v>
      </c>
      <c r="B313" s="17">
        <v>452076</v>
      </c>
      <c r="C313" s="18" t="s">
        <v>263</v>
      </c>
      <c r="D313" s="7" t="s">
        <v>234</v>
      </c>
      <c r="E313" s="7" t="s">
        <v>231</v>
      </c>
      <c r="F313" s="7" t="s">
        <v>231</v>
      </c>
      <c r="G313" s="7"/>
      <c r="H313" s="19">
        <f t="shared" si="37"/>
        <v>10</v>
      </c>
      <c r="I313" s="7">
        <f t="shared" si="38"/>
        <v>0</v>
      </c>
      <c r="J313" s="7">
        <f>IFERROR(VLOOKUP(D313,Event_Master!B:E,4,FALSE),1)</f>
        <v>1</v>
      </c>
      <c r="K313" s="7">
        <f t="shared" si="39"/>
        <v>0</v>
      </c>
      <c r="L313" s="19">
        <f t="shared" si="40"/>
        <v>10</v>
      </c>
    </row>
    <row r="314" spans="1:12">
      <c r="A314" s="20">
        <v>46026</v>
      </c>
      <c r="B314" s="17">
        <v>454456</v>
      </c>
      <c r="C314" s="18" t="s">
        <v>162</v>
      </c>
      <c r="D314" s="7" t="s">
        <v>234</v>
      </c>
      <c r="E314" s="7" t="s">
        <v>231</v>
      </c>
      <c r="F314" s="7" t="s">
        <v>231</v>
      </c>
      <c r="G314" s="7"/>
      <c r="H314" s="19">
        <f t="shared" si="37"/>
        <v>10</v>
      </c>
      <c r="I314" s="7">
        <f t="shared" si="38"/>
        <v>0</v>
      </c>
      <c r="J314" s="7">
        <f>IFERROR(VLOOKUP(D314,Event_Master!B:E,4,FALSE),1)</f>
        <v>1</v>
      </c>
      <c r="K314" s="7">
        <f t="shared" si="39"/>
        <v>0</v>
      </c>
      <c r="L314" s="19">
        <f t="shared" si="40"/>
        <v>10</v>
      </c>
    </row>
    <row r="315" spans="1:12">
      <c r="A315" s="20">
        <v>46026</v>
      </c>
      <c r="B315" s="17">
        <v>451857</v>
      </c>
      <c r="C315" s="18" t="s">
        <v>264</v>
      </c>
      <c r="D315" s="7" t="s">
        <v>234</v>
      </c>
      <c r="E315" s="7" t="s">
        <v>231</v>
      </c>
      <c r="F315" s="7" t="s">
        <v>231</v>
      </c>
      <c r="G315" s="7"/>
      <c r="H315" s="19">
        <f t="shared" si="37"/>
        <v>10</v>
      </c>
      <c r="I315" s="7">
        <f t="shared" si="38"/>
        <v>0</v>
      </c>
      <c r="J315" s="7">
        <f>IFERROR(VLOOKUP(D315,Event_Master!B:E,4,FALSE),1)</f>
        <v>1</v>
      </c>
      <c r="K315" s="7">
        <f t="shared" si="39"/>
        <v>0</v>
      </c>
      <c r="L315" s="19">
        <f t="shared" si="40"/>
        <v>10</v>
      </c>
    </row>
    <row r="316" spans="1:12">
      <c r="A316" s="20">
        <v>46026</v>
      </c>
      <c r="B316" s="17">
        <v>451858</v>
      </c>
      <c r="C316" s="18" t="s">
        <v>265</v>
      </c>
      <c r="D316" s="7" t="s">
        <v>234</v>
      </c>
      <c r="E316" s="7" t="s">
        <v>231</v>
      </c>
      <c r="F316" s="7" t="s">
        <v>231</v>
      </c>
      <c r="G316" s="7"/>
      <c r="H316" s="19">
        <f t="shared" si="37"/>
        <v>10</v>
      </c>
      <c r="I316" s="7">
        <f t="shared" si="38"/>
        <v>0</v>
      </c>
      <c r="J316" s="7">
        <f>IFERROR(VLOOKUP(D316,Event_Master!B:E,4,FALSE),1)</f>
        <v>1</v>
      </c>
      <c r="K316" s="7">
        <f t="shared" si="39"/>
        <v>0</v>
      </c>
      <c r="L316" s="19">
        <f t="shared" si="40"/>
        <v>10</v>
      </c>
    </row>
    <row r="317" spans="1:12">
      <c r="A317" s="20">
        <v>46026</v>
      </c>
      <c r="B317" s="17">
        <v>478270</v>
      </c>
      <c r="C317" s="18" t="s">
        <v>266</v>
      </c>
      <c r="D317" s="7" t="s">
        <v>234</v>
      </c>
      <c r="E317" s="7" t="s">
        <v>231</v>
      </c>
      <c r="F317" s="7" t="s">
        <v>231</v>
      </c>
      <c r="G317" s="7"/>
      <c r="H317" s="19">
        <f t="shared" si="37"/>
        <v>10</v>
      </c>
      <c r="I317" s="7">
        <f t="shared" si="38"/>
        <v>0</v>
      </c>
      <c r="J317" s="7">
        <f>IFERROR(VLOOKUP(D317,Event_Master!B:E,4,FALSE),1)</f>
        <v>1</v>
      </c>
      <c r="K317" s="7">
        <f t="shared" si="39"/>
        <v>0</v>
      </c>
      <c r="L317" s="19">
        <f t="shared" si="40"/>
        <v>10</v>
      </c>
    </row>
    <row r="318" spans="1:12">
      <c r="A318" s="20">
        <v>46026</v>
      </c>
      <c r="B318" s="17">
        <v>478377</v>
      </c>
      <c r="C318" s="18" t="s">
        <v>267</v>
      </c>
      <c r="D318" s="7" t="s">
        <v>234</v>
      </c>
      <c r="E318" s="7" t="s">
        <v>231</v>
      </c>
      <c r="F318" s="7" t="s">
        <v>231</v>
      </c>
      <c r="G318" s="7"/>
      <c r="H318" s="19">
        <f t="shared" si="37"/>
        <v>10</v>
      </c>
      <c r="I318" s="7">
        <f t="shared" si="38"/>
        <v>0</v>
      </c>
      <c r="J318" s="7">
        <f>IFERROR(VLOOKUP(D318,Event_Master!B:E,4,FALSE),1)</f>
        <v>1</v>
      </c>
      <c r="K318" s="7">
        <f t="shared" si="39"/>
        <v>0</v>
      </c>
      <c r="L318" s="19">
        <f t="shared" si="40"/>
        <v>10</v>
      </c>
    </row>
    <row r="319" spans="1:12">
      <c r="A319" s="20">
        <v>46026</v>
      </c>
      <c r="B319" s="17">
        <v>450694</v>
      </c>
      <c r="C319" s="18" t="s">
        <v>268</v>
      </c>
      <c r="D319" s="7" t="s">
        <v>234</v>
      </c>
      <c r="E319" s="7" t="s">
        <v>231</v>
      </c>
      <c r="F319" s="7" t="s">
        <v>231</v>
      </c>
      <c r="G319" s="7"/>
      <c r="H319" s="19">
        <f t="shared" si="37"/>
        <v>10</v>
      </c>
      <c r="I319" s="7">
        <f t="shared" si="38"/>
        <v>0</v>
      </c>
      <c r="J319" s="7">
        <f>IFERROR(VLOOKUP(D319,Event_Master!B:E,4,FALSE),1)</f>
        <v>1</v>
      </c>
      <c r="K319" s="7">
        <f t="shared" si="39"/>
        <v>0</v>
      </c>
      <c r="L319" s="19">
        <f t="shared" si="40"/>
        <v>10</v>
      </c>
    </row>
    <row r="320" spans="1:12">
      <c r="A320" s="20">
        <v>46026</v>
      </c>
      <c r="B320" s="17">
        <v>440620</v>
      </c>
      <c r="C320" s="18" t="s">
        <v>25</v>
      </c>
      <c r="D320" s="7" t="s">
        <v>234</v>
      </c>
      <c r="E320" s="7" t="s">
        <v>231</v>
      </c>
      <c r="F320" s="7" t="s">
        <v>231</v>
      </c>
      <c r="G320" s="7"/>
      <c r="H320" s="19">
        <f t="shared" si="37"/>
        <v>10</v>
      </c>
      <c r="I320" s="7">
        <f t="shared" si="38"/>
        <v>0</v>
      </c>
      <c r="J320" s="7">
        <f>IFERROR(VLOOKUP(D320,Event_Master!B:E,4,FALSE),1)</f>
        <v>1</v>
      </c>
      <c r="K320" s="7">
        <f t="shared" si="39"/>
        <v>0</v>
      </c>
      <c r="L320" s="19">
        <f t="shared" si="40"/>
        <v>10</v>
      </c>
    </row>
    <row r="321" spans="1:12">
      <c r="A321" s="20">
        <v>46026</v>
      </c>
      <c r="B321" s="17">
        <v>459464</v>
      </c>
      <c r="C321" s="18" t="s">
        <v>269</v>
      </c>
      <c r="D321" s="7" t="s">
        <v>234</v>
      </c>
      <c r="E321" s="7" t="s">
        <v>231</v>
      </c>
      <c r="F321" s="7" t="s">
        <v>231</v>
      </c>
      <c r="G321" s="7"/>
      <c r="H321" s="19">
        <f t="shared" si="37"/>
        <v>10</v>
      </c>
      <c r="I321" s="7">
        <f t="shared" si="38"/>
        <v>0</v>
      </c>
      <c r="J321" s="7">
        <f>IFERROR(VLOOKUP(D321,Event_Master!B:E,4,FALSE),1)</f>
        <v>1</v>
      </c>
      <c r="K321" s="7">
        <f t="shared" si="39"/>
        <v>0</v>
      </c>
      <c r="L321" s="19">
        <f t="shared" si="40"/>
        <v>10</v>
      </c>
    </row>
    <row r="322" spans="1:12">
      <c r="A322" s="20">
        <v>46026</v>
      </c>
      <c r="B322" s="17">
        <v>468224</v>
      </c>
      <c r="C322" s="18" t="s">
        <v>270</v>
      </c>
      <c r="D322" s="7" t="s">
        <v>234</v>
      </c>
      <c r="E322" s="7" t="s">
        <v>231</v>
      </c>
      <c r="F322" s="7" t="s">
        <v>231</v>
      </c>
      <c r="G322" s="7"/>
      <c r="H322" s="19">
        <f t="shared" si="37"/>
        <v>10</v>
      </c>
      <c r="I322" s="7">
        <f t="shared" si="38"/>
        <v>0</v>
      </c>
      <c r="J322" s="7">
        <f>IFERROR(VLOOKUP(D322,Event_Master!B:E,4,FALSE),1)</f>
        <v>1</v>
      </c>
      <c r="K322" s="7">
        <f t="shared" si="39"/>
        <v>0</v>
      </c>
      <c r="L322" s="19">
        <f t="shared" si="40"/>
        <v>10</v>
      </c>
    </row>
    <row r="323" spans="1:12">
      <c r="A323" s="20">
        <v>46026</v>
      </c>
      <c r="B323" s="17">
        <v>452118</v>
      </c>
      <c r="C323" s="18" t="s">
        <v>271</v>
      </c>
      <c r="D323" s="7" t="s">
        <v>234</v>
      </c>
      <c r="E323" s="7" t="s">
        <v>231</v>
      </c>
      <c r="F323" s="7" t="s">
        <v>231</v>
      </c>
      <c r="G323" s="7"/>
      <c r="H323" s="19">
        <f t="shared" si="37"/>
        <v>10</v>
      </c>
      <c r="I323" s="7">
        <f t="shared" si="38"/>
        <v>0</v>
      </c>
      <c r="J323" s="7">
        <f>IFERROR(VLOOKUP(D323,Event_Master!B:E,4,FALSE),1)</f>
        <v>1</v>
      </c>
      <c r="K323" s="7">
        <f t="shared" si="39"/>
        <v>0</v>
      </c>
      <c r="L323" s="19">
        <f t="shared" si="40"/>
        <v>10</v>
      </c>
    </row>
    <row r="324" spans="1:12">
      <c r="A324" s="20">
        <v>46026</v>
      </c>
      <c r="B324" s="17">
        <v>468660</v>
      </c>
      <c r="C324" s="18" t="s">
        <v>272</v>
      </c>
      <c r="D324" s="7" t="s">
        <v>234</v>
      </c>
      <c r="E324" s="7" t="s">
        <v>231</v>
      </c>
      <c r="F324" s="7" t="s">
        <v>231</v>
      </c>
      <c r="G324" s="7"/>
      <c r="H324" s="19">
        <f t="shared" si="37"/>
        <v>10</v>
      </c>
      <c r="I324" s="7">
        <f t="shared" si="38"/>
        <v>0</v>
      </c>
      <c r="J324" s="7">
        <f>IFERROR(VLOOKUP(D324,Event_Master!B:E,4,FALSE),1)</f>
        <v>1</v>
      </c>
      <c r="K324" s="7">
        <f t="shared" si="39"/>
        <v>0</v>
      </c>
      <c r="L324" s="19">
        <f t="shared" si="40"/>
        <v>10</v>
      </c>
    </row>
    <row r="325" spans="1:12">
      <c r="A325" s="20">
        <v>46026</v>
      </c>
      <c r="B325" s="17">
        <v>423859</v>
      </c>
      <c r="C325" s="18" t="s">
        <v>43</v>
      </c>
      <c r="D325" s="7" t="s">
        <v>234</v>
      </c>
      <c r="E325" s="7" t="s">
        <v>231</v>
      </c>
      <c r="F325" s="7" t="s">
        <v>231</v>
      </c>
      <c r="G325" s="7"/>
      <c r="H325" s="19">
        <f t="shared" si="37"/>
        <v>10</v>
      </c>
      <c r="I325" s="7">
        <f t="shared" si="38"/>
        <v>0</v>
      </c>
      <c r="J325" s="7">
        <f>IFERROR(VLOOKUP(D325,Event_Master!B:E,4,FALSE),1)</f>
        <v>1</v>
      </c>
      <c r="K325" s="7">
        <f t="shared" si="39"/>
        <v>0</v>
      </c>
      <c r="L325" s="19">
        <f t="shared" si="40"/>
        <v>10</v>
      </c>
    </row>
    <row r="326" spans="1:12">
      <c r="A326" s="20">
        <v>46026</v>
      </c>
      <c r="B326" s="17"/>
      <c r="C326" s="18" t="s">
        <v>273</v>
      </c>
      <c r="D326" s="7" t="s">
        <v>234</v>
      </c>
      <c r="E326" s="7" t="s">
        <v>231</v>
      </c>
      <c r="F326" s="7" t="s">
        <v>231</v>
      </c>
      <c r="G326" s="7"/>
      <c r="H326" s="19">
        <f t="shared" si="37"/>
        <v>10</v>
      </c>
      <c r="I326" s="7">
        <f t="shared" si="38"/>
        <v>0</v>
      </c>
      <c r="J326" s="7">
        <f>IFERROR(VLOOKUP(D326,Event_Master!B:E,4,FALSE),1)</f>
        <v>1</v>
      </c>
      <c r="K326" s="7">
        <f t="shared" si="39"/>
        <v>0</v>
      </c>
      <c r="L326" s="19">
        <f t="shared" si="40"/>
        <v>10</v>
      </c>
    </row>
    <row r="327" spans="1:12">
      <c r="A327" s="20">
        <v>46026</v>
      </c>
      <c r="B327" s="17">
        <v>408262</v>
      </c>
      <c r="C327" s="18" t="s">
        <v>125</v>
      </c>
      <c r="D327" s="7" t="s">
        <v>234</v>
      </c>
      <c r="E327" s="7" t="s">
        <v>231</v>
      </c>
      <c r="F327" s="7" t="s">
        <v>231</v>
      </c>
      <c r="G327" s="7"/>
      <c r="H327" s="19">
        <f t="shared" si="37"/>
        <v>10</v>
      </c>
      <c r="I327" s="7">
        <f t="shared" si="38"/>
        <v>0</v>
      </c>
      <c r="J327" s="7">
        <f>IFERROR(VLOOKUP(D327,Event_Master!B:E,4,FALSE),1)</f>
        <v>1</v>
      </c>
      <c r="K327" s="7">
        <f t="shared" si="39"/>
        <v>0</v>
      </c>
      <c r="L327" s="19">
        <f t="shared" si="40"/>
        <v>10</v>
      </c>
    </row>
    <row r="328" spans="1:12">
      <c r="A328" s="20">
        <v>46026</v>
      </c>
      <c r="B328" s="17">
        <v>479348</v>
      </c>
      <c r="C328" s="18" t="s">
        <v>57</v>
      </c>
      <c r="D328" s="7" t="s">
        <v>234</v>
      </c>
      <c r="E328" s="7" t="s">
        <v>231</v>
      </c>
      <c r="F328" s="7" t="s">
        <v>231</v>
      </c>
      <c r="G328" s="7"/>
      <c r="H328" s="19">
        <f t="shared" si="37"/>
        <v>10</v>
      </c>
      <c r="I328" s="7">
        <f t="shared" si="38"/>
        <v>0</v>
      </c>
      <c r="J328" s="7">
        <f>IFERROR(VLOOKUP(D328,Event_Master!B:E,4,FALSE),1)</f>
        <v>1</v>
      </c>
      <c r="K328" s="7">
        <f t="shared" si="39"/>
        <v>0</v>
      </c>
      <c r="L328" s="19">
        <f t="shared" si="40"/>
        <v>10</v>
      </c>
    </row>
    <row r="329" spans="1:12">
      <c r="A329" s="20">
        <v>46026</v>
      </c>
      <c r="B329" s="17">
        <v>479724</v>
      </c>
      <c r="C329" s="18" t="s">
        <v>168</v>
      </c>
      <c r="D329" s="7" t="s">
        <v>234</v>
      </c>
      <c r="E329" s="7" t="s">
        <v>231</v>
      </c>
      <c r="F329" s="7" t="s">
        <v>231</v>
      </c>
      <c r="G329" s="7"/>
      <c r="H329" s="19">
        <f t="shared" si="37"/>
        <v>10</v>
      </c>
      <c r="I329" s="7">
        <f t="shared" si="38"/>
        <v>0</v>
      </c>
      <c r="J329" s="7">
        <f>IFERROR(VLOOKUP(D329,Event_Master!B:E,4,FALSE),1)</f>
        <v>1</v>
      </c>
      <c r="K329" s="7">
        <f t="shared" si="39"/>
        <v>0</v>
      </c>
      <c r="L329" s="19">
        <f t="shared" si="40"/>
        <v>10</v>
      </c>
    </row>
    <row r="330" spans="1:12">
      <c r="A330" s="20">
        <v>46026</v>
      </c>
      <c r="B330" s="17">
        <v>463833</v>
      </c>
      <c r="C330" s="18" t="s">
        <v>100</v>
      </c>
      <c r="D330" s="7" t="s">
        <v>234</v>
      </c>
      <c r="E330" s="7" t="s">
        <v>231</v>
      </c>
      <c r="F330" s="7" t="s">
        <v>231</v>
      </c>
      <c r="G330" s="7"/>
      <c r="H330" s="19">
        <f t="shared" ref="H330:H349" si="41">IF(F330="Yes",10,0)</f>
        <v>10</v>
      </c>
      <c r="I330" s="7">
        <f t="shared" si="38"/>
        <v>0</v>
      </c>
      <c r="J330" s="7">
        <f>IFERROR(VLOOKUP(D330,Event_Master!B:E,4,FALSE),1)</f>
        <v>1</v>
      </c>
      <c r="K330" s="7">
        <f t="shared" si="39"/>
        <v>0</v>
      </c>
      <c r="L330" s="19">
        <f t="shared" si="40"/>
        <v>10</v>
      </c>
    </row>
    <row r="331" spans="1:12">
      <c r="A331" s="20">
        <v>46026</v>
      </c>
      <c r="B331" s="17">
        <v>721899</v>
      </c>
      <c r="C331" s="18" t="s">
        <v>101</v>
      </c>
      <c r="D331" s="7" t="s">
        <v>234</v>
      </c>
      <c r="E331" s="7" t="s">
        <v>231</v>
      </c>
      <c r="F331" s="7" t="s">
        <v>231</v>
      </c>
      <c r="G331" s="7"/>
      <c r="H331" s="19">
        <f t="shared" si="41"/>
        <v>10</v>
      </c>
      <c r="I331" s="7">
        <f t="shared" si="38"/>
        <v>0</v>
      </c>
      <c r="J331" s="7">
        <f>IFERROR(VLOOKUP(D331,Event_Master!B:E,4,FALSE),1)</f>
        <v>1</v>
      </c>
      <c r="K331" s="7">
        <f t="shared" si="39"/>
        <v>0</v>
      </c>
      <c r="L331" s="19">
        <f t="shared" si="40"/>
        <v>10</v>
      </c>
    </row>
    <row r="332" spans="1:12">
      <c r="A332" s="20">
        <v>46026</v>
      </c>
      <c r="B332" s="17">
        <v>722782</v>
      </c>
      <c r="C332" s="18" t="s">
        <v>119</v>
      </c>
      <c r="D332" s="7" t="s">
        <v>234</v>
      </c>
      <c r="E332" s="7" t="s">
        <v>231</v>
      </c>
      <c r="F332" s="7" t="s">
        <v>231</v>
      </c>
      <c r="G332" s="7"/>
      <c r="H332" s="19">
        <f t="shared" si="41"/>
        <v>10</v>
      </c>
      <c r="I332" s="7">
        <f t="shared" si="38"/>
        <v>0</v>
      </c>
      <c r="J332" s="7">
        <f>IFERROR(VLOOKUP(D332,Event_Master!B:E,4,FALSE),1)</f>
        <v>1</v>
      </c>
      <c r="K332" s="7">
        <f t="shared" si="39"/>
        <v>0</v>
      </c>
      <c r="L332" s="19">
        <f t="shared" si="40"/>
        <v>10</v>
      </c>
    </row>
    <row r="333" spans="1:12">
      <c r="A333" s="20">
        <v>46026</v>
      </c>
      <c r="B333" s="17">
        <v>416087</v>
      </c>
      <c r="C333" s="18" t="s">
        <v>184</v>
      </c>
      <c r="D333" s="7" t="s">
        <v>234</v>
      </c>
      <c r="E333" s="7" t="s">
        <v>231</v>
      </c>
      <c r="F333" s="7" t="s">
        <v>231</v>
      </c>
      <c r="G333" s="7"/>
      <c r="H333" s="19">
        <f t="shared" si="41"/>
        <v>10</v>
      </c>
      <c r="I333" s="7">
        <f t="shared" si="38"/>
        <v>0</v>
      </c>
      <c r="J333" s="7">
        <f>IFERROR(VLOOKUP(D333,Event_Master!B:E,4,FALSE),1)</f>
        <v>1</v>
      </c>
      <c r="K333" s="7">
        <f t="shared" si="39"/>
        <v>0</v>
      </c>
      <c r="L333" s="19">
        <f t="shared" si="40"/>
        <v>10</v>
      </c>
    </row>
    <row r="334" spans="1:12">
      <c r="A334" s="20">
        <v>46026</v>
      </c>
      <c r="B334" s="17">
        <v>470301</v>
      </c>
      <c r="C334" s="18" t="s">
        <v>9</v>
      </c>
      <c r="D334" s="7" t="s">
        <v>234</v>
      </c>
      <c r="E334" s="7" t="s">
        <v>231</v>
      </c>
      <c r="F334" s="7" t="s">
        <v>231</v>
      </c>
      <c r="G334" s="7"/>
      <c r="H334" s="19">
        <f t="shared" si="41"/>
        <v>10</v>
      </c>
      <c r="I334" s="7">
        <f t="shared" si="38"/>
        <v>0</v>
      </c>
      <c r="J334" s="7">
        <f>IFERROR(VLOOKUP(D334,Event_Master!B:E,4,FALSE),1)</f>
        <v>1</v>
      </c>
      <c r="K334" s="7">
        <f t="shared" si="39"/>
        <v>0</v>
      </c>
      <c r="L334" s="19">
        <f t="shared" si="40"/>
        <v>10</v>
      </c>
    </row>
    <row r="335" spans="1:12">
      <c r="A335" s="20">
        <v>46026</v>
      </c>
      <c r="B335" s="17">
        <v>478269</v>
      </c>
      <c r="C335" s="18" t="s">
        <v>274</v>
      </c>
      <c r="D335" s="7" t="s">
        <v>234</v>
      </c>
      <c r="E335" s="7" t="s">
        <v>231</v>
      </c>
      <c r="F335" s="7" t="s">
        <v>231</v>
      </c>
      <c r="G335" s="7"/>
      <c r="H335" s="19">
        <f t="shared" si="41"/>
        <v>10</v>
      </c>
      <c r="I335" s="7">
        <f t="shared" si="38"/>
        <v>0</v>
      </c>
      <c r="J335" s="7">
        <f>IFERROR(VLOOKUP(D335,Event_Master!B:E,4,FALSE),1)</f>
        <v>1</v>
      </c>
      <c r="K335" s="7">
        <f t="shared" si="39"/>
        <v>0</v>
      </c>
      <c r="L335" s="19">
        <f t="shared" si="40"/>
        <v>10</v>
      </c>
    </row>
    <row r="336" spans="1:12">
      <c r="A336" s="20">
        <v>46026</v>
      </c>
      <c r="B336" s="17">
        <v>448882</v>
      </c>
      <c r="C336" s="18" t="s">
        <v>19</v>
      </c>
      <c r="D336" s="7" t="s">
        <v>234</v>
      </c>
      <c r="E336" s="7" t="s">
        <v>231</v>
      </c>
      <c r="F336" s="7" t="s">
        <v>231</v>
      </c>
      <c r="G336" s="7"/>
      <c r="H336" s="19">
        <f t="shared" si="41"/>
        <v>10</v>
      </c>
      <c r="I336" s="7">
        <f t="shared" si="38"/>
        <v>0</v>
      </c>
      <c r="J336" s="7">
        <f>IFERROR(VLOOKUP(D336,Event_Master!B:E,4,FALSE),1)</f>
        <v>1</v>
      </c>
      <c r="K336" s="7">
        <f t="shared" si="39"/>
        <v>0</v>
      </c>
      <c r="L336" s="19">
        <f t="shared" si="40"/>
        <v>10</v>
      </c>
    </row>
    <row r="337" spans="1:12">
      <c r="A337" s="20">
        <v>46026</v>
      </c>
      <c r="B337" s="17">
        <v>452119</v>
      </c>
      <c r="C337" s="18" t="s">
        <v>275</v>
      </c>
      <c r="D337" s="7" t="s">
        <v>234</v>
      </c>
      <c r="E337" s="7" t="s">
        <v>231</v>
      </c>
      <c r="F337" s="7" t="s">
        <v>231</v>
      </c>
      <c r="G337" s="7"/>
      <c r="H337" s="19">
        <f t="shared" si="41"/>
        <v>10</v>
      </c>
      <c r="I337" s="7">
        <f t="shared" si="38"/>
        <v>0</v>
      </c>
      <c r="J337" s="7">
        <f>IFERROR(VLOOKUP(D337,Event_Master!B:E,4,FALSE),1)</f>
        <v>1</v>
      </c>
      <c r="K337" s="7">
        <f t="shared" si="39"/>
        <v>0</v>
      </c>
      <c r="L337" s="19">
        <f t="shared" si="40"/>
        <v>10</v>
      </c>
    </row>
    <row r="338" spans="1:12">
      <c r="A338" s="20">
        <v>46026</v>
      </c>
      <c r="B338" s="17">
        <v>424332</v>
      </c>
      <c r="C338" s="18" t="s">
        <v>141</v>
      </c>
      <c r="D338" s="7" t="s">
        <v>234</v>
      </c>
      <c r="E338" s="7" t="s">
        <v>231</v>
      </c>
      <c r="F338" s="7" t="s">
        <v>231</v>
      </c>
      <c r="G338" s="7"/>
      <c r="H338" s="19">
        <f t="shared" si="41"/>
        <v>10</v>
      </c>
      <c r="I338" s="7">
        <f t="shared" si="38"/>
        <v>0</v>
      </c>
      <c r="J338" s="7">
        <f>IFERROR(VLOOKUP(D338,Event_Master!B:E,4,FALSE),1)</f>
        <v>1</v>
      </c>
      <c r="K338" s="7">
        <f t="shared" si="39"/>
        <v>0</v>
      </c>
      <c r="L338" s="19">
        <f t="shared" si="40"/>
        <v>10</v>
      </c>
    </row>
    <row r="339" spans="1:12">
      <c r="A339" s="20">
        <v>46026</v>
      </c>
      <c r="B339" s="17">
        <v>420109</v>
      </c>
      <c r="C339" s="18" t="s">
        <v>129</v>
      </c>
      <c r="D339" s="7" t="s">
        <v>234</v>
      </c>
      <c r="E339" s="7" t="s">
        <v>231</v>
      </c>
      <c r="F339" s="7" t="s">
        <v>231</v>
      </c>
      <c r="G339" s="7"/>
      <c r="H339" s="19">
        <f t="shared" si="41"/>
        <v>10</v>
      </c>
      <c r="I339" s="7">
        <f t="shared" si="38"/>
        <v>0</v>
      </c>
      <c r="J339" s="7">
        <f>IFERROR(VLOOKUP(D339,Event_Master!B:E,4,FALSE),1)</f>
        <v>1</v>
      </c>
      <c r="K339" s="7">
        <f t="shared" si="39"/>
        <v>0</v>
      </c>
      <c r="L339" s="19">
        <f t="shared" si="40"/>
        <v>10</v>
      </c>
    </row>
    <row r="340" spans="1:12">
      <c r="A340" s="20">
        <v>46026</v>
      </c>
      <c r="B340" s="17">
        <v>460812</v>
      </c>
      <c r="C340" s="18" t="s">
        <v>166</v>
      </c>
      <c r="D340" s="7" t="s">
        <v>234</v>
      </c>
      <c r="E340" s="7" t="s">
        <v>231</v>
      </c>
      <c r="F340" s="7" t="s">
        <v>231</v>
      </c>
      <c r="G340" s="7"/>
      <c r="H340" s="19">
        <f t="shared" si="41"/>
        <v>10</v>
      </c>
      <c r="I340" s="7">
        <f t="shared" si="38"/>
        <v>0</v>
      </c>
      <c r="J340" s="7">
        <f>IFERROR(VLOOKUP(D340,Event_Master!B:E,4,FALSE),1)</f>
        <v>1</v>
      </c>
      <c r="K340" s="7">
        <f t="shared" si="39"/>
        <v>0</v>
      </c>
      <c r="L340" s="19">
        <f t="shared" si="40"/>
        <v>10</v>
      </c>
    </row>
    <row r="341" spans="1:12">
      <c r="A341" s="20">
        <v>46026</v>
      </c>
      <c r="B341" s="17">
        <v>438263</v>
      </c>
      <c r="C341" s="18" t="s">
        <v>183</v>
      </c>
      <c r="D341" s="7" t="s">
        <v>234</v>
      </c>
      <c r="E341" s="7" t="s">
        <v>231</v>
      </c>
      <c r="F341" s="7" t="s">
        <v>231</v>
      </c>
      <c r="G341" s="7"/>
      <c r="H341" s="19">
        <f t="shared" si="41"/>
        <v>10</v>
      </c>
      <c r="I341" s="7">
        <f t="shared" si="38"/>
        <v>0</v>
      </c>
      <c r="J341" s="7">
        <f>IFERROR(VLOOKUP(D341,Event_Master!B:E,4,FALSE),1)</f>
        <v>1</v>
      </c>
      <c r="K341" s="7">
        <f t="shared" si="39"/>
        <v>0</v>
      </c>
      <c r="L341" s="19">
        <f t="shared" si="40"/>
        <v>10</v>
      </c>
    </row>
    <row r="342" spans="1:12">
      <c r="A342" s="20">
        <v>46026</v>
      </c>
      <c r="B342" s="17">
        <v>428544</v>
      </c>
      <c r="C342" s="18" t="s">
        <v>93</v>
      </c>
      <c r="D342" s="7" t="s">
        <v>234</v>
      </c>
      <c r="E342" s="7" t="s">
        <v>231</v>
      </c>
      <c r="F342" s="7" t="s">
        <v>231</v>
      </c>
      <c r="G342" s="7"/>
      <c r="H342" s="19">
        <f t="shared" si="41"/>
        <v>10</v>
      </c>
      <c r="I342" s="7">
        <f t="shared" si="38"/>
        <v>0</v>
      </c>
      <c r="J342" s="7">
        <f>IFERROR(VLOOKUP(D342,Event_Master!B:E,4,FALSE),1)</f>
        <v>1</v>
      </c>
      <c r="K342" s="7">
        <f t="shared" si="39"/>
        <v>0</v>
      </c>
      <c r="L342" s="19">
        <f t="shared" si="40"/>
        <v>10</v>
      </c>
    </row>
    <row r="343" spans="1:12">
      <c r="A343" s="20">
        <v>46026</v>
      </c>
      <c r="B343" s="17">
        <v>416828</v>
      </c>
      <c r="C343" s="18" t="s">
        <v>61</v>
      </c>
      <c r="D343" s="7" t="s">
        <v>234</v>
      </c>
      <c r="E343" s="7" t="s">
        <v>231</v>
      </c>
      <c r="F343" s="7" t="s">
        <v>231</v>
      </c>
      <c r="G343" s="7"/>
      <c r="H343" s="19">
        <f t="shared" si="41"/>
        <v>10</v>
      </c>
      <c r="I343" s="7">
        <f t="shared" si="38"/>
        <v>0</v>
      </c>
      <c r="J343" s="7">
        <f>IFERROR(VLOOKUP(D343,Event_Master!B:E,4,FALSE),1)</f>
        <v>1</v>
      </c>
      <c r="K343" s="7">
        <f t="shared" si="39"/>
        <v>0</v>
      </c>
      <c r="L343" s="19">
        <f t="shared" si="40"/>
        <v>10</v>
      </c>
    </row>
    <row r="344" spans="1:12">
      <c r="A344" s="20">
        <v>46026</v>
      </c>
      <c r="B344" s="17">
        <v>438957</v>
      </c>
      <c r="C344" s="18" t="s">
        <v>33</v>
      </c>
      <c r="D344" s="7" t="s">
        <v>234</v>
      </c>
      <c r="E344" s="7" t="s">
        <v>231</v>
      </c>
      <c r="F344" s="7" t="s">
        <v>231</v>
      </c>
      <c r="G344" s="7"/>
      <c r="H344" s="19">
        <f t="shared" si="41"/>
        <v>10</v>
      </c>
      <c r="I344" s="7">
        <f t="shared" si="38"/>
        <v>0</v>
      </c>
      <c r="J344" s="7">
        <f>IFERROR(VLOOKUP(D344,Event_Master!B:E,4,FALSE),1)</f>
        <v>1</v>
      </c>
      <c r="K344" s="7">
        <f t="shared" si="39"/>
        <v>0</v>
      </c>
      <c r="L344" s="19">
        <f t="shared" si="40"/>
        <v>10</v>
      </c>
    </row>
    <row r="345" spans="1:12">
      <c r="A345" s="20">
        <v>46026</v>
      </c>
      <c r="B345" s="17">
        <v>469899</v>
      </c>
      <c r="C345" s="18" t="s">
        <v>276</v>
      </c>
      <c r="D345" s="7" t="s">
        <v>234</v>
      </c>
      <c r="E345" s="7" t="s">
        <v>231</v>
      </c>
      <c r="F345" s="7" t="s">
        <v>231</v>
      </c>
      <c r="G345" s="7"/>
      <c r="H345" s="19">
        <f t="shared" si="41"/>
        <v>10</v>
      </c>
      <c r="I345" s="7">
        <f t="shared" ref="I345:I349" si="42">IF(G345="Winner",100,IF(G345="Runner-up",70,IF(G345="2nd Runner-up",50,IF(G345="Semi",30,IF(G345="Quarter",20,0)))))</f>
        <v>0</v>
      </c>
      <c r="J345" s="7">
        <f>IFERROR(VLOOKUP(D345,Event_Master!B:E,4,FALSE),1)</f>
        <v>1</v>
      </c>
      <c r="K345" s="7">
        <f t="shared" si="39"/>
        <v>0</v>
      </c>
      <c r="L345" s="19">
        <f t="shared" si="40"/>
        <v>10</v>
      </c>
    </row>
    <row r="346" spans="1:12">
      <c r="A346" s="20">
        <v>46026</v>
      </c>
      <c r="B346" s="17"/>
      <c r="C346" s="18" t="s">
        <v>277</v>
      </c>
      <c r="D346" s="7" t="s">
        <v>234</v>
      </c>
      <c r="E346" s="7" t="s">
        <v>231</v>
      </c>
      <c r="F346" s="7" t="s">
        <v>231</v>
      </c>
      <c r="G346" s="7"/>
      <c r="H346" s="19">
        <f t="shared" si="41"/>
        <v>10</v>
      </c>
      <c r="I346" s="7">
        <f t="shared" si="42"/>
        <v>0</v>
      </c>
      <c r="J346" s="7">
        <f>IFERROR(VLOOKUP(D346,Event_Master!B:E,4,FALSE),1)</f>
        <v>1</v>
      </c>
      <c r="K346" s="7">
        <f t="shared" si="39"/>
        <v>0</v>
      </c>
      <c r="L346" s="19">
        <f t="shared" si="40"/>
        <v>10</v>
      </c>
    </row>
    <row r="347" spans="1:12">
      <c r="A347" s="20">
        <v>46026</v>
      </c>
      <c r="B347" s="17">
        <v>721766</v>
      </c>
      <c r="C347" s="18" t="s">
        <v>278</v>
      </c>
      <c r="D347" s="7" t="s">
        <v>234</v>
      </c>
      <c r="E347" s="7" t="s">
        <v>231</v>
      </c>
      <c r="F347" s="7" t="s">
        <v>231</v>
      </c>
      <c r="G347" s="7"/>
      <c r="H347" s="19">
        <f t="shared" si="41"/>
        <v>10</v>
      </c>
      <c r="I347" s="7">
        <f t="shared" si="42"/>
        <v>0</v>
      </c>
      <c r="J347" s="7">
        <f>IFERROR(VLOOKUP(D347,Event_Master!B:E,4,FALSE),1)</f>
        <v>1</v>
      </c>
      <c r="K347" s="7">
        <f t="shared" si="39"/>
        <v>0</v>
      </c>
      <c r="L347" s="19">
        <f t="shared" si="40"/>
        <v>10</v>
      </c>
    </row>
    <row r="348" spans="1:12">
      <c r="A348" s="20">
        <v>46026</v>
      </c>
      <c r="B348" s="17">
        <v>450256</v>
      </c>
      <c r="C348" s="18" t="s">
        <v>279</v>
      </c>
      <c r="D348" s="7" t="s">
        <v>234</v>
      </c>
      <c r="E348" s="7" t="s">
        <v>231</v>
      </c>
      <c r="F348" s="7" t="s">
        <v>231</v>
      </c>
      <c r="G348" s="7"/>
      <c r="H348" s="19">
        <f t="shared" si="41"/>
        <v>10</v>
      </c>
      <c r="I348" s="7">
        <f t="shared" si="42"/>
        <v>0</v>
      </c>
      <c r="J348" s="7">
        <f>IFERROR(VLOOKUP(D348,Event_Master!B:E,4,FALSE),1)</f>
        <v>1</v>
      </c>
      <c r="K348" s="7">
        <f t="shared" si="39"/>
        <v>0</v>
      </c>
      <c r="L348" s="19">
        <f t="shared" si="40"/>
        <v>10</v>
      </c>
    </row>
    <row r="349" spans="1:12">
      <c r="A349" s="20">
        <v>46026</v>
      </c>
      <c r="B349" s="17">
        <v>438679</v>
      </c>
      <c r="C349" s="18" t="s">
        <v>146</v>
      </c>
      <c r="D349" s="7" t="s">
        <v>234</v>
      </c>
      <c r="E349" s="7" t="s">
        <v>231</v>
      </c>
      <c r="F349" s="7" t="s">
        <v>231</v>
      </c>
      <c r="G349" s="7"/>
      <c r="H349" s="19">
        <f t="shared" si="41"/>
        <v>10</v>
      </c>
      <c r="I349" s="7">
        <f t="shared" si="42"/>
        <v>0</v>
      </c>
      <c r="J349" s="7">
        <f>IFERROR(VLOOKUP(D349,Event_Master!B:E,4,FALSE),1)</f>
        <v>1</v>
      </c>
      <c r="K349" s="7">
        <f t="shared" si="39"/>
        <v>0</v>
      </c>
      <c r="L349" s="19">
        <f t="shared" si="40"/>
        <v>10</v>
      </c>
    </row>
    <row r="350" spans="1:12">
      <c r="A350" s="20">
        <v>46027</v>
      </c>
      <c r="B350" s="17">
        <v>437534</v>
      </c>
      <c r="C350" s="18" t="s">
        <v>95</v>
      </c>
      <c r="D350" s="7" t="s">
        <v>206</v>
      </c>
      <c r="E350" s="7" t="s">
        <v>231</v>
      </c>
      <c r="F350" s="7" t="s">
        <v>231</v>
      </c>
      <c r="G350" s="7"/>
      <c r="H350" s="19">
        <v>82.426299999999998</v>
      </c>
      <c r="I350" s="7">
        <f t="shared" ref="I350:I413" si="43">IF(G350="Winner",100,IF(G350="Runner-up",70,IF(G350="2nd Runner-up",50,IF(G350="Semi",30,IF(G350="Quarter",20,0)))))</f>
        <v>0</v>
      </c>
      <c r="J350" s="7">
        <f>IFERROR(VLOOKUP(D350,Event_Master!B:E,4,FALSE),1)</f>
        <v>1</v>
      </c>
      <c r="K350" s="7">
        <f t="shared" ref="K350:K413" si="44">(I350*J350)</f>
        <v>0</v>
      </c>
      <c r="L350" s="19">
        <f t="shared" ref="L350:L413" si="45">K350+H350</f>
        <v>82.426299999999998</v>
      </c>
    </row>
    <row r="351" spans="1:12">
      <c r="A351" s="20">
        <v>46027</v>
      </c>
      <c r="B351" s="17">
        <v>365114</v>
      </c>
      <c r="C351" s="18" t="s">
        <v>54</v>
      </c>
      <c r="D351" s="7" t="s">
        <v>206</v>
      </c>
      <c r="E351" s="7" t="s">
        <v>231</v>
      </c>
      <c r="F351" s="7" t="s">
        <v>231</v>
      </c>
      <c r="G351" s="7"/>
      <c r="H351" s="19">
        <v>69.335599999999999</v>
      </c>
      <c r="I351" s="7">
        <f t="shared" si="43"/>
        <v>0</v>
      </c>
      <c r="J351" s="7">
        <f>IFERROR(VLOOKUP(D351,Event_Master!B:E,4,FALSE),1)</f>
        <v>1</v>
      </c>
      <c r="K351" s="7">
        <f t="shared" si="44"/>
        <v>0</v>
      </c>
      <c r="L351" s="19">
        <f t="shared" si="45"/>
        <v>69.335599999999999</v>
      </c>
    </row>
    <row r="352" spans="1:12">
      <c r="A352" s="20">
        <v>46027</v>
      </c>
      <c r="B352" s="17">
        <v>457157</v>
      </c>
      <c r="C352" s="18" t="s">
        <v>247</v>
      </c>
      <c r="D352" s="7" t="s">
        <v>206</v>
      </c>
      <c r="E352" s="7" t="s">
        <v>231</v>
      </c>
      <c r="F352" s="7" t="s">
        <v>231</v>
      </c>
      <c r="G352" s="7"/>
      <c r="H352" s="19">
        <v>66.249499999999998</v>
      </c>
      <c r="I352" s="7">
        <f t="shared" si="43"/>
        <v>0</v>
      </c>
      <c r="J352" s="7">
        <f>IFERROR(VLOOKUP(D352,Event_Master!B:E,4,FALSE),1)</f>
        <v>1</v>
      </c>
      <c r="K352" s="7">
        <f t="shared" si="44"/>
        <v>0</v>
      </c>
      <c r="L352" s="19">
        <f t="shared" si="45"/>
        <v>66.249499999999998</v>
      </c>
    </row>
    <row r="353" spans="1:12">
      <c r="A353" s="20">
        <v>46027</v>
      </c>
      <c r="B353" s="17">
        <v>466167</v>
      </c>
      <c r="C353" s="18" t="s">
        <v>161</v>
      </c>
      <c r="D353" s="7" t="s">
        <v>206</v>
      </c>
      <c r="E353" s="7" t="s">
        <v>231</v>
      </c>
      <c r="F353" s="7" t="s">
        <v>231</v>
      </c>
      <c r="G353" s="7"/>
      <c r="H353" s="19">
        <v>65.269800000000004</v>
      </c>
      <c r="I353" s="7">
        <f t="shared" si="43"/>
        <v>0</v>
      </c>
      <c r="J353" s="7">
        <f>IFERROR(VLOOKUP(D353,Event_Master!B:E,4,FALSE),1)</f>
        <v>1</v>
      </c>
      <c r="K353" s="7">
        <f t="shared" si="44"/>
        <v>0</v>
      </c>
      <c r="L353" s="19">
        <f t="shared" si="45"/>
        <v>65.269800000000004</v>
      </c>
    </row>
    <row r="354" spans="1:12">
      <c r="A354" s="20">
        <v>46027</v>
      </c>
      <c r="B354" s="17">
        <v>463833</v>
      </c>
      <c r="C354" s="18" t="s">
        <v>100</v>
      </c>
      <c r="D354" s="7" t="s">
        <v>206</v>
      </c>
      <c r="E354" s="7" t="s">
        <v>231</v>
      </c>
      <c r="F354" s="7" t="s">
        <v>231</v>
      </c>
      <c r="G354" s="7"/>
      <c r="H354" s="19">
        <v>47.774999999999999</v>
      </c>
      <c r="I354" s="7">
        <f t="shared" si="43"/>
        <v>0</v>
      </c>
      <c r="J354" s="7">
        <f>IFERROR(VLOOKUP(D354,Event_Master!B:E,4,FALSE),1)</f>
        <v>1</v>
      </c>
      <c r="K354" s="7">
        <f t="shared" si="44"/>
        <v>0</v>
      </c>
      <c r="L354" s="19">
        <f t="shared" si="45"/>
        <v>47.774999999999999</v>
      </c>
    </row>
    <row r="355" spans="1:12">
      <c r="A355" s="20">
        <v>46027</v>
      </c>
      <c r="B355" s="17">
        <v>396485</v>
      </c>
      <c r="C355" s="18" t="s">
        <v>135</v>
      </c>
      <c r="D355" s="7" t="s">
        <v>206</v>
      </c>
      <c r="E355" s="7" t="s">
        <v>231</v>
      </c>
      <c r="F355" s="7" t="s">
        <v>231</v>
      </c>
      <c r="G355" s="7"/>
      <c r="H355" s="19">
        <v>47.528199999999998</v>
      </c>
      <c r="I355" s="7">
        <f t="shared" si="43"/>
        <v>0</v>
      </c>
      <c r="J355" s="7">
        <f>IFERROR(VLOOKUP(D355,Event_Master!B:E,4,FALSE),1)</f>
        <v>1</v>
      </c>
      <c r="K355" s="7">
        <f t="shared" si="44"/>
        <v>0</v>
      </c>
      <c r="L355" s="19">
        <f t="shared" si="45"/>
        <v>47.528199999999998</v>
      </c>
    </row>
    <row r="356" spans="1:12">
      <c r="A356" s="20">
        <v>46027</v>
      </c>
      <c r="B356" s="17">
        <v>435548</v>
      </c>
      <c r="C356" s="18" t="s">
        <v>56</v>
      </c>
      <c r="D356" s="7" t="s">
        <v>206</v>
      </c>
      <c r="E356" s="7" t="s">
        <v>231</v>
      </c>
      <c r="F356" s="7" t="s">
        <v>231</v>
      </c>
      <c r="G356" s="7"/>
      <c r="H356" s="19">
        <v>47.0092</v>
      </c>
      <c r="I356" s="7">
        <f t="shared" si="43"/>
        <v>0</v>
      </c>
      <c r="J356" s="7">
        <f>IFERROR(VLOOKUP(D356,Event_Master!B:E,4,FALSE),1)</f>
        <v>1</v>
      </c>
      <c r="K356" s="7">
        <f t="shared" si="44"/>
        <v>0</v>
      </c>
      <c r="L356" s="19">
        <f t="shared" si="45"/>
        <v>47.0092</v>
      </c>
    </row>
    <row r="357" spans="1:12">
      <c r="A357" s="20">
        <v>46027</v>
      </c>
      <c r="B357" s="17">
        <v>473266</v>
      </c>
      <c r="C357" s="18" t="s">
        <v>133</v>
      </c>
      <c r="D357" s="7" t="s">
        <v>206</v>
      </c>
      <c r="E357" s="7" t="s">
        <v>231</v>
      </c>
      <c r="F357" s="7" t="s">
        <v>231</v>
      </c>
      <c r="G357" s="7"/>
      <c r="H357" s="19">
        <v>45.494999999999997</v>
      </c>
      <c r="I357" s="7">
        <f t="shared" si="43"/>
        <v>0</v>
      </c>
      <c r="J357" s="7">
        <f>IFERROR(VLOOKUP(D357,Event_Master!B:E,4,FALSE),1)</f>
        <v>1</v>
      </c>
      <c r="K357" s="7">
        <f t="shared" si="44"/>
        <v>0</v>
      </c>
      <c r="L357" s="19">
        <f t="shared" si="45"/>
        <v>45.494999999999997</v>
      </c>
    </row>
    <row r="358" spans="1:12">
      <c r="A358" s="20">
        <v>46027</v>
      </c>
      <c r="B358" s="17">
        <v>449891</v>
      </c>
      <c r="C358" s="18" t="s">
        <v>260</v>
      </c>
      <c r="D358" s="7" t="s">
        <v>206</v>
      </c>
      <c r="E358" s="7" t="s">
        <v>231</v>
      </c>
      <c r="F358" s="7" t="s">
        <v>231</v>
      </c>
      <c r="G358" s="7"/>
      <c r="H358" s="19">
        <v>42.764600000000002</v>
      </c>
      <c r="I358" s="7">
        <f t="shared" si="43"/>
        <v>0</v>
      </c>
      <c r="J358" s="7">
        <f>IFERROR(VLOOKUP(D358,Event_Master!B:E,4,FALSE),1)</f>
        <v>1</v>
      </c>
      <c r="K358" s="7">
        <f t="shared" si="44"/>
        <v>0</v>
      </c>
      <c r="L358" s="19">
        <f t="shared" si="45"/>
        <v>42.764600000000002</v>
      </c>
    </row>
    <row r="359" spans="1:12">
      <c r="A359" s="20">
        <v>46027</v>
      </c>
      <c r="B359" s="17">
        <v>468660</v>
      </c>
      <c r="C359" s="18" t="s">
        <v>272</v>
      </c>
      <c r="D359" s="7" t="s">
        <v>206</v>
      </c>
      <c r="E359" s="7" t="s">
        <v>231</v>
      </c>
      <c r="F359" s="7" t="s">
        <v>231</v>
      </c>
      <c r="G359" s="7"/>
      <c r="H359" s="19">
        <v>41.6492</v>
      </c>
      <c r="I359" s="7">
        <f t="shared" si="43"/>
        <v>0</v>
      </c>
      <c r="J359" s="7">
        <f>IFERROR(VLOOKUP(D359,Event_Master!B:E,4,FALSE),1)</f>
        <v>1</v>
      </c>
      <c r="K359" s="7">
        <f t="shared" si="44"/>
        <v>0</v>
      </c>
      <c r="L359" s="19">
        <f t="shared" si="45"/>
        <v>41.6492</v>
      </c>
    </row>
    <row r="360" spans="1:12">
      <c r="A360" s="20">
        <v>46027</v>
      </c>
      <c r="B360" s="17">
        <v>716610</v>
      </c>
      <c r="C360" s="18" t="s">
        <v>237</v>
      </c>
      <c r="D360" s="7" t="s">
        <v>206</v>
      </c>
      <c r="E360" s="7" t="s">
        <v>231</v>
      </c>
      <c r="F360" s="7" t="s">
        <v>231</v>
      </c>
      <c r="G360" s="7"/>
      <c r="H360" s="19">
        <v>41.2881</v>
      </c>
      <c r="I360" s="7">
        <f t="shared" si="43"/>
        <v>0</v>
      </c>
      <c r="J360" s="7">
        <f>IFERROR(VLOOKUP(D360,Event_Master!B:E,4,FALSE),1)</f>
        <v>1</v>
      </c>
      <c r="K360" s="7">
        <f t="shared" si="44"/>
        <v>0</v>
      </c>
      <c r="L360" s="19">
        <f t="shared" si="45"/>
        <v>41.2881</v>
      </c>
    </row>
    <row r="361" spans="1:12">
      <c r="A361" s="20">
        <v>46027</v>
      </c>
      <c r="B361" s="17">
        <v>478308</v>
      </c>
      <c r="C361" s="18" t="s">
        <v>233</v>
      </c>
      <c r="D361" s="7" t="s">
        <v>206</v>
      </c>
      <c r="E361" s="7" t="s">
        <v>231</v>
      </c>
      <c r="F361" s="7" t="s">
        <v>231</v>
      </c>
      <c r="G361" s="7"/>
      <c r="H361" s="19">
        <v>40.737400000000001</v>
      </c>
      <c r="I361" s="7">
        <f t="shared" si="43"/>
        <v>0</v>
      </c>
      <c r="J361" s="7">
        <f>IFERROR(VLOOKUP(D361,Event_Master!B:E,4,FALSE),1)</f>
        <v>1</v>
      </c>
      <c r="K361" s="7">
        <f t="shared" si="44"/>
        <v>0</v>
      </c>
      <c r="L361" s="19">
        <f t="shared" si="45"/>
        <v>40.737400000000001</v>
      </c>
    </row>
    <row r="362" spans="1:12">
      <c r="A362" s="20">
        <v>46027</v>
      </c>
      <c r="B362" s="17">
        <v>465255</v>
      </c>
      <c r="C362" s="18" t="s">
        <v>251</v>
      </c>
      <c r="D362" s="7" t="s">
        <v>206</v>
      </c>
      <c r="E362" s="7" t="s">
        <v>231</v>
      </c>
      <c r="F362" s="7" t="s">
        <v>231</v>
      </c>
      <c r="G362" s="7"/>
      <c r="H362" s="19">
        <v>40.287399999999998</v>
      </c>
      <c r="I362" s="7">
        <f t="shared" si="43"/>
        <v>0</v>
      </c>
      <c r="J362" s="7">
        <f>IFERROR(VLOOKUP(D362,Event_Master!B:E,4,FALSE),1)</f>
        <v>1</v>
      </c>
      <c r="K362" s="7">
        <f t="shared" si="44"/>
        <v>0</v>
      </c>
      <c r="L362" s="19">
        <f t="shared" si="45"/>
        <v>40.287399999999998</v>
      </c>
    </row>
    <row r="363" spans="1:12">
      <c r="A363" s="20">
        <v>46027</v>
      </c>
      <c r="B363" s="17">
        <v>464188</v>
      </c>
      <c r="C363" s="18" t="s">
        <v>59</v>
      </c>
      <c r="D363" s="7" t="s">
        <v>206</v>
      </c>
      <c r="E363" s="7" t="s">
        <v>231</v>
      </c>
      <c r="F363" s="7" t="s">
        <v>231</v>
      </c>
      <c r="G363" s="7"/>
      <c r="H363" s="19">
        <v>40.005000000000003</v>
      </c>
      <c r="I363" s="7">
        <f t="shared" si="43"/>
        <v>0</v>
      </c>
      <c r="J363" s="7">
        <f>IFERROR(VLOOKUP(D363,Event_Master!B:E,4,FALSE),1)</f>
        <v>1</v>
      </c>
      <c r="K363" s="7">
        <f t="shared" si="44"/>
        <v>0</v>
      </c>
      <c r="L363" s="19">
        <f t="shared" si="45"/>
        <v>40.005000000000003</v>
      </c>
    </row>
    <row r="364" spans="1:12">
      <c r="A364" s="20">
        <v>46027</v>
      </c>
      <c r="B364" s="17">
        <v>452119</v>
      </c>
      <c r="C364" s="18" t="s">
        <v>153</v>
      </c>
      <c r="D364" s="7" t="s">
        <v>206</v>
      </c>
      <c r="E364" s="7" t="s">
        <v>231</v>
      </c>
      <c r="F364" s="7" t="s">
        <v>231</v>
      </c>
      <c r="G364" s="7"/>
      <c r="H364" s="19">
        <v>39.185699999999997</v>
      </c>
      <c r="I364" s="7">
        <f t="shared" si="43"/>
        <v>0</v>
      </c>
      <c r="J364" s="7">
        <f>IFERROR(VLOOKUP(D364,Event_Master!B:E,4,FALSE),1)</f>
        <v>1</v>
      </c>
      <c r="K364" s="7">
        <f t="shared" si="44"/>
        <v>0</v>
      </c>
      <c r="L364" s="19">
        <f t="shared" si="45"/>
        <v>39.185699999999997</v>
      </c>
    </row>
    <row r="365" spans="1:12">
      <c r="A365" s="20">
        <v>46027</v>
      </c>
      <c r="B365" s="17">
        <v>416828</v>
      </c>
      <c r="C365" s="18" t="s">
        <v>61</v>
      </c>
      <c r="D365" s="7" t="s">
        <v>206</v>
      </c>
      <c r="E365" s="7" t="s">
        <v>231</v>
      </c>
      <c r="F365" s="7" t="s">
        <v>231</v>
      </c>
      <c r="G365" s="7"/>
      <c r="H365" s="19">
        <v>39.1252</v>
      </c>
      <c r="I365" s="7">
        <f t="shared" si="43"/>
        <v>0</v>
      </c>
      <c r="J365" s="7">
        <f>IFERROR(VLOOKUP(D365,Event_Master!B:E,4,FALSE),1)</f>
        <v>1</v>
      </c>
      <c r="K365" s="7">
        <f t="shared" si="44"/>
        <v>0</v>
      </c>
      <c r="L365" s="19">
        <f t="shared" si="45"/>
        <v>39.1252</v>
      </c>
    </row>
    <row r="366" spans="1:12">
      <c r="A366" s="20">
        <v>46027</v>
      </c>
      <c r="B366" s="17">
        <v>722393</v>
      </c>
      <c r="C366" s="18" t="s">
        <v>156</v>
      </c>
      <c r="D366" s="7" t="s">
        <v>206</v>
      </c>
      <c r="E366" s="7" t="s">
        <v>231</v>
      </c>
      <c r="F366" s="7" t="s">
        <v>231</v>
      </c>
      <c r="G366" s="7"/>
      <c r="H366" s="19">
        <v>38.125799999999998</v>
      </c>
      <c r="I366" s="7">
        <f t="shared" si="43"/>
        <v>0</v>
      </c>
      <c r="J366" s="7">
        <f>IFERROR(VLOOKUP(D366,Event_Master!B:E,4,FALSE),1)</f>
        <v>1</v>
      </c>
      <c r="K366" s="7">
        <f t="shared" si="44"/>
        <v>0</v>
      </c>
      <c r="L366" s="19">
        <f t="shared" si="45"/>
        <v>38.125799999999998</v>
      </c>
    </row>
    <row r="367" spans="1:12">
      <c r="A367" s="20">
        <v>46027</v>
      </c>
      <c r="B367" s="17">
        <v>454456</v>
      </c>
      <c r="C367" s="18" t="s">
        <v>162</v>
      </c>
      <c r="D367" s="7" t="s">
        <v>206</v>
      </c>
      <c r="E367" s="7" t="s">
        <v>231</v>
      </c>
      <c r="F367" s="7" t="s">
        <v>231</v>
      </c>
      <c r="G367" s="7"/>
      <c r="H367" s="19">
        <v>37.217199999999998</v>
      </c>
      <c r="I367" s="7">
        <f t="shared" si="43"/>
        <v>0</v>
      </c>
      <c r="J367" s="7">
        <f>IFERROR(VLOOKUP(D367,Event_Master!B:E,4,FALSE),1)</f>
        <v>1</v>
      </c>
      <c r="K367" s="7">
        <f t="shared" si="44"/>
        <v>0</v>
      </c>
      <c r="L367" s="19">
        <f t="shared" si="45"/>
        <v>37.217199999999998</v>
      </c>
    </row>
    <row r="368" spans="1:12">
      <c r="A368" s="20">
        <v>46027</v>
      </c>
      <c r="B368" s="17">
        <v>464871</v>
      </c>
      <c r="C368" s="18" t="s">
        <v>27</v>
      </c>
      <c r="D368" s="7" t="s">
        <v>206</v>
      </c>
      <c r="E368" s="7" t="s">
        <v>231</v>
      </c>
      <c r="F368" s="7" t="s">
        <v>231</v>
      </c>
      <c r="G368" s="7"/>
      <c r="H368" s="19">
        <v>35.935099999999998</v>
      </c>
      <c r="I368" s="7">
        <f t="shared" si="43"/>
        <v>0</v>
      </c>
      <c r="J368" s="7">
        <f>IFERROR(VLOOKUP(D368,Event_Master!B:E,4,FALSE),1)</f>
        <v>1</v>
      </c>
      <c r="K368" s="7">
        <f t="shared" si="44"/>
        <v>0</v>
      </c>
      <c r="L368" s="19">
        <f t="shared" si="45"/>
        <v>35.935099999999998</v>
      </c>
    </row>
    <row r="369" spans="1:12">
      <c r="A369" s="20">
        <v>46027</v>
      </c>
      <c r="B369" s="17">
        <v>470301</v>
      </c>
      <c r="C369" s="18" t="s">
        <v>9</v>
      </c>
      <c r="D369" s="7" t="s">
        <v>206</v>
      </c>
      <c r="E369" s="7" t="s">
        <v>231</v>
      </c>
      <c r="F369" s="7" t="s">
        <v>231</v>
      </c>
      <c r="G369" s="7"/>
      <c r="H369" s="19">
        <v>35.906599999999997</v>
      </c>
      <c r="I369" s="7">
        <f t="shared" si="43"/>
        <v>0</v>
      </c>
      <c r="J369" s="7">
        <f>IFERROR(VLOOKUP(D369,Event_Master!B:E,4,FALSE),1)</f>
        <v>1</v>
      </c>
      <c r="K369" s="7">
        <f t="shared" si="44"/>
        <v>0</v>
      </c>
      <c r="L369" s="19">
        <f t="shared" si="45"/>
        <v>35.906599999999997</v>
      </c>
    </row>
    <row r="370" spans="1:12">
      <c r="A370" s="20">
        <v>46027</v>
      </c>
      <c r="B370" s="17">
        <v>446300</v>
      </c>
      <c r="C370" s="18" t="s">
        <v>148</v>
      </c>
      <c r="D370" s="7" t="s">
        <v>206</v>
      </c>
      <c r="E370" s="7" t="s">
        <v>231</v>
      </c>
      <c r="F370" s="7" t="s">
        <v>231</v>
      </c>
      <c r="G370" s="7"/>
      <c r="H370" s="19">
        <v>35.349499999999999</v>
      </c>
      <c r="I370" s="7">
        <f t="shared" si="43"/>
        <v>0</v>
      </c>
      <c r="J370" s="7">
        <f>IFERROR(VLOOKUP(D370,Event_Master!B:E,4,FALSE),1)</f>
        <v>1</v>
      </c>
      <c r="K370" s="7">
        <f t="shared" si="44"/>
        <v>0</v>
      </c>
      <c r="L370" s="19">
        <f t="shared" si="45"/>
        <v>35.349499999999999</v>
      </c>
    </row>
    <row r="371" spans="1:12">
      <c r="A371" s="20">
        <v>46027</v>
      </c>
      <c r="B371" s="17">
        <v>420109</v>
      </c>
      <c r="C371" s="18" t="s">
        <v>129</v>
      </c>
      <c r="D371" s="7" t="s">
        <v>206</v>
      </c>
      <c r="E371" s="7" t="s">
        <v>231</v>
      </c>
      <c r="F371" s="7" t="s">
        <v>231</v>
      </c>
      <c r="G371" s="7"/>
      <c r="H371" s="19">
        <v>35.144799999999996</v>
      </c>
      <c r="I371" s="7">
        <f t="shared" si="43"/>
        <v>0</v>
      </c>
      <c r="J371" s="7">
        <f>IFERROR(VLOOKUP(D371,Event_Master!B:E,4,FALSE),1)</f>
        <v>1</v>
      </c>
      <c r="K371" s="7">
        <f t="shared" si="44"/>
        <v>0</v>
      </c>
      <c r="L371" s="19">
        <f t="shared" si="45"/>
        <v>35.144799999999996</v>
      </c>
    </row>
    <row r="372" spans="1:12">
      <c r="A372" s="20">
        <v>46027</v>
      </c>
      <c r="B372" s="17">
        <v>452799</v>
      </c>
      <c r="C372" s="18" t="s">
        <v>171</v>
      </c>
      <c r="D372" s="7" t="s">
        <v>206</v>
      </c>
      <c r="E372" s="7" t="s">
        <v>231</v>
      </c>
      <c r="F372" s="7" t="s">
        <v>231</v>
      </c>
      <c r="G372" s="7"/>
      <c r="H372" s="19">
        <v>34.863399999999999</v>
      </c>
      <c r="I372" s="7">
        <f t="shared" si="43"/>
        <v>0</v>
      </c>
      <c r="J372" s="7">
        <f>IFERROR(VLOOKUP(D372,Event_Master!B:E,4,FALSE),1)</f>
        <v>1</v>
      </c>
      <c r="K372" s="7">
        <f t="shared" si="44"/>
        <v>0</v>
      </c>
      <c r="L372" s="19">
        <f t="shared" si="45"/>
        <v>34.863399999999999</v>
      </c>
    </row>
    <row r="373" spans="1:12">
      <c r="A373" s="20">
        <v>46027</v>
      </c>
      <c r="B373" s="17">
        <v>722183</v>
      </c>
      <c r="C373" s="18" t="s">
        <v>242</v>
      </c>
      <c r="D373" s="7" t="s">
        <v>206</v>
      </c>
      <c r="E373" s="7" t="s">
        <v>231</v>
      </c>
      <c r="F373" s="7" t="s">
        <v>231</v>
      </c>
      <c r="G373" s="7"/>
      <c r="H373" s="19">
        <v>33.959899999999998</v>
      </c>
      <c r="I373" s="7">
        <f t="shared" si="43"/>
        <v>0</v>
      </c>
      <c r="J373" s="7">
        <f>IFERROR(VLOOKUP(D373,Event_Master!B:E,4,FALSE),1)</f>
        <v>1</v>
      </c>
      <c r="K373" s="7">
        <f t="shared" si="44"/>
        <v>0</v>
      </c>
      <c r="L373" s="19">
        <f t="shared" si="45"/>
        <v>33.959899999999998</v>
      </c>
    </row>
    <row r="374" spans="1:12">
      <c r="A374" s="20">
        <v>46027</v>
      </c>
      <c r="B374" s="17">
        <v>428544</v>
      </c>
      <c r="C374" s="18" t="s">
        <v>93</v>
      </c>
      <c r="D374" s="7" t="s">
        <v>206</v>
      </c>
      <c r="E374" s="7" t="s">
        <v>231</v>
      </c>
      <c r="F374" s="7" t="s">
        <v>231</v>
      </c>
      <c r="G374" s="7"/>
      <c r="H374" s="19">
        <v>33.491199999999999</v>
      </c>
      <c r="I374" s="7">
        <f t="shared" si="43"/>
        <v>0</v>
      </c>
      <c r="J374" s="7">
        <f>IFERROR(VLOOKUP(D374,Event_Master!B:E,4,FALSE),1)</f>
        <v>1</v>
      </c>
      <c r="K374" s="7">
        <f t="shared" si="44"/>
        <v>0</v>
      </c>
      <c r="L374" s="19">
        <f t="shared" si="45"/>
        <v>33.491199999999999</v>
      </c>
    </row>
    <row r="375" spans="1:12">
      <c r="A375" s="20">
        <v>46027</v>
      </c>
      <c r="B375" s="17">
        <v>458702</v>
      </c>
      <c r="C375" s="18" t="s">
        <v>132</v>
      </c>
      <c r="D375" s="7" t="s">
        <v>206</v>
      </c>
      <c r="E375" s="7" t="s">
        <v>231</v>
      </c>
      <c r="F375" s="7" t="s">
        <v>231</v>
      </c>
      <c r="G375" s="7"/>
      <c r="H375" s="19">
        <v>33.339100000000002</v>
      </c>
      <c r="I375" s="7">
        <f t="shared" si="43"/>
        <v>0</v>
      </c>
      <c r="J375" s="7">
        <f>IFERROR(VLOOKUP(D375,Event_Master!B:E,4,FALSE),1)</f>
        <v>1</v>
      </c>
      <c r="K375" s="7">
        <f t="shared" si="44"/>
        <v>0</v>
      </c>
      <c r="L375" s="19">
        <f t="shared" si="45"/>
        <v>33.339100000000002</v>
      </c>
    </row>
    <row r="376" spans="1:12">
      <c r="A376" s="20">
        <v>46027</v>
      </c>
      <c r="B376" s="17">
        <v>460692</v>
      </c>
      <c r="C376" s="18" t="s">
        <v>173</v>
      </c>
      <c r="D376" s="7" t="s">
        <v>206</v>
      </c>
      <c r="E376" s="7" t="s">
        <v>231</v>
      </c>
      <c r="F376" s="7" t="s">
        <v>231</v>
      </c>
      <c r="G376" s="7"/>
      <c r="H376" s="19">
        <v>33.2239</v>
      </c>
      <c r="I376" s="7">
        <f t="shared" si="43"/>
        <v>0</v>
      </c>
      <c r="J376" s="7">
        <f>IFERROR(VLOOKUP(D376,Event_Master!B:E,4,FALSE),1)</f>
        <v>1</v>
      </c>
      <c r="K376" s="7">
        <f t="shared" si="44"/>
        <v>0</v>
      </c>
      <c r="L376" s="19">
        <f t="shared" si="45"/>
        <v>33.2239</v>
      </c>
    </row>
    <row r="377" spans="1:12">
      <c r="A377" s="20">
        <v>46027</v>
      </c>
      <c r="B377" s="17">
        <v>487107</v>
      </c>
      <c r="C377" s="18" t="s">
        <v>280</v>
      </c>
      <c r="D377" s="7" t="s">
        <v>206</v>
      </c>
      <c r="E377" s="7" t="s">
        <v>231</v>
      </c>
      <c r="F377" s="7" t="s">
        <v>231</v>
      </c>
      <c r="G377" s="7"/>
      <c r="H377" s="19">
        <v>33.0854</v>
      </c>
      <c r="I377" s="7">
        <f t="shared" si="43"/>
        <v>0</v>
      </c>
      <c r="J377" s="7">
        <f>IFERROR(VLOOKUP(D377,Event_Master!B:E,4,FALSE),1)</f>
        <v>1</v>
      </c>
      <c r="K377" s="7">
        <f t="shared" si="44"/>
        <v>0</v>
      </c>
      <c r="L377" s="19">
        <f t="shared" si="45"/>
        <v>33.0854</v>
      </c>
    </row>
    <row r="378" spans="1:12">
      <c r="A378" s="20">
        <v>46027</v>
      </c>
      <c r="B378" s="17">
        <v>467544</v>
      </c>
      <c r="C378" s="18" t="s">
        <v>78</v>
      </c>
      <c r="D378" s="7" t="s">
        <v>206</v>
      </c>
      <c r="E378" s="7" t="s">
        <v>231</v>
      </c>
      <c r="F378" s="7" t="s">
        <v>231</v>
      </c>
      <c r="G378" s="7"/>
      <c r="H378" s="19">
        <v>32.872</v>
      </c>
      <c r="I378" s="7">
        <f t="shared" si="43"/>
        <v>0</v>
      </c>
      <c r="J378" s="7">
        <f>IFERROR(VLOOKUP(D378,Event_Master!B:E,4,FALSE),1)</f>
        <v>1</v>
      </c>
      <c r="K378" s="7">
        <f t="shared" si="44"/>
        <v>0</v>
      </c>
      <c r="L378" s="19">
        <f t="shared" si="45"/>
        <v>32.872</v>
      </c>
    </row>
    <row r="379" spans="1:12">
      <c r="A379" s="20">
        <v>46027</v>
      </c>
      <c r="B379" s="17">
        <v>467519</v>
      </c>
      <c r="C379" s="18" t="s">
        <v>80</v>
      </c>
      <c r="D379" s="7" t="s">
        <v>206</v>
      </c>
      <c r="E379" s="7" t="s">
        <v>231</v>
      </c>
      <c r="F379" s="7" t="s">
        <v>231</v>
      </c>
      <c r="G379" s="7"/>
      <c r="H379" s="19">
        <v>32.805900000000001</v>
      </c>
      <c r="I379" s="7">
        <f t="shared" si="43"/>
        <v>0</v>
      </c>
      <c r="J379" s="7">
        <f>IFERROR(VLOOKUP(D379,Event_Master!B:E,4,FALSE),1)</f>
        <v>1</v>
      </c>
      <c r="K379" s="7">
        <f t="shared" si="44"/>
        <v>0</v>
      </c>
      <c r="L379" s="19">
        <f t="shared" si="45"/>
        <v>32.805900000000001</v>
      </c>
    </row>
    <row r="380" spans="1:12">
      <c r="A380" s="20">
        <v>46027</v>
      </c>
      <c r="B380" s="17">
        <v>460284</v>
      </c>
      <c r="C380" s="18" t="s">
        <v>136</v>
      </c>
      <c r="D380" s="7" t="s">
        <v>206</v>
      </c>
      <c r="E380" s="7" t="s">
        <v>231</v>
      </c>
      <c r="F380" s="7" t="s">
        <v>231</v>
      </c>
      <c r="G380" s="7"/>
      <c r="H380" s="19">
        <v>32.028100000000002</v>
      </c>
      <c r="I380" s="7">
        <f t="shared" si="43"/>
        <v>0</v>
      </c>
      <c r="J380" s="7">
        <f>IFERROR(VLOOKUP(D380,Event_Master!B:E,4,FALSE),1)</f>
        <v>1</v>
      </c>
      <c r="K380" s="7">
        <f t="shared" si="44"/>
        <v>0</v>
      </c>
      <c r="L380" s="19">
        <f t="shared" si="45"/>
        <v>32.028100000000002</v>
      </c>
    </row>
    <row r="381" spans="1:12">
      <c r="A381" s="20">
        <v>46027</v>
      </c>
      <c r="B381" s="17">
        <v>478084</v>
      </c>
      <c r="C381" s="18" t="s">
        <v>240</v>
      </c>
      <c r="D381" s="7" t="s">
        <v>206</v>
      </c>
      <c r="E381" s="7" t="s">
        <v>231</v>
      </c>
      <c r="F381" s="7" t="s">
        <v>231</v>
      </c>
      <c r="G381" s="7"/>
      <c r="H381" s="19">
        <v>31.4697</v>
      </c>
      <c r="I381" s="7">
        <f t="shared" si="43"/>
        <v>0</v>
      </c>
      <c r="J381" s="7">
        <f>IFERROR(VLOOKUP(D381,Event_Master!B:E,4,FALSE),1)</f>
        <v>1</v>
      </c>
      <c r="K381" s="7">
        <f t="shared" si="44"/>
        <v>0</v>
      </c>
      <c r="L381" s="19">
        <f t="shared" si="45"/>
        <v>31.4697</v>
      </c>
    </row>
    <row r="382" spans="1:12">
      <c r="A382" s="20">
        <v>46027</v>
      </c>
      <c r="B382" s="17">
        <v>452056</v>
      </c>
      <c r="C382" s="18" t="s">
        <v>281</v>
      </c>
      <c r="D382" s="7" t="s">
        <v>206</v>
      </c>
      <c r="E382" s="7" t="s">
        <v>231</v>
      </c>
      <c r="F382" s="7" t="s">
        <v>231</v>
      </c>
      <c r="G382" s="7"/>
      <c r="H382" s="19">
        <v>29.883800000000001</v>
      </c>
      <c r="I382" s="7">
        <f t="shared" si="43"/>
        <v>0</v>
      </c>
      <c r="J382" s="7">
        <f>IFERROR(VLOOKUP(D382,Event_Master!B:E,4,FALSE),1)</f>
        <v>1</v>
      </c>
      <c r="K382" s="7">
        <f t="shared" si="44"/>
        <v>0</v>
      </c>
      <c r="L382" s="19">
        <f t="shared" si="45"/>
        <v>29.883800000000001</v>
      </c>
    </row>
    <row r="383" spans="1:12">
      <c r="A383" s="20">
        <v>46027</v>
      </c>
      <c r="B383" s="17">
        <v>476372</v>
      </c>
      <c r="C383" s="18" t="s">
        <v>244</v>
      </c>
      <c r="D383" s="7" t="s">
        <v>206</v>
      </c>
      <c r="E383" s="7" t="s">
        <v>231</v>
      </c>
      <c r="F383" s="7" t="s">
        <v>231</v>
      </c>
      <c r="G383" s="7"/>
      <c r="H383" s="19">
        <v>29.7681</v>
      </c>
      <c r="I383" s="7">
        <f t="shared" si="43"/>
        <v>0</v>
      </c>
      <c r="J383" s="7">
        <f>IFERROR(VLOOKUP(D383,Event_Master!B:E,4,FALSE),1)</f>
        <v>1</v>
      </c>
      <c r="K383" s="7">
        <f t="shared" si="44"/>
        <v>0</v>
      </c>
      <c r="L383" s="19">
        <f t="shared" si="45"/>
        <v>29.7681</v>
      </c>
    </row>
    <row r="384" spans="1:12">
      <c r="A384" s="20">
        <v>46027</v>
      </c>
      <c r="B384" s="17">
        <v>465254</v>
      </c>
      <c r="C384" s="18" t="s">
        <v>174</v>
      </c>
      <c r="D384" s="7" t="s">
        <v>206</v>
      </c>
      <c r="E384" s="7" t="s">
        <v>231</v>
      </c>
      <c r="F384" s="7" t="s">
        <v>231</v>
      </c>
      <c r="G384" s="7"/>
      <c r="H384" s="19">
        <v>29.685500000000001</v>
      </c>
      <c r="I384" s="7">
        <f t="shared" si="43"/>
        <v>0</v>
      </c>
      <c r="J384" s="7">
        <f>IFERROR(VLOOKUP(D384,Event_Master!B:E,4,FALSE),1)</f>
        <v>1</v>
      </c>
      <c r="K384" s="7">
        <f t="shared" si="44"/>
        <v>0</v>
      </c>
      <c r="L384" s="19">
        <f t="shared" si="45"/>
        <v>29.685500000000001</v>
      </c>
    </row>
    <row r="385" spans="1:12">
      <c r="A385" s="20">
        <v>46027</v>
      </c>
      <c r="B385" s="17">
        <v>450030</v>
      </c>
      <c r="C385" s="18" t="s">
        <v>245</v>
      </c>
      <c r="D385" s="7" t="s">
        <v>206</v>
      </c>
      <c r="E385" s="7" t="s">
        <v>231</v>
      </c>
      <c r="F385" s="7" t="s">
        <v>231</v>
      </c>
      <c r="G385" s="7"/>
      <c r="H385" s="19">
        <v>29.072600000000001</v>
      </c>
      <c r="I385" s="7">
        <f t="shared" si="43"/>
        <v>0</v>
      </c>
      <c r="J385" s="7">
        <f>IFERROR(VLOOKUP(D385,Event_Master!B:E,4,FALSE),1)</f>
        <v>1</v>
      </c>
      <c r="K385" s="7">
        <f t="shared" si="44"/>
        <v>0</v>
      </c>
      <c r="L385" s="19">
        <f t="shared" si="45"/>
        <v>29.072600000000001</v>
      </c>
    </row>
    <row r="386" spans="1:12">
      <c r="A386" s="20">
        <v>46027</v>
      </c>
      <c r="B386" s="17">
        <v>486309</v>
      </c>
      <c r="C386" s="18" t="s">
        <v>87</v>
      </c>
      <c r="D386" s="7" t="s">
        <v>206</v>
      </c>
      <c r="E386" s="7" t="s">
        <v>231</v>
      </c>
      <c r="F386" s="7" t="s">
        <v>231</v>
      </c>
      <c r="G386" s="7"/>
      <c r="H386" s="19">
        <v>29.057200000000002</v>
      </c>
      <c r="I386" s="7">
        <f t="shared" si="43"/>
        <v>0</v>
      </c>
      <c r="J386" s="7">
        <f>IFERROR(VLOOKUP(D386,Event_Master!B:E,4,FALSE),1)</f>
        <v>1</v>
      </c>
      <c r="K386" s="7">
        <f t="shared" si="44"/>
        <v>0</v>
      </c>
      <c r="L386" s="19">
        <f t="shared" si="45"/>
        <v>29.057200000000002</v>
      </c>
    </row>
    <row r="387" spans="1:12">
      <c r="A387" s="20">
        <v>46027</v>
      </c>
      <c r="B387" s="17">
        <v>461161</v>
      </c>
      <c r="C387" s="18" t="s">
        <v>282</v>
      </c>
      <c r="D387" s="7" t="s">
        <v>206</v>
      </c>
      <c r="E387" s="7" t="s">
        <v>231</v>
      </c>
      <c r="F387" s="7" t="s">
        <v>231</v>
      </c>
      <c r="G387" s="7"/>
      <c r="H387" s="19">
        <v>28.761099999999999</v>
      </c>
      <c r="I387" s="7">
        <f t="shared" si="43"/>
        <v>0</v>
      </c>
      <c r="J387" s="7">
        <f>IFERROR(VLOOKUP(D387,Event_Master!B:E,4,FALSE),1)</f>
        <v>1</v>
      </c>
      <c r="K387" s="7">
        <f t="shared" si="44"/>
        <v>0</v>
      </c>
      <c r="L387" s="19">
        <f t="shared" si="45"/>
        <v>28.761099999999999</v>
      </c>
    </row>
    <row r="388" spans="1:12">
      <c r="A388" s="20">
        <v>46027</v>
      </c>
      <c r="B388" s="17">
        <v>710013</v>
      </c>
      <c r="C388" s="18" t="s">
        <v>243</v>
      </c>
      <c r="D388" s="7" t="s">
        <v>206</v>
      </c>
      <c r="E388" s="7" t="s">
        <v>231</v>
      </c>
      <c r="F388" s="7" t="s">
        <v>231</v>
      </c>
      <c r="G388" s="7"/>
      <c r="H388" s="19">
        <v>28.421800000000001</v>
      </c>
      <c r="I388" s="7">
        <f t="shared" si="43"/>
        <v>0</v>
      </c>
      <c r="J388" s="7">
        <f>IFERROR(VLOOKUP(D388,Event_Master!B:E,4,FALSE),1)</f>
        <v>1</v>
      </c>
      <c r="K388" s="7">
        <f t="shared" si="44"/>
        <v>0</v>
      </c>
      <c r="L388" s="19">
        <f t="shared" si="45"/>
        <v>28.421800000000001</v>
      </c>
    </row>
    <row r="389" spans="1:12">
      <c r="A389" s="20">
        <v>46027</v>
      </c>
      <c r="B389" s="17">
        <v>712428</v>
      </c>
      <c r="C389" s="18" t="s">
        <v>50</v>
      </c>
      <c r="D389" s="7" t="s">
        <v>206</v>
      </c>
      <c r="E389" s="7" t="s">
        <v>231</v>
      </c>
      <c r="F389" s="7" t="s">
        <v>231</v>
      </c>
      <c r="G389" s="7"/>
      <c r="H389" s="19">
        <v>28.313800000000001</v>
      </c>
      <c r="I389" s="7">
        <f t="shared" si="43"/>
        <v>0</v>
      </c>
      <c r="J389" s="7">
        <f>IFERROR(VLOOKUP(D389,Event_Master!B:E,4,FALSE),1)</f>
        <v>1</v>
      </c>
      <c r="K389" s="7">
        <f t="shared" si="44"/>
        <v>0</v>
      </c>
      <c r="L389" s="19">
        <f t="shared" si="45"/>
        <v>28.313800000000001</v>
      </c>
    </row>
    <row r="390" spans="1:12">
      <c r="A390" s="20">
        <v>46027</v>
      </c>
      <c r="B390" s="17">
        <v>450171</v>
      </c>
      <c r="C390" s="18" t="s">
        <v>262</v>
      </c>
      <c r="D390" s="7" t="s">
        <v>206</v>
      </c>
      <c r="E390" s="7" t="s">
        <v>231</v>
      </c>
      <c r="F390" s="7" t="s">
        <v>231</v>
      </c>
      <c r="G390" s="7"/>
      <c r="H390" s="19">
        <v>28.159700000000001</v>
      </c>
      <c r="I390" s="7">
        <f t="shared" si="43"/>
        <v>0</v>
      </c>
      <c r="J390" s="7">
        <f>IFERROR(VLOOKUP(D390,Event_Master!B:E,4,FALSE),1)</f>
        <v>1</v>
      </c>
      <c r="K390" s="7">
        <f t="shared" si="44"/>
        <v>0</v>
      </c>
      <c r="L390" s="19">
        <f t="shared" si="45"/>
        <v>28.159700000000001</v>
      </c>
    </row>
    <row r="391" spans="1:12">
      <c r="A391" s="20">
        <v>46027</v>
      </c>
      <c r="B391" s="17">
        <v>467068</v>
      </c>
      <c r="C391" s="18" t="s">
        <v>89</v>
      </c>
      <c r="D391" s="7" t="s">
        <v>206</v>
      </c>
      <c r="E391" s="7" t="s">
        <v>231</v>
      </c>
      <c r="F391" s="7" t="s">
        <v>231</v>
      </c>
      <c r="G391" s="7"/>
      <c r="H391" s="19">
        <v>28.109200000000001</v>
      </c>
      <c r="I391" s="7">
        <f t="shared" si="43"/>
        <v>0</v>
      </c>
      <c r="J391" s="7">
        <f>IFERROR(VLOOKUP(D391,Event_Master!B:E,4,FALSE),1)</f>
        <v>1</v>
      </c>
      <c r="K391" s="7">
        <f t="shared" si="44"/>
        <v>0</v>
      </c>
      <c r="L391" s="19">
        <f t="shared" si="45"/>
        <v>28.109200000000001</v>
      </c>
    </row>
    <row r="392" spans="1:12">
      <c r="A392" s="20">
        <v>46027</v>
      </c>
      <c r="B392" s="17">
        <v>472322</v>
      </c>
      <c r="C392" s="18" t="s">
        <v>72</v>
      </c>
      <c r="D392" s="7" t="s">
        <v>206</v>
      </c>
      <c r="E392" s="7" t="s">
        <v>231</v>
      </c>
      <c r="F392" s="7" t="s">
        <v>231</v>
      </c>
      <c r="G392" s="7"/>
      <c r="H392" s="19">
        <v>27.4893</v>
      </c>
      <c r="I392" s="7">
        <f t="shared" si="43"/>
        <v>0</v>
      </c>
      <c r="J392" s="7">
        <f>IFERROR(VLOOKUP(D392,Event_Master!B:E,4,FALSE),1)</f>
        <v>1</v>
      </c>
      <c r="K392" s="7">
        <f t="shared" si="44"/>
        <v>0</v>
      </c>
      <c r="L392" s="19">
        <f t="shared" si="45"/>
        <v>27.4893</v>
      </c>
    </row>
    <row r="393" spans="1:12">
      <c r="A393" s="20">
        <v>46027</v>
      </c>
      <c r="B393" s="17">
        <v>463059</v>
      </c>
      <c r="C393" s="18" t="s">
        <v>178</v>
      </c>
      <c r="D393" s="7" t="s">
        <v>206</v>
      </c>
      <c r="E393" s="7" t="s">
        <v>231</v>
      </c>
      <c r="F393" s="7" t="s">
        <v>231</v>
      </c>
      <c r="G393" s="7"/>
      <c r="H393" s="19">
        <v>27.4711</v>
      </c>
      <c r="I393" s="7">
        <f t="shared" si="43"/>
        <v>0</v>
      </c>
      <c r="J393" s="7">
        <f>IFERROR(VLOOKUP(D393,Event_Master!B:E,4,FALSE),1)</f>
        <v>1</v>
      </c>
      <c r="K393" s="7">
        <f t="shared" si="44"/>
        <v>0</v>
      </c>
      <c r="L393" s="19">
        <f t="shared" si="45"/>
        <v>27.4711</v>
      </c>
    </row>
    <row r="394" spans="1:12">
      <c r="A394" s="20">
        <v>46027</v>
      </c>
      <c r="B394" s="17">
        <v>472840</v>
      </c>
      <c r="C394" s="18" t="s">
        <v>181</v>
      </c>
      <c r="D394" s="7" t="s">
        <v>206</v>
      </c>
      <c r="E394" s="7" t="s">
        <v>231</v>
      </c>
      <c r="F394" s="7" t="s">
        <v>231</v>
      </c>
      <c r="G394" s="7"/>
      <c r="H394" s="19">
        <v>27.470800000000001</v>
      </c>
      <c r="I394" s="7">
        <f t="shared" si="43"/>
        <v>0</v>
      </c>
      <c r="J394" s="7">
        <f>IFERROR(VLOOKUP(D394,Event_Master!B:E,4,FALSE),1)</f>
        <v>1</v>
      </c>
      <c r="K394" s="7">
        <f t="shared" si="44"/>
        <v>0</v>
      </c>
      <c r="L394" s="19">
        <f t="shared" si="45"/>
        <v>27.470800000000001</v>
      </c>
    </row>
    <row r="395" spans="1:12">
      <c r="A395" s="20">
        <v>46027</v>
      </c>
      <c r="B395" s="17">
        <v>468157</v>
      </c>
      <c r="C395" s="18" t="s">
        <v>124</v>
      </c>
      <c r="D395" s="7" t="s">
        <v>206</v>
      </c>
      <c r="E395" s="7" t="s">
        <v>231</v>
      </c>
      <c r="F395" s="7" t="s">
        <v>231</v>
      </c>
      <c r="G395" s="7"/>
      <c r="H395" s="19">
        <v>27.411000000000001</v>
      </c>
      <c r="I395" s="7">
        <f t="shared" si="43"/>
        <v>0</v>
      </c>
      <c r="J395" s="7">
        <f>IFERROR(VLOOKUP(D395,Event_Master!B:E,4,FALSE),1)</f>
        <v>1</v>
      </c>
      <c r="K395" s="7">
        <f t="shared" si="44"/>
        <v>0</v>
      </c>
      <c r="L395" s="19">
        <f t="shared" si="45"/>
        <v>27.411000000000001</v>
      </c>
    </row>
    <row r="396" spans="1:12">
      <c r="A396" s="20">
        <v>46027</v>
      </c>
      <c r="B396" s="17">
        <v>451857</v>
      </c>
      <c r="C396" s="18" t="s">
        <v>264</v>
      </c>
      <c r="D396" s="7" t="s">
        <v>206</v>
      </c>
      <c r="E396" s="7" t="s">
        <v>231</v>
      </c>
      <c r="F396" s="7" t="s">
        <v>231</v>
      </c>
      <c r="G396" s="7"/>
      <c r="H396" s="19">
        <v>26.9373</v>
      </c>
      <c r="I396" s="7">
        <f t="shared" si="43"/>
        <v>0</v>
      </c>
      <c r="J396" s="7">
        <f>IFERROR(VLOOKUP(D396,Event_Master!B:E,4,FALSE),1)</f>
        <v>1</v>
      </c>
      <c r="K396" s="7">
        <f t="shared" si="44"/>
        <v>0</v>
      </c>
      <c r="L396" s="19">
        <f t="shared" si="45"/>
        <v>26.9373</v>
      </c>
    </row>
    <row r="397" spans="1:12">
      <c r="A397" s="20">
        <v>46027</v>
      </c>
      <c r="B397" s="17">
        <v>464500</v>
      </c>
      <c r="C397" s="18" t="s">
        <v>165</v>
      </c>
      <c r="D397" s="7" t="s">
        <v>206</v>
      </c>
      <c r="E397" s="7" t="s">
        <v>231</v>
      </c>
      <c r="F397" s="7" t="s">
        <v>231</v>
      </c>
      <c r="G397" s="7"/>
      <c r="H397" s="19">
        <v>26.573699999999999</v>
      </c>
      <c r="I397" s="7">
        <f t="shared" si="43"/>
        <v>0</v>
      </c>
      <c r="J397" s="7">
        <f>IFERROR(VLOOKUP(D397,Event_Master!B:E,4,FALSE),1)</f>
        <v>1</v>
      </c>
      <c r="K397" s="7">
        <f t="shared" si="44"/>
        <v>0</v>
      </c>
      <c r="L397" s="19">
        <f t="shared" si="45"/>
        <v>26.573699999999999</v>
      </c>
    </row>
    <row r="398" spans="1:12">
      <c r="A398" s="20">
        <v>46027</v>
      </c>
      <c r="B398" s="17">
        <v>474194</v>
      </c>
      <c r="C398" s="18" t="s">
        <v>70</v>
      </c>
      <c r="D398" s="7" t="s">
        <v>206</v>
      </c>
      <c r="E398" s="7" t="s">
        <v>231</v>
      </c>
      <c r="F398" s="7" t="s">
        <v>231</v>
      </c>
      <c r="G398" s="7"/>
      <c r="H398" s="19">
        <v>26.447299999999998</v>
      </c>
      <c r="I398" s="7">
        <f t="shared" si="43"/>
        <v>0</v>
      </c>
      <c r="J398" s="7">
        <f>IFERROR(VLOOKUP(D398,Event_Master!B:E,4,FALSE),1)</f>
        <v>1</v>
      </c>
      <c r="K398" s="7">
        <f t="shared" si="44"/>
        <v>0</v>
      </c>
      <c r="L398" s="19">
        <f t="shared" si="45"/>
        <v>26.447299999999998</v>
      </c>
    </row>
    <row r="399" spans="1:12">
      <c r="A399" s="20">
        <v>46027</v>
      </c>
      <c r="B399" s="17">
        <v>463660</v>
      </c>
      <c r="C399" s="18" t="s">
        <v>109</v>
      </c>
      <c r="D399" s="7" t="s">
        <v>206</v>
      </c>
      <c r="E399" s="7" t="s">
        <v>231</v>
      </c>
      <c r="F399" s="7" t="s">
        <v>231</v>
      </c>
      <c r="G399" s="7"/>
      <c r="H399" s="19">
        <v>26.242999999999999</v>
      </c>
      <c r="I399" s="7">
        <f t="shared" si="43"/>
        <v>0</v>
      </c>
      <c r="J399" s="7">
        <f>IFERROR(VLOOKUP(D399,Event_Master!B:E,4,FALSE),1)</f>
        <v>1</v>
      </c>
      <c r="K399" s="7">
        <f t="shared" si="44"/>
        <v>0</v>
      </c>
      <c r="L399" s="19">
        <f t="shared" si="45"/>
        <v>26.242999999999999</v>
      </c>
    </row>
    <row r="400" spans="1:12">
      <c r="A400" s="20">
        <v>46027</v>
      </c>
      <c r="B400" s="17">
        <v>433939</v>
      </c>
      <c r="C400" s="18" t="s">
        <v>138</v>
      </c>
      <c r="D400" s="7" t="s">
        <v>206</v>
      </c>
      <c r="E400" s="7" t="s">
        <v>231</v>
      </c>
      <c r="F400" s="7" t="s">
        <v>231</v>
      </c>
      <c r="G400" s="7"/>
      <c r="H400" s="19">
        <v>26.1995</v>
      </c>
      <c r="I400" s="7">
        <f t="shared" si="43"/>
        <v>0</v>
      </c>
      <c r="J400" s="7">
        <f>IFERROR(VLOOKUP(D400,Event_Master!B:E,4,FALSE),1)</f>
        <v>1</v>
      </c>
      <c r="K400" s="7">
        <f t="shared" si="44"/>
        <v>0</v>
      </c>
      <c r="L400" s="19">
        <f t="shared" si="45"/>
        <v>26.1995</v>
      </c>
    </row>
    <row r="401" spans="1:12">
      <c r="A401" s="20">
        <v>46027</v>
      </c>
      <c r="B401" s="17">
        <v>455024</v>
      </c>
      <c r="C401" s="18" t="s">
        <v>167</v>
      </c>
      <c r="D401" s="7" t="s">
        <v>206</v>
      </c>
      <c r="E401" s="7" t="s">
        <v>231</v>
      </c>
      <c r="F401" s="7" t="s">
        <v>231</v>
      </c>
      <c r="G401" s="7"/>
      <c r="H401" s="19">
        <v>26.114599999999999</v>
      </c>
      <c r="I401" s="7">
        <f t="shared" si="43"/>
        <v>0</v>
      </c>
      <c r="J401" s="7">
        <f>IFERROR(VLOOKUP(D401,Event_Master!B:E,4,FALSE),1)</f>
        <v>1</v>
      </c>
      <c r="K401" s="7">
        <f t="shared" si="44"/>
        <v>0</v>
      </c>
      <c r="L401" s="19">
        <f t="shared" si="45"/>
        <v>26.114599999999999</v>
      </c>
    </row>
    <row r="402" spans="1:12">
      <c r="A402" s="20">
        <v>46027</v>
      </c>
      <c r="B402" s="17">
        <v>453948</v>
      </c>
      <c r="C402" s="18" t="s">
        <v>126</v>
      </c>
      <c r="D402" s="7" t="s">
        <v>206</v>
      </c>
      <c r="E402" s="7" t="s">
        <v>231</v>
      </c>
      <c r="F402" s="7" t="s">
        <v>231</v>
      </c>
      <c r="G402" s="7"/>
      <c r="H402" s="19">
        <v>26.0289</v>
      </c>
      <c r="I402" s="7">
        <f t="shared" si="43"/>
        <v>0</v>
      </c>
      <c r="J402" s="7">
        <f>IFERROR(VLOOKUP(D402,Event_Master!B:E,4,FALSE),1)</f>
        <v>1</v>
      </c>
      <c r="K402" s="7">
        <f t="shared" si="44"/>
        <v>0</v>
      </c>
      <c r="L402" s="19">
        <f t="shared" si="45"/>
        <v>26.0289</v>
      </c>
    </row>
    <row r="403" spans="1:12">
      <c r="A403" s="20">
        <v>46027</v>
      </c>
      <c r="B403" s="17">
        <v>424332</v>
      </c>
      <c r="C403" s="18" t="s">
        <v>141</v>
      </c>
      <c r="D403" s="7" t="s">
        <v>206</v>
      </c>
      <c r="E403" s="7" t="s">
        <v>231</v>
      </c>
      <c r="F403" s="7" t="s">
        <v>231</v>
      </c>
      <c r="G403" s="7"/>
      <c r="H403" s="19">
        <v>26.017600000000002</v>
      </c>
      <c r="I403" s="7">
        <f t="shared" si="43"/>
        <v>0</v>
      </c>
      <c r="J403" s="7">
        <f>IFERROR(VLOOKUP(D403,Event_Master!B:E,4,FALSE),1)</f>
        <v>1</v>
      </c>
      <c r="K403" s="7">
        <f t="shared" si="44"/>
        <v>0</v>
      </c>
      <c r="L403" s="19">
        <f t="shared" si="45"/>
        <v>26.017600000000002</v>
      </c>
    </row>
    <row r="404" spans="1:12">
      <c r="A404" s="20">
        <v>46027</v>
      </c>
      <c r="B404" s="17">
        <v>709664</v>
      </c>
      <c r="C404" s="18" t="s">
        <v>134</v>
      </c>
      <c r="D404" s="7" t="s">
        <v>206</v>
      </c>
      <c r="E404" s="7" t="s">
        <v>231</v>
      </c>
      <c r="F404" s="7" t="s">
        <v>231</v>
      </c>
      <c r="G404" s="7"/>
      <c r="H404" s="19">
        <v>25.915299999999998</v>
      </c>
      <c r="I404" s="7">
        <f t="shared" si="43"/>
        <v>0</v>
      </c>
      <c r="J404" s="7">
        <f>IFERROR(VLOOKUP(D404,Event_Master!B:E,4,FALSE),1)</f>
        <v>1</v>
      </c>
      <c r="K404" s="7">
        <f t="shared" si="44"/>
        <v>0</v>
      </c>
      <c r="L404" s="19">
        <f t="shared" si="45"/>
        <v>25.915299999999998</v>
      </c>
    </row>
    <row r="405" spans="1:12">
      <c r="A405" s="20">
        <v>46027</v>
      </c>
      <c r="B405" s="17">
        <v>464193</v>
      </c>
      <c r="C405" s="18" t="s">
        <v>21</v>
      </c>
      <c r="D405" s="7" t="s">
        <v>206</v>
      </c>
      <c r="E405" s="7" t="s">
        <v>231</v>
      </c>
      <c r="F405" s="7" t="s">
        <v>231</v>
      </c>
      <c r="G405" s="7"/>
      <c r="H405" s="19">
        <v>25.761800000000001</v>
      </c>
      <c r="I405" s="7">
        <f t="shared" si="43"/>
        <v>0</v>
      </c>
      <c r="J405" s="7">
        <f>IFERROR(VLOOKUP(D405,Event_Master!B:E,4,FALSE),1)</f>
        <v>1</v>
      </c>
      <c r="K405" s="7">
        <f t="shared" si="44"/>
        <v>0</v>
      </c>
      <c r="L405" s="19">
        <f t="shared" si="45"/>
        <v>25.761800000000001</v>
      </c>
    </row>
    <row r="406" spans="1:12">
      <c r="A406" s="20">
        <v>46027</v>
      </c>
      <c r="B406" s="17">
        <v>460513</v>
      </c>
      <c r="C406" s="18" t="s">
        <v>91</v>
      </c>
      <c r="D406" s="7" t="s">
        <v>206</v>
      </c>
      <c r="E406" s="7" t="s">
        <v>231</v>
      </c>
      <c r="F406" s="7" t="s">
        <v>231</v>
      </c>
      <c r="G406" s="7"/>
      <c r="H406" s="19">
        <v>25.440999999999999</v>
      </c>
      <c r="I406" s="7">
        <f t="shared" si="43"/>
        <v>0</v>
      </c>
      <c r="J406" s="7">
        <f>IFERROR(VLOOKUP(D406,Event_Master!B:E,4,FALSE),1)</f>
        <v>1</v>
      </c>
      <c r="K406" s="7">
        <f t="shared" si="44"/>
        <v>0</v>
      </c>
      <c r="L406" s="19">
        <f t="shared" si="45"/>
        <v>25.440999999999999</v>
      </c>
    </row>
    <row r="407" spans="1:12">
      <c r="A407" s="20">
        <v>46027</v>
      </c>
      <c r="B407" s="17">
        <v>438263</v>
      </c>
      <c r="C407" s="18" t="s">
        <v>183</v>
      </c>
      <c r="D407" s="7" t="s">
        <v>206</v>
      </c>
      <c r="E407" s="7" t="s">
        <v>231</v>
      </c>
      <c r="F407" s="7" t="s">
        <v>231</v>
      </c>
      <c r="G407" s="7"/>
      <c r="H407" s="19">
        <v>25.408300000000001</v>
      </c>
      <c r="I407" s="7">
        <f t="shared" si="43"/>
        <v>0</v>
      </c>
      <c r="J407" s="7">
        <f>IFERROR(VLOOKUP(D407,Event_Master!B:E,4,FALSE),1)</f>
        <v>1</v>
      </c>
      <c r="K407" s="7">
        <f t="shared" si="44"/>
        <v>0</v>
      </c>
      <c r="L407" s="19">
        <f t="shared" si="45"/>
        <v>25.408300000000001</v>
      </c>
    </row>
    <row r="408" spans="1:12">
      <c r="A408" s="20">
        <v>46027</v>
      </c>
      <c r="B408" s="17">
        <v>452121</v>
      </c>
      <c r="C408" s="18" t="s">
        <v>283</v>
      </c>
      <c r="D408" s="7" t="s">
        <v>206</v>
      </c>
      <c r="E408" s="7" t="s">
        <v>231</v>
      </c>
      <c r="F408" s="7" t="s">
        <v>231</v>
      </c>
      <c r="G408" s="7"/>
      <c r="H408" s="19">
        <v>25.396699999999999</v>
      </c>
      <c r="I408" s="7">
        <f t="shared" si="43"/>
        <v>0</v>
      </c>
      <c r="J408" s="7">
        <f>IFERROR(VLOOKUP(D408,Event_Master!B:E,4,FALSE),1)</f>
        <v>1</v>
      </c>
      <c r="K408" s="7">
        <f t="shared" si="44"/>
        <v>0</v>
      </c>
      <c r="L408" s="19">
        <f t="shared" si="45"/>
        <v>25.396699999999999</v>
      </c>
    </row>
    <row r="409" spans="1:12">
      <c r="A409" s="20">
        <v>46027</v>
      </c>
      <c r="B409" s="17">
        <v>458749</v>
      </c>
      <c r="C409" s="18" t="s">
        <v>246</v>
      </c>
      <c r="D409" s="7" t="s">
        <v>206</v>
      </c>
      <c r="E409" s="7" t="s">
        <v>231</v>
      </c>
      <c r="F409" s="7" t="s">
        <v>231</v>
      </c>
      <c r="G409" s="7"/>
      <c r="H409" s="19">
        <v>25.3447</v>
      </c>
      <c r="I409" s="7">
        <f t="shared" si="43"/>
        <v>0</v>
      </c>
      <c r="J409" s="7">
        <f>IFERROR(VLOOKUP(D409,Event_Master!B:E,4,FALSE),1)</f>
        <v>1</v>
      </c>
      <c r="K409" s="7">
        <f t="shared" si="44"/>
        <v>0</v>
      </c>
      <c r="L409" s="19">
        <f t="shared" si="45"/>
        <v>25.3447</v>
      </c>
    </row>
    <row r="410" spans="1:12">
      <c r="A410" s="20">
        <v>46027</v>
      </c>
      <c r="B410" s="17">
        <v>706181</v>
      </c>
      <c r="C410" s="18" t="s">
        <v>76</v>
      </c>
      <c r="D410" s="7" t="s">
        <v>206</v>
      </c>
      <c r="E410" s="7" t="s">
        <v>231</v>
      </c>
      <c r="F410" s="7" t="s">
        <v>231</v>
      </c>
      <c r="G410" s="7"/>
      <c r="H410" s="19">
        <v>24.8154</v>
      </c>
      <c r="I410" s="7">
        <f t="shared" si="43"/>
        <v>0</v>
      </c>
      <c r="J410" s="7">
        <f>IFERROR(VLOOKUP(D410,Event_Master!B:E,4,FALSE),1)</f>
        <v>1</v>
      </c>
      <c r="K410" s="7">
        <f t="shared" si="44"/>
        <v>0</v>
      </c>
      <c r="L410" s="19">
        <f t="shared" si="45"/>
        <v>24.8154</v>
      </c>
    </row>
    <row r="411" spans="1:12">
      <c r="A411" s="20">
        <v>46027</v>
      </c>
      <c r="B411" s="17">
        <v>705995</v>
      </c>
      <c r="C411" s="18" t="s">
        <v>284</v>
      </c>
      <c r="D411" s="7" t="s">
        <v>206</v>
      </c>
      <c r="E411" s="7" t="s">
        <v>231</v>
      </c>
      <c r="F411" s="7" t="s">
        <v>231</v>
      </c>
      <c r="G411" s="7"/>
      <c r="H411" s="19">
        <v>24.595600000000001</v>
      </c>
      <c r="I411" s="7">
        <f t="shared" si="43"/>
        <v>0</v>
      </c>
      <c r="J411" s="7">
        <f>IFERROR(VLOOKUP(D411,Event_Master!B:E,4,FALSE),1)</f>
        <v>1</v>
      </c>
      <c r="K411" s="7">
        <f t="shared" si="44"/>
        <v>0</v>
      </c>
      <c r="L411" s="19">
        <f t="shared" si="45"/>
        <v>24.595600000000001</v>
      </c>
    </row>
    <row r="412" spans="1:12">
      <c r="A412" s="20">
        <v>46027</v>
      </c>
      <c r="B412" s="17">
        <v>440317</v>
      </c>
      <c r="C412" s="18" t="s">
        <v>29</v>
      </c>
      <c r="D412" s="7" t="s">
        <v>206</v>
      </c>
      <c r="E412" s="7" t="s">
        <v>231</v>
      </c>
      <c r="F412" s="7" t="s">
        <v>231</v>
      </c>
      <c r="G412" s="7"/>
      <c r="H412" s="19">
        <v>23.899100000000001</v>
      </c>
      <c r="I412" s="7">
        <f t="shared" si="43"/>
        <v>0</v>
      </c>
      <c r="J412" s="7">
        <f>IFERROR(VLOOKUP(D412,Event_Master!B:E,4,FALSE),1)</f>
        <v>1</v>
      </c>
      <c r="K412" s="7">
        <f t="shared" si="44"/>
        <v>0</v>
      </c>
      <c r="L412" s="19">
        <f t="shared" si="45"/>
        <v>23.899100000000001</v>
      </c>
    </row>
    <row r="413" spans="1:12">
      <c r="A413" s="20">
        <v>46027</v>
      </c>
      <c r="B413" s="17">
        <v>452076</v>
      </c>
      <c r="C413" s="18" t="s">
        <v>73</v>
      </c>
      <c r="D413" s="7" t="s">
        <v>206</v>
      </c>
      <c r="E413" s="7" t="s">
        <v>231</v>
      </c>
      <c r="F413" s="7" t="s">
        <v>231</v>
      </c>
      <c r="G413" s="7"/>
      <c r="H413" s="19">
        <v>23.565799999999999</v>
      </c>
      <c r="I413" s="7">
        <f t="shared" si="43"/>
        <v>0</v>
      </c>
      <c r="J413" s="7">
        <f>IFERROR(VLOOKUP(D413,Event_Master!B:E,4,FALSE),1)</f>
        <v>1</v>
      </c>
      <c r="K413" s="7">
        <f t="shared" si="44"/>
        <v>0</v>
      </c>
      <c r="L413" s="19">
        <f t="shared" si="45"/>
        <v>23.565799999999999</v>
      </c>
    </row>
    <row r="414" spans="1:12">
      <c r="A414" s="20">
        <v>46027</v>
      </c>
      <c r="B414" s="17">
        <v>452073</v>
      </c>
      <c r="C414" s="18" t="s">
        <v>285</v>
      </c>
      <c r="D414" s="7" t="s">
        <v>206</v>
      </c>
      <c r="E414" s="7" t="s">
        <v>231</v>
      </c>
      <c r="F414" s="7" t="s">
        <v>231</v>
      </c>
      <c r="G414" s="7"/>
      <c r="H414" s="19">
        <v>23.505800000000001</v>
      </c>
      <c r="I414" s="7">
        <f t="shared" ref="I414:I462" si="46">IF(G414="Winner",100,IF(G414="Runner-up",70,IF(G414="2nd Runner-up",50,IF(G414="Semi",30,IF(G414="Quarter",20,0)))))</f>
        <v>0</v>
      </c>
      <c r="J414" s="7">
        <f>IFERROR(VLOOKUP(D414,Event_Master!B:E,4,FALSE),1)</f>
        <v>1</v>
      </c>
      <c r="K414" s="7">
        <f t="shared" ref="K414:K462" si="47">(I414*J414)</f>
        <v>0</v>
      </c>
      <c r="L414" s="19">
        <f t="shared" ref="L414:L462" si="48">K414+H414</f>
        <v>23.505800000000001</v>
      </c>
    </row>
    <row r="415" spans="1:12">
      <c r="A415" s="20">
        <v>46027</v>
      </c>
      <c r="B415" s="17">
        <v>434518</v>
      </c>
      <c r="C415" s="18" t="s">
        <v>137</v>
      </c>
      <c r="D415" s="7" t="s">
        <v>206</v>
      </c>
      <c r="E415" s="7" t="s">
        <v>231</v>
      </c>
      <c r="F415" s="7" t="s">
        <v>231</v>
      </c>
      <c r="G415" s="7"/>
      <c r="H415" s="19">
        <v>23.239799999999999</v>
      </c>
      <c r="I415" s="7">
        <f t="shared" si="46"/>
        <v>0</v>
      </c>
      <c r="J415" s="7">
        <f>IFERROR(VLOOKUP(D415,Event_Master!B:E,4,FALSE),1)</f>
        <v>1</v>
      </c>
      <c r="K415" s="7">
        <f t="shared" si="47"/>
        <v>0</v>
      </c>
      <c r="L415" s="19">
        <f t="shared" si="48"/>
        <v>23.239799999999999</v>
      </c>
    </row>
    <row r="416" spans="1:12">
      <c r="A416" s="20">
        <v>46027</v>
      </c>
      <c r="B416" s="17">
        <v>457430</v>
      </c>
      <c r="C416" s="18" t="s">
        <v>138</v>
      </c>
      <c r="D416" s="7" t="s">
        <v>206</v>
      </c>
      <c r="E416" s="7" t="s">
        <v>231</v>
      </c>
      <c r="F416" s="7" t="s">
        <v>231</v>
      </c>
      <c r="G416" s="7"/>
      <c r="H416" s="19">
        <v>23.103200000000001</v>
      </c>
      <c r="I416" s="7">
        <f t="shared" si="46"/>
        <v>0</v>
      </c>
      <c r="J416" s="7">
        <f>IFERROR(VLOOKUP(D416,Event_Master!B:E,4,FALSE),1)</f>
        <v>1</v>
      </c>
      <c r="K416" s="7">
        <f t="shared" si="47"/>
        <v>0</v>
      </c>
      <c r="L416" s="19">
        <f t="shared" si="48"/>
        <v>23.103200000000001</v>
      </c>
    </row>
    <row r="417" spans="1:12">
      <c r="A417" s="20">
        <v>46027</v>
      </c>
      <c r="B417" s="17">
        <v>451609</v>
      </c>
      <c r="C417" s="18" t="s">
        <v>79</v>
      </c>
      <c r="D417" s="7" t="s">
        <v>206</v>
      </c>
      <c r="E417" s="7" t="s">
        <v>231</v>
      </c>
      <c r="F417" s="7" t="s">
        <v>231</v>
      </c>
      <c r="G417" s="7"/>
      <c r="H417" s="19">
        <v>22.378</v>
      </c>
      <c r="I417" s="7">
        <f t="shared" si="46"/>
        <v>0</v>
      </c>
      <c r="J417" s="7">
        <f>IFERROR(VLOOKUP(D417,Event_Master!B:E,4,FALSE),1)</f>
        <v>1</v>
      </c>
      <c r="K417" s="7">
        <f t="shared" si="47"/>
        <v>0</v>
      </c>
      <c r="L417" s="19">
        <f t="shared" si="48"/>
        <v>22.378</v>
      </c>
    </row>
    <row r="418" spans="1:12">
      <c r="A418" s="20">
        <v>46027</v>
      </c>
      <c r="B418" s="17">
        <v>440620</v>
      </c>
      <c r="C418" s="18" t="s">
        <v>25</v>
      </c>
      <c r="D418" s="7" t="s">
        <v>206</v>
      </c>
      <c r="E418" s="7" t="s">
        <v>231</v>
      </c>
      <c r="F418" s="7" t="s">
        <v>231</v>
      </c>
      <c r="G418" s="7"/>
      <c r="H418" s="19">
        <v>22.3355</v>
      </c>
      <c r="I418" s="7">
        <f t="shared" si="46"/>
        <v>0</v>
      </c>
      <c r="J418" s="7">
        <f>IFERROR(VLOOKUP(D418,Event_Master!B:E,4,FALSE),1)</f>
        <v>1</v>
      </c>
      <c r="K418" s="7">
        <f t="shared" si="47"/>
        <v>0</v>
      </c>
      <c r="L418" s="19">
        <f t="shared" si="48"/>
        <v>22.3355</v>
      </c>
    </row>
    <row r="419" spans="1:12">
      <c r="A419" s="20">
        <v>46027</v>
      </c>
      <c r="B419" s="17" t="e">
        <v>#N/A</v>
      </c>
      <c r="C419" s="18" t="s">
        <v>286</v>
      </c>
      <c r="D419" s="7" t="s">
        <v>206</v>
      </c>
      <c r="E419" s="7" t="s">
        <v>231</v>
      </c>
      <c r="F419" s="7" t="s">
        <v>231</v>
      </c>
      <c r="G419" s="7"/>
      <c r="H419" s="19">
        <v>21.9345</v>
      </c>
      <c r="I419" s="7">
        <f t="shared" si="46"/>
        <v>0</v>
      </c>
      <c r="J419" s="7">
        <f>IFERROR(VLOOKUP(D419,Event_Master!B:E,4,FALSE),1)</f>
        <v>1</v>
      </c>
      <c r="K419" s="7">
        <f t="shared" si="47"/>
        <v>0</v>
      </c>
      <c r="L419" s="19">
        <f t="shared" si="48"/>
        <v>21.9345</v>
      </c>
    </row>
    <row r="420" spans="1:12">
      <c r="A420" s="20">
        <v>46027</v>
      </c>
      <c r="B420" s="17">
        <v>460812</v>
      </c>
      <c r="C420" s="18" t="s">
        <v>166</v>
      </c>
      <c r="D420" s="7" t="s">
        <v>206</v>
      </c>
      <c r="E420" s="7" t="s">
        <v>231</v>
      </c>
      <c r="F420" s="7" t="s">
        <v>231</v>
      </c>
      <c r="G420" s="7"/>
      <c r="H420" s="19">
        <v>21.842400000000001</v>
      </c>
      <c r="I420" s="7">
        <f t="shared" si="46"/>
        <v>0</v>
      </c>
      <c r="J420" s="7">
        <f>IFERROR(VLOOKUP(D420,Event_Master!B:E,4,FALSE),1)</f>
        <v>1</v>
      </c>
      <c r="K420" s="7">
        <f t="shared" si="47"/>
        <v>0</v>
      </c>
      <c r="L420" s="19">
        <f t="shared" si="48"/>
        <v>21.842400000000001</v>
      </c>
    </row>
    <row r="421" spans="1:12">
      <c r="A421" s="20">
        <v>46027</v>
      </c>
      <c r="B421" s="17">
        <v>456091</v>
      </c>
      <c r="C421" s="18" t="s">
        <v>7</v>
      </c>
      <c r="D421" s="7" t="s">
        <v>206</v>
      </c>
      <c r="E421" s="7" t="s">
        <v>231</v>
      </c>
      <c r="F421" s="7" t="s">
        <v>231</v>
      </c>
      <c r="G421" s="7"/>
      <c r="H421" s="19">
        <v>21.685700000000001</v>
      </c>
      <c r="I421" s="7">
        <f t="shared" si="46"/>
        <v>0</v>
      </c>
      <c r="J421" s="7">
        <f>IFERROR(VLOOKUP(D421,Event_Master!B:E,4,FALSE),1)</f>
        <v>1</v>
      </c>
      <c r="K421" s="7">
        <f t="shared" si="47"/>
        <v>0</v>
      </c>
      <c r="L421" s="19">
        <f t="shared" si="48"/>
        <v>21.685700000000001</v>
      </c>
    </row>
    <row r="422" spans="1:12">
      <c r="A422" s="20">
        <v>46027</v>
      </c>
      <c r="B422" s="17">
        <v>426232</v>
      </c>
      <c r="C422" s="18" t="s">
        <v>287</v>
      </c>
      <c r="D422" s="7" t="s">
        <v>206</v>
      </c>
      <c r="E422" s="7" t="s">
        <v>231</v>
      </c>
      <c r="F422" s="7" t="s">
        <v>231</v>
      </c>
      <c r="G422" s="7"/>
      <c r="H422" s="19">
        <v>21.5474</v>
      </c>
      <c r="I422" s="7">
        <f t="shared" si="46"/>
        <v>0</v>
      </c>
      <c r="J422" s="7">
        <f>IFERROR(VLOOKUP(D422,Event_Master!B:E,4,FALSE),1)</f>
        <v>1</v>
      </c>
      <c r="K422" s="7">
        <f t="shared" si="47"/>
        <v>0</v>
      </c>
      <c r="L422" s="19">
        <f t="shared" si="48"/>
        <v>21.5474</v>
      </c>
    </row>
    <row r="423" spans="1:12">
      <c r="A423" s="20">
        <v>46027</v>
      </c>
      <c r="B423" s="17">
        <v>473015</v>
      </c>
      <c r="C423" s="18" t="s">
        <v>144</v>
      </c>
      <c r="D423" s="7" t="s">
        <v>206</v>
      </c>
      <c r="E423" s="7" t="s">
        <v>231</v>
      </c>
      <c r="F423" s="7" t="s">
        <v>231</v>
      </c>
      <c r="G423" s="7"/>
      <c r="H423" s="19">
        <v>21.0381</v>
      </c>
      <c r="I423" s="7">
        <f t="shared" si="46"/>
        <v>0</v>
      </c>
      <c r="J423" s="7">
        <f>IFERROR(VLOOKUP(D423,Event_Master!B:E,4,FALSE),1)</f>
        <v>1</v>
      </c>
      <c r="K423" s="7">
        <f t="shared" si="47"/>
        <v>0</v>
      </c>
      <c r="L423" s="19">
        <f t="shared" si="48"/>
        <v>21.0381</v>
      </c>
    </row>
    <row r="424" spans="1:12">
      <c r="A424" s="20">
        <v>46027</v>
      </c>
      <c r="B424" s="17">
        <v>450228</v>
      </c>
      <c r="C424" s="18" t="s">
        <v>74</v>
      </c>
      <c r="D424" s="7" t="s">
        <v>206</v>
      </c>
      <c r="E424" s="7" t="s">
        <v>231</v>
      </c>
      <c r="F424" s="7" t="s">
        <v>231</v>
      </c>
      <c r="G424" s="7"/>
      <c r="H424" s="19">
        <v>19.331399999999999</v>
      </c>
      <c r="I424" s="7">
        <f t="shared" si="46"/>
        <v>0</v>
      </c>
      <c r="J424" s="7">
        <f>IFERROR(VLOOKUP(D424,Event_Master!B:E,4,FALSE),1)</f>
        <v>1</v>
      </c>
      <c r="K424" s="7">
        <f t="shared" si="47"/>
        <v>0</v>
      </c>
      <c r="L424" s="19">
        <f t="shared" si="48"/>
        <v>19.331399999999999</v>
      </c>
    </row>
    <row r="425" spans="1:12" ht="28.5">
      <c r="A425" s="20">
        <v>46027</v>
      </c>
      <c r="B425" s="17">
        <v>706306</v>
      </c>
      <c r="C425" s="18" t="s">
        <v>288</v>
      </c>
      <c r="D425" s="7" t="s">
        <v>206</v>
      </c>
      <c r="E425" s="7" t="s">
        <v>231</v>
      </c>
      <c r="F425" s="7" t="s">
        <v>231</v>
      </c>
      <c r="G425" s="7"/>
      <c r="H425" s="19">
        <v>19.0291</v>
      </c>
      <c r="I425" s="7">
        <f t="shared" si="46"/>
        <v>0</v>
      </c>
      <c r="J425" s="7">
        <f>IFERROR(VLOOKUP(D425,Event_Master!B:E,4,FALSE),1)</f>
        <v>1</v>
      </c>
      <c r="K425" s="7">
        <f t="shared" si="47"/>
        <v>0</v>
      </c>
      <c r="L425" s="19">
        <f t="shared" si="48"/>
        <v>19.0291</v>
      </c>
    </row>
    <row r="426" spans="1:12">
      <c r="A426" s="20">
        <v>46027</v>
      </c>
      <c r="B426" s="17">
        <v>722356</v>
      </c>
      <c r="C426" s="18" t="s">
        <v>236</v>
      </c>
      <c r="D426" s="7" t="s">
        <v>206</v>
      </c>
      <c r="E426" s="7" t="s">
        <v>231</v>
      </c>
      <c r="F426" s="7" t="s">
        <v>231</v>
      </c>
      <c r="G426" s="7"/>
      <c r="H426" s="19">
        <v>18.8628</v>
      </c>
      <c r="I426" s="7">
        <f t="shared" si="46"/>
        <v>0</v>
      </c>
      <c r="J426" s="7">
        <f>IFERROR(VLOOKUP(D426,Event_Master!B:E,4,FALSE),1)</f>
        <v>1</v>
      </c>
      <c r="K426" s="7">
        <f t="shared" si="47"/>
        <v>0</v>
      </c>
      <c r="L426" s="19">
        <f t="shared" si="48"/>
        <v>18.8628</v>
      </c>
    </row>
    <row r="427" spans="1:12">
      <c r="A427" s="20">
        <v>46027</v>
      </c>
      <c r="B427" s="17">
        <v>449635</v>
      </c>
      <c r="C427" s="18" t="s">
        <v>182</v>
      </c>
      <c r="D427" s="7" t="s">
        <v>206</v>
      </c>
      <c r="E427" s="7" t="s">
        <v>231</v>
      </c>
      <c r="F427" s="7" t="s">
        <v>231</v>
      </c>
      <c r="G427" s="7"/>
      <c r="H427" s="19">
        <v>18.4436</v>
      </c>
      <c r="I427" s="7">
        <f t="shared" si="46"/>
        <v>0</v>
      </c>
      <c r="J427" s="7">
        <f>IFERROR(VLOOKUP(D427,Event_Master!B:E,4,FALSE),1)</f>
        <v>1</v>
      </c>
      <c r="K427" s="7">
        <f t="shared" si="47"/>
        <v>0</v>
      </c>
      <c r="L427" s="19">
        <f t="shared" si="48"/>
        <v>18.4436</v>
      </c>
    </row>
    <row r="428" spans="1:12">
      <c r="A428" s="20">
        <v>46027</v>
      </c>
      <c r="B428" s="17">
        <v>452118</v>
      </c>
      <c r="C428" s="18" t="s">
        <v>108</v>
      </c>
      <c r="D428" s="7" t="s">
        <v>206</v>
      </c>
      <c r="E428" s="7" t="s">
        <v>231</v>
      </c>
      <c r="F428" s="7" t="s">
        <v>231</v>
      </c>
      <c r="G428" s="7"/>
      <c r="H428" s="19">
        <v>18.207999999999998</v>
      </c>
      <c r="I428" s="7">
        <f t="shared" si="46"/>
        <v>0</v>
      </c>
      <c r="J428" s="7">
        <f>IFERROR(VLOOKUP(D428,Event_Master!B:E,4,FALSE),1)</f>
        <v>1</v>
      </c>
      <c r="K428" s="7">
        <f t="shared" si="47"/>
        <v>0</v>
      </c>
      <c r="L428" s="19">
        <f t="shared" si="48"/>
        <v>18.207999999999998</v>
      </c>
    </row>
    <row r="429" spans="1:12">
      <c r="A429" s="20">
        <v>46027</v>
      </c>
      <c r="B429" s="17">
        <v>450694</v>
      </c>
      <c r="C429" s="18" t="s">
        <v>169</v>
      </c>
      <c r="D429" s="7" t="s">
        <v>206</v>
      </c>
      <c r="E429" s="7" t="s">
        <v>231</v>
      </c>
      <c r="F429" s="7" t="s">
        <v>231</v>
      </c>
      <c r="G429" s="7"/>
      <c r="H429" s="19">
        <v>18.132999999999999</v>
      </c>
      <c r="I429" s="7">
        <f t="shared" si="46"/>
        <v>0</v>
      </c>
      <c r="J429" s="7">
        <f>IFERROR(VLOOKUP(D429,Event_Master!B:E,4,FALSE),1)</f>
        <v>1</v>
      </c>
      <c r="K429" s="7">
        <f t="shared" si="47"/>
        <v>0</v>
      </c>
      <c r="L429" s="19">
        <f t="shared" si="48"/>
        <v>18.132999999999999</v>
      </c>
    </row>
    <row r="430" spans="1:12">
      <c r="A430" s="20">
        <v>46027</v>
      </c>
      <c r="B430" s="17">
        <v>432865</v>
      </c>
      <c r="C430" s="18" t="s">
        <v>38</v>
      </c>
      <c r="D430" s="7" t="s">
        <v>206</v>
      </c>
      <c r="E430" s="7" t="s">
        <v>231</v>
      </c>
      <c r="F430" s="7" t="s">
        <v>231</v>
      </c>
      <c r="G430" s="7"/>
      <c r="H430" s="19">
        <v>17.899100000000001</v>
      </c>
      <c r="I430" s="7">
        <f t="shared" si="46"/>
        <v>0</v>
      </c>
      <c r="J430" s="7">
        <f>IFERROR(VLOOKUP(D430,Event_Master!B:E,4,FALSE),1)</f>
        <v>1</v>
      </c>
      <c r="K430" s="7">
        <f t="shared" si="47"/>
        <v>0</v>
      </c>
      <c r="L430" s="19">
        <f t="shared" si="48"/>
        <v>17.899100000000001</v>
      </c>
    </row>
    <row r="431" spans="1:12">
      <c r="A431" s="20">
        <v>46027</v>
      </c>
      <c r="B431" s="17">
        <v>450437</v>
      </c>
      <c r="C431" s="18" t="s">
        <v>289</v>
      </c>
      <c r="D431" s="7" t="s">
        <v>206</v>
      </c>
      <c r="E431" s="7" t="s">
        <v>231</v>
      </c>
      <c r="F431" s="7" t="s">
        <v>231</v>
      </c>
      <c r="G431" s="7"/>
      <c r="H431" s="19">
        <v>17.703399999999998</v>
      </c>
      <c r="I431" s="7">
        <f t="shared" si="46"/>
        <v>0</v>
      </c>
      <c r="J431" s="7">
        <f>IFERROR(VLOOKUP(D431,Event_Master!B:E,4,FALSE),1)</f>
        <v>1</v>
      </c>
      <c r="K431" s="7">
        <f t="shared" si="47"/>
        <v>0</v>
      </c>
      <c r="L431" s="19">
        <f t="shared" si="48"/>
        <v>17.703399999999998</v>
      </c>
    </row>
    <row r="432" spans="1:12">
      <c r="A432" s="20">
        <v>46027</v>
      </c>
      <c r="B432" s="17">
        <v>440774</v>
      </c>
      <c r="C432" s="18" t="s">
        <v>64</v>
      </c>
      <c r="D432" s="7" t="s">
        <v>206</v>
      </c>
      <c r="E432" s="7" t="s">
        <v>231</v>
      </c>
      <c r="F432" s="7" t="s">
        <v>231</v>
      </c>
      <c r="G432" s="7"/>
      <c r="H432" s="19">
        <v>17.467600000000001</v>
      </c>
      <c r="I432" s="7">
        <f t="shared" si="46"/>
        <v>0</v>
      </c>
      <c r="J432" s="7">
        <f>IFERROR(VLOOKUP(D432,Event_Master!B:E,4,FALSE),1)</f>
        <v>1</v>
      </c>
      <c r="K432" s="7">
        <f t="shared" si="47"/>
        <v>0</v>
      </c>
      <c r="L432" s="19">
        <f t="shared" si="48"/>
        <v>17.467600000000001</v>
      </c>
    </row>
    <row r="433" spans="1:12">
      <c r="A433" s="20">
        <v>46027</v>
      </c>
      <c r="B433" s="17">
        <v>438679</v>
      </c>
      <c r="C433" s="18" t="s">
        <v>146</v>
      </c>
      <c r="D433" s="7" t="s">
        <v>206</v>
      </c>
      <c r="E433" s="7" t="s">
        <v>231</v>
      </c>
      <c r="F433" s="7" t="s">
        <v>231</v>
      </c>
      <c r="G433" s="7"/>
      <c r="H433" s="19">
        <v>17.308499999999999</v>
      </c>
      <c r="I433" s="7">
        <f t="shared" si="46"/>
        <v>0</v>
      </c>
      <c r="J433" s="7">
        <f>IFERROR(VLOOKUP(D433,Event_Master!B:E,4,FALSE),1)</f>
        <v>1</v>
      </c>
      <c r="K433" s="7">
        <f t="shared" si="47"/>
        <v>0</v>
      </c>
      <c r="L433" s="19">
        <f t="shared" si="48"/>
        <v>17.308499999999999</v>
      </c>
    </row>
    <row r="434" spans="1:12">
      <c r="A434" s="20">
        <v>46027</v>
      </c>
      <c r="B434" s="17">
        <v>450256</v>
      </c>
      <c r="C434" s="18" t="s">
        <v>279</v>
      </c>
      <c r="D434" s="7" t="s">
        <v>206</v>
      </c>
      <c r="E434" s="7" t="s">
        <v>231</v>
      </c>
      <c r="F434" s="7" t="s">
        <v>231</v>
      </c>
      <c r="G434" s="7"/>
      <c r="H434" s="19">
        <v>17.248200000000001</v>
      </c>
      <c r="I434" s="7">
        <f t="shared" si="46"/>
        <v>0</v>
      </c>
      <c r="J434" s="7">
        <f>IFERROR(VLOOKUP(D434,Event_Master!B:E,4,FALSE),1)</f>
        <v>1</v>
      </c>
      <c r="K434" s="7">
        <f t="shared" si="47"/>
        <v>0</v>
      </c>
      <c r="L434" s="19">
        <f t="shared" si="48"/>
        <v>17.248200000000001</v>
      </c>
    </row>
    <row r="435" spans="1:12">
      <c r="A435" s="20">
        <v>46027</v>
      </c>
      <c r="B435" s="17">
        <v>725073</v>
      </c>
      <c r="C435" s="18" t="s">
        <v>47</v>
      </c>
      <c r="D435" s="7" t="s">
        <v>206</v>
      </c>
      <c r="E435" s="7" t="s">
        <v>231</v>
      </c>
      <c r="F435" s="7" t="s">
        <v>231</v>
      </c>
      <c r="G435" s="7"/>
      <c r="H435" s="19">
        <v>16.9648</v>
      </c>
      <c r="I435" s="7">
        <f t="shared" si="46"/>
        <v>0</v>
      </c>
      <c r="J435" s="7">
        <f>IFERROR(VLOOKUP(D435,Event_Master!B:E,4,FALSE),1)</f>
        <v>1</v>
      </c>
      <c r="K435" s="7">
        <f t="shared" si="47"/>
        <v>0</v>
      </c>
      <c r="L435" s="19">
        <f t="shared" si="48"/>
        <v>16.9648</v>
      </c>
    </row>
    <row r="436" spans="1:12">
      <c r="A436" s="20">
        <v>46027</v>
      </c>
      <c r="B436" s="17">
        <v>447836</v>
      </c>
      <c r="C436" s="18" t="s">
        <v>69</v>
      </c>
      <c r="D436" s="7" t="s">
        <v>206</v>
      </c>
      <c r="E436" s="7" t="s">
        <v>231</v>
      </c>
      <c r="F436" s="7" t="s">
        <v>231</v>
      </c>
      <c r="G436" s="7"/>
      <c r="H436" s="19">
        <v>16.9391</v>
      </c>
      <c r="I436" s="7">
        <f t="shared" si="46"/>
        <v>0</v>
      </c>
      <c r="J436" s="7">
        <f>IFERROR(VLOOKUP(D436,Event_Master!B:E,4,FALSE),1)</f>
        <v>1</v>
      </c>
      <c r="K436" s="7">
        <f t="shared" si="47"/>
        <v>0</v>
      </c>
      <c r="L436" s="19">
        <f t="shared" si="48"/>
        <v>16.9391</v>
      </c>
    </row>
    <row r="437" spans="1:12">
      <c r="A437" s="20">
        <v>46027</v>
      </c>
      <c r="B437" s="17">
        <v>492857</v>
      </c>
      <c r="C437" s="18" t="s">
        <v>164</v>
      </c>
      <c r="D437" s="7" t="s">
        <v>206</v>
      </c>
      <c r="E437" s="7" t="s">
        <v>231</v>
      </c>
      <c r="F437" s="7" t="s">
        <v>231</v>
      </c>
      <c r="G437" s="7"/>
      <c r="H437" s="19">
        <v>16.864699999999999</v>
      </c>
      <c r="I437" s="7">
        <f t="shared" si="46"/>
        <v>0</v>
      </c>
      <c r="J437" s="7">
        <f>IFERROR(VLOOKUP(D437,Event_Master!B:E,4,FALSE),1)</f>
        <v>1</v>
      </c>
      <c r="K437" s="7">
        <f t="shared" si="47"/>
        <v>0</v>
      </c>
      <c r="L437" s="19">
        <f t="shared" si="48"/>
        <v>16.864699999999999</v>
      </c>
    </row>
    <row r="438" spans="1:12">
      <c r="A438" s="20">
        <v>46027</v>
      </c>
      <c r="B438" s="17">
        <v>478266</v>
      </c>
      <c r="C438" s="18" t="s">
        <v>290</v>
      </c>
      <c r="D438" s="7" t="s">
        <v>206</v>
      </c>
      <c r="E438" s="7" t="s">
        <v>231</v>
      </c>
      <c r="F438" s="7" t="s">
        <v>231</v>
      </c>
      <c r="G438" s="7"/>
      <c r="H438" s="19">
        <v>16.2499</v>
      </c>
      <c r="I438" s="7">
        <f t="shared" si="46"/>
        <v>0</v>
      </c>
      <c r="J438" s="7">
        <f>IFERROR(VLOOKUP(D438,Event_Master!B:E,4,FALSE),1)</f>
        <v>1</v>
      </c>
      <c r="K438" s="7">
        <f t="shared" si="47"/>
        <v>0</v>
      </c>
      <c r="L438" s="19">
        <f t="shared" si="48"/>
        <v>16.2499</v>
      </c>
    </row>
    <row r="439" spans="1:12">
      <c r="A439" s="20">
        <v>46027</v>
      </c>
      <c r="B439" s="17">
        <v>466445</v>
      </c>
      <c r="C439" s="18" t="s">
        <v>241</v>
      </c>
      <c r="D439" s="7" t="s">
        <v>206</v>
      </c>
      <c r="E439" s="7" t="s">
        <v>231</v>
      </c>
      <c r="F439" s="7" t="s">
        <v>231</v>
      </c>
      <c r="G439" s="7"/>
      <c r="H439" s="19">
        <v>16.186199999999999</v>
      </c>
      <c r="I439" s="7">
        <f t="shared" si="46"/>
        <v>0</v>
      </c>
      <c r="J439" s="7">
        <f>IFERROR(VLOOKUP(D439,Event_Master!B:E,4,FALSE),1)</f>
        <v>1</v>
      </c>
      <c r="K439" s="7">
        <f t="shared" si="47"/>
        <v>0</v>
      </c>
      <c r="L439" s="19">
        <f t="shared" si="48"/>
        <v>16.186199999999999</v>
      </c>
    </row>
    <row r="440" spans="1:12">
      <c r="A440" s="20">
        <v>46027</v>
      </c>
      <c r="B440" s="17">
        <v>430977</v>
      </c>
      <c r="C440" s="18" t="s">
        <v>85</v>
      </c>
      <c r="D440" s="7" t="s">
        <v>206</v>
      </c>
      <c r="E440" s="7" t="s">
        <v>231</v>
      </c>
      <c r="F440" s="7" t="s">
        <v>231</v>
      </c>
      <c r="G440" s="7"/>
      <c r="H440" s="19">
        <v>16.020399999999999</v>
      </c>
      <c r="I440" s="7">
        <f t="shared" si="46"/>
        <v>0</v>
      </c>
      <c r="J440" s="7">
        <f>IFERROR(VLOOKUP(D440,Event_Master!B:E,4,FALSE),1)</f>
        <v>1</v>
      </c>
      <c r="K440" s="7">
        <f t="shared" si="47"/>
        <v>0</v>
      </c>
      <c r="L440" s="19">
        <f t="shared" si="48"/>
        <v>16.020399999999999</v>
      </c>
    </row>
    <row r="441" spans="1:12">
      <c r="A441" s="20">
        <v>46027</v>
      </c>
      <c r="B441" s="17">
        <v>452058</v>
      </c>
      <c r="C441" s="18" t="s">
        <v>14</v>
      </c>
      <c r="D441" s="7" t="s">
        <v>206</v>
      </c>
      <c r="E441" s="7" t="s">
        <v>231</v>
      </c>
      <c r="F441" s="7" t="s">
        <v>231</v>
      </c>
      <c r="G441" s="7"/>
      <c r="H441" s="19">
        <v>15.781000000000001</v>
      </c>
      <c r="I441" s="7">
        <f t="shared" si="46"/>
        <v>0</v>
      </c>
      <c r="J441" s="7">
        <f>IFERROR(VLOOKUP(D441,Event_Master!B:E,4,FALSE),1)</f>
        <v>1</v>
      </c>
      <c r="K441" s="7">
        <f t="shared" si="47"/>
        <v>0</v>
      </c>
      <c r="L441" s="19">
        <f t="shared" si="48"/>
        <v>15.781000000000001</v>
      </c>
    </row>
    <row r="442" spans="1:12">
      <c r="A442" s="20">
        <v>46027</v>
      </c>
      <c r="B442" s="17">
        <v>450230</v>
      </c>
      <c r="C442" s="18" t="s">
        <v>4</v>
      </c>
      <c r="D442" s="7" t="s">
        <v>206</v>
      </c>
      <c r="E442" s="7" t="s">
        <v>231</v>
      </c>
      <c r="F442" s="7" t="s">
        <v>231</v>
      </c>
      <c r="G442" s="7"/>
      <c r="H442" s="19">
        <v>15.359</v>
      </c>
      <c r="I442" s="7">
        <f t="shared" si="46"/>
        <v>0</v>
      </c>
      <c r="J442" s="7">
        <f>IFERROR(VLOOKUP(D442,Event_Master!B:E,4,FALSE),1)</f>
        <v>1</v>
      </c>
      <c r="K442" s="7">
        <f t="shared" si="47"/>
        <v>0</v>
      </c>
      <c r="L442" s="19">
        <f t="shared" si="48"/>
        <v>15.359</v>
      </c>
    </row>
    <row r="443" spans="1:12">
      <c r="A443" s="20">
        <v>46027</v>
      </c>
      <c r="B443" s="17">
        <v>452074</v>
      </c>
      <c r="C443" s="18" t="s">
        <v>179</v>
      </c>
      <c r="D443" s="7" t="s">
        <v>206</v>
      </c>
      <c r="E443" s="7" t="s">
        <v>231</v>
      </c>
      <c r="F443" s="7" t="s">
        <v>231</v>
      </c>
      <c r="G443" s="7"/>
      <c r="H443" s="19">
        <v>15.283899999999999</v>
      </c>
      <c r="I443" s="7">
        <f t="shared" si="46"/>
        <v>0</v>
      </c>
      <c r="J443" s="7">
        <f>IFERROR(VLOOKUP(D443,Event_Master!B:E,4,FALSE),1)</f>
        <v>1</v>
      </c>
      <c r="K443" s="7">
        <f t="shared" si="47"/>
        <v>0</v>
      </c>
      <c r="L443" s="19">
        <f t="shared" si="48"/>
        <v>15.283899999999999</v>
      </c>
    </row>
    <row r="444" spans="1:12">
      <c r="A444" s="20">
        <v>46027</v>
      </c>
      <c r="B444" s="17">
        <v>438864</v>
      </c>
      <c r="C444" s="18" t="s">
        <v>31</v>
      </c>
      <c r="D444" s="7" t="s">
        <v>206</v>
      </c>
      <c r="E444" s="7" t="s">
        <v>231</v>
      </c>
      <c r="F444" s="7" t="s">
        <v>231</v>
      </c>
      <c r="G444" s="7"/>
      <c r="H444" s="19">
        <v>15.220800000000001</v>
      </c>
      <c r="I444" s="7">
        <f t="shared" si="46"/>
        <v>0</v>
      </c>
      <c r="J444" s="7">
        <f>IFERROR(VLOOKUP(D444,Event_Master!B:E,4,FALSE),1)</f>
        <v>1</v>
      </c>
      <c r="K444" s="7">
        <f t="shared" si="47"/>
        <v>0</v>
      </c>
      <c r="L444" s="19">
        <f t="shared" si="48"/>
        <v>15.220800000000001</v>
      </c>
    </row>
    <row r="445" spans="1:12">
      <c r="A445" s="20">
        <v>46027</v>
      </c>
      <c r="B445" s="17">
        <v>427568</v>
      </c>
      <c r="C445" s="18" t="s">
        <v>122</v>
      </c>
      <c r="D445" s="7" t="s">
        <v>206</v>
      </c>
      <c r="E445" s="7" t="s">
        <v>231</v>
      </c>
      <c r="F445" s="7" t="s">
        <v>231</v>
      </c>
      <c r="G445" s="7"/>
      <c r="H445" s="19">
        <v>14.6911</v>
      </c>
      <c r="I445" s="7">
        <f t="shared" si="46"/>
        <v>0</v>
      </c>
      <c r="J445" s="7">
        <f>IFERROR(VLOOKUP(D445,Event_Master!B:E,4,FALSE),1)</f>
        <v>1</v>
      </c>
      <c r="K445" s="7">
        <f t="shared" si="47"/>
        <v>0</v>
      </c>
      <c r="L445" s="19">
        <f t="shared" si="48"/>
        <v>14.6911</v>
      </c>
    </row>
    <row r="446" spans="1:12">
      <c r="A446" s="20">
        <v>46027</v>
      </c>
      <c r="B446" s="17">
        <v>707131</v>
      </c>
      <c r="C446" s="18" t="s">
        <v>67</v>
      </c>
      <c r="D446" s="7" t="s">
        <v>206</v>
      </c>
      <c r="E446" s="7" t="s">
        <v>231</v>
      </c>
      <c r="F446" s="7" t="s">
        <v>231</v>
      </c>
      <c r="G446" s="7"/>
      <c r="H446" s="19">
        <v>14.514799999999999</v>
      </c>
      <c r="I446" s="7">
        <f t="shared" si="46"/>
        <v>0</v>
      </c>
      <c r="J446" s="7">
        <f>IFERROR(VLOOKUP(D446,Event_Master!B:E,4,FALSE),1)</f>
        <v>1</v>
      </c>
      <c r="K446" s="7">
        <f t="shared" si="47"/>
        <v>0</v>
      </c>
      <c r="L446" s="19">
        <f t="shared" si="48"/>
        <v>14.514799999999999</v>
      </c>
    </row>
    <row r="447" spans="1:12">
      <c r="A447" s="20">
        <v>46027</v>
      </c>
      <c r="B447" s="17">
        <v>451858</v>
      </c>
      <c r="C447" s="18" t="s">
        <v>123</v>
      </c>
      <c r="D447" s="7" t="s">
        <v>206</v>
      </c>
      <c r="E447" s="7" t="s">
        <v>231</v>
      </c>
      <c r="F447" s="7" t="s">
        <v>231</v>
      </c>
      <c r="G447" s="7"/>
      <c r="H447" s="19">
        <v>13.840400000000001</v>
      </c>
      <c r="I447" s="7">
        <f t="shared" si="46"/>
        <v>0</v>
      </c>
      <c r="J447" s="7">
        <f>IFERROR(VLOOKUP(D447,Event_Master!B:E,4,FALSE),1)</f>
        <v>1</v>
      </c>
      <c r="K447" s="7">
        <f t="shared" si="47"/>
        <v>0</v>
      </c>
      <c r="L447" s="19">
        <f t="shared" si="48"/>
        <v>13.840400000000001</v>
      </c>
    </row>
    <row r="448" spans="1:12">
      <c r="A448" s="20">
        <v>46027</v>
      </c>
      <c r="B448" s="17">
        <v>700216</v>
      </c>
      <c r="C448" s="18" t="s">
        <v>147</v>
      </c>
      <c r="D448" s="7" t="s">
        <v>206</v>
      </c>
      <c r="E448" s="7" t="s">
        <v>231</v>
      </c>
      <c r="F448" s="7" t="s">
        <v>231</v>
      </c>
      <c r="G448" s="7"/>
      <c r="H448" s="19">
        <v>13.619</v>
      </c>
      <c r="I448" s="7">
        <f t="shared" si="46"/>
        <v>0</v>
      </c>
      <c r="J448" s="7">
        <f>IFERROR(VLOOKUP(D448,Event_Master!B:E,4,FALSE),1)</f>
        <v>1</v>
      </c>
      <c r="K448" s="7">
        <f t="shared" si="47"/>
        <v>0</v>
      </c>
      <c r="L448" s="19">
        <f t="shared" si="48"/>
        <v>13.619</v>
      </c>
    </row>
    <row r="449" spans="1:12">
      <c r="A449" s="20">
        <v>46027</v>
      </c>
      <c r="B449" s="17">
        <v>484877</v>
      </c>
      <c r="C449" s="18" t="s">
        <v>107</v>
      </c>
      <c r="D449" s="7" t="s">
        <v>206</v>
      </c>
      <c r="E449" s="7" t="s">
        <v>231</v>
      </c>
      <c r="F449" s="7" t="s">
        <v>231</v>
      </c>
      <c r="G449" s="7"/>
      <c r="H449" s="19">
        <v>13.008900000000001</v>
      </c>
      <c r="I449" s="7">
        <f t="shared" si="46"/>
        <v>0</v>
      </c>
      <c r="J449" s="7">
        <f>IFERROR(VLOOKUP(D449,Event_Master!B:E,4,FALSE),1)</f>
        <v>1</v>
      </c>
      <c r="K449" s="7">
        <f t="shared" si="47"/>
        <v>0</v>
      </c>
      <c r="L449" s="19">
        <f t="shared" si="48"/>
        <v>13.008900000000001</v>
      </c>
    </row>
    <row r="450" spans="1:12">
      <c r="A450" s="20">
        <v>46027</v>
      </c>
      <c r="B450" s="17">
        <v>460764</v>
      </c>
      <c r="C450" s="18" t="s">
        <v>60</v>
      </c>
      <c r="D450" s="7" t="s">
        <v>206</v>
      </c>
      <c r="E450" s="7" t="s">
        <v>231</v>
      </c>
      <c r="F450" s="7" t="s">
        <v>231</v>
      </c>
      <c r="G450" s="7"/>
      <c r="H450" s="19">
        <v>12.813000000000001</v>
      </c>
      <c r="I450" s="7">
        <f t="shared" si="46"/>
        <v>0</v>
      </c>
      <c r="J450" s="7">
        <f>IFERROR(VLOOKUP(D450,Event_Master!B:E,4,FALSE),1)</f>
        <v>1</v>
      </c>
      <c r="K450" s="7">
        <f t="shared" si="47"/>
        <v>0</v>
      </c>
      <c r="L450" s="19">
        <f t="shared" si="48"/>
        <v>12.813000000000001</v>
      </c>
    </row>
    <row r="451" spans="1:12">
      <c r="A451" s="20">
        <v>46027</v>
      </c>
      <c r="B451" s="17">
        <v>450225</v>
      </c>
      <c r="C451" s="18" t="s">
        <v>291</v>
      </c>
      <c r="D451" s="7" t="s">
        <v>206</v>
      </c>
      <c r="E451" s="7" t="s">
        <v>231</v>
      </c>
      <c r="F451" s="7" t="s">
        <v>231</v>
      </c>
      <c r="G451" s="7"/>
      <c r="H451" s="19">
        <v>11.6111</v>
      </c>
      <c r="I451" s="7">
        <f t="shared" si="46"/>
        <v>0</v>
      </c>
      <c r="J451" s="7">
        <f>IFERROR(VLOOKUP(D451,Event_Master!B:E,4,FALSE),1)</f>
        <v>1</v>
      </c>
      <c r="K451" s="7">
        <f t="shared" si="47"/>
        <v>0</v>
      </c>
      <c r="L451" s="19">
        <f t="shared" si="48"/>
        <v>11.6111</v>
      </c>
    </row>
    <row r="452" spans="1:12">
      <c r="A452" s="20">
        <v>46027</v>
      </c>
      <c r="B452" s="17">
        <v>427154</v>
      </c>
      <c r="C452" s="18" t="s">
        <v>37</v>
      </c>
      <c r="D452" s="7" t="s">
        <v>206</v>
      </c>
      <c r="E452" s="7" t="s">
        <v>231</v>
      </c>
      <c r="F452" s="7" t="s">
        <v>231</v>
      </c>
      <c r="G452" s="7"/>
      <c r="H452" s="19">
        <v>11.1851</v>
      </c>
      <c r="I452" s="7">
        <f t="shared" si="46"/>
        <v>0</v>
      </c>
      <c r="J452" s="7">
        <f>IFERROR(VLOOKUP(D452,Event_Master!B:E,4,FALSE),1)</f>
        <v>1</v>
      </c>
      <c r="K452" s="7">
        <f t="shared" si="47"/>
        <v>0</v>
      </c>
      <c r="L452" s="19">
        <f t="shared" si="48"/>
        <v>11.1851</v>
      </c>
    </row>
    <row r="453" spans="1:12">
      <c r="A453" s="20">
        <v>46027</v>
      </c>
      <c r="B453" s="17">
        <v>457795</v>
      </c>
      <c r="C453" s="18" t="s">
        <v>292</v>
      </c>
      <c r="D453" s="7" t="s">
        <v>206</v>
      </c>
      <c r="E453" s="7" t="s">
        <v>231</v>
      </c>
      <c r="F453" s="7" t="s">
        <v>231</v>
      </c>
      <c r="G453" s="7"/>
      <c r="H453" s="19">
        <v>10.002700000000001</v>
      </c>
      <c r="I453" s="7">
        <f t="shared" si="46"/>
        <v>0</v>
      </c>
      <c r="J453" s="7">
        <f>IFERROR(VLOOKUP(D453,Event_Master!B:E,4,FALSE),1)</f>
        <v>1</v>
      </c>
      <c r="K453" s="7">
        <f t="shared" si="47"/>
        <v>0</v>
      </c>
      <c r="L453" s="19">
        <f t="shared" si="48"/>
        <v>10.002700000000001</v>
      </c>
    </row>
    <row r="454" spans="1:12">
      <c r="A454" s="20">
        <v>46027</v>
      </c>
      <c r="B454" s="17">
        <v>435877</v>
      </c>
      <c r="C454" s="18" t="s">
        <v>66</v>
      </c>
      <c r="D454" s="7" t="s">
        <v>206</v>
      </c>
      <c r="E454" s="7" t="s">
        <v>231</v>
      </c>
      <c r="F454" s="7" t="s">
        <v>231</v>
      </c>
      <c r="G454" s="7"/>
      <c r="H454" s="19">
        <v>9.5813000000000006</v>
      </c>
      <c r="I454" s="7">
        <f t="shared" si="46"/>
        <v>0</v>
      </c>
      <c r="J454" s="7">
        <f>IFERROR(VLOOKUP(D454,Event_Master!B:E,4,FALSE),1)</f>
        <v>1</v>
      </c>
      <c r="K454" s="7">
        <f t="shared" si="47"/>
        <v>0</v>
      </c>
      <c r="L454" s="19">
        <f t="shared" si="48"/>
        <v>9.5813000000000006</v>
      </c>
    </row>
    <row r="455" spans="1:12">
      <c r="A455" s="20">
        <v>46027</v>
      </c>
      <c r="B455" s="17">
        <v>450224</v>
      </c>
      <c r="C455" s="18" t="s">
        <v>62</v>
      </c>
      <c r="D455" s="7" t="s">
        <v>206</v>
      </c>
      <c r="E455" s="7" t="s">
        <v>231</v>
      </c>
      <c r="F455" s="7" t="s">
        <v>231</v>
      </c>
      <c r="G455" s="7"/>
      <c r="H455" s="19">
        <v>9.3819999999999997</v>
      </c>
      <c r="I455" s="7">
        <f t="shared" si="46"/>
        <v>0</v>
      </c>
      <c r="J455" s="7">
        <f>IFERROR(VLOOKUP(D455,Event_Master!B:E,4,FALSE),1)</f>
        <v>1</v>
      </c>
      <c r="K455" s="7">
        <f t="shared" si="47"/>
        <v>0</v>
      </c>
      <c r="L455" s="19">
        <f t="shared" si="48"/>
        <v>9.3819999999999997</v>
      </c>
    </row>
    <row r="456" spans="1:12">
      <c r="A456" s="20">
        <v>46027</v>
      </c>
      <c r="B456" s="17">
        <v>452059</v>
      </c>
      <c r="C456" s="18" t="s">
        <v>63</v>
      </c>
      <c r="D456" s="7" t="s">
        <v>206</v>
      </c>
      <c r="E456" s="7" t="s">
        <v>231</v>
      </c>
      <c r="F456" s="7" t="s">
        <v>231</v>
      </c>
      <c r="G456" s="7"/>
      <c r="H456" s="19">
        <v>8.9092000000000002</v>
      </c>
      <c r="I456" s="7">
        <f t="shared" si="46"/>
        <v>0</v>
      </c>
      <c r="J456" s="7">
        <f>IFERROR(VLOOKUP(D456,Event_Master!B:E,4,FALSE),1)</f>
        <v>1</v>
      </c>
      <c r="K456" s="7">
        <f t="shared" si="47"/>
        <v>0</v>
      </c>
      <c r="L456" s="19">
        <f t="shared" si="48"/>
        <v>8.9092000000000002</v>
      </c>
    </row>
    <row r="457" spans="1:12">
      <c r="A457" s="20">
        <v>46027</v>
      </c>
      <c r="B457" s="17">
        <v>445891</v>
      </c>
      <c r="C457" s="18" t="s">
        <v>143</v>
      </c>
      <c r="D457" s="7" t="s">
        <v>206</v>
      </c>
      <c r="E457" s="7" t="s">
        <v>231</v>
      </c>
      <c r="F457" s="7" t="s">
        <v>231</v>
      </c>
      <c r="G457" s="7"/>
      <c r="H457" s="19">
        <v>8.6456</v>
      </c>
      <c r="I457" s="7">
        <f t="shared" si="46"/>
        <v>0</v>
      </c>
      <c r="J457" s="7">
        <f>IFERROR(VLOOKUP(D457,Event_Master!B:E,4,FALSE),1)</f>
        <v>1</v>
      </c>
      <c r="K457" s="7">
        <f t="shared" si="47"/>
        <v>0</v>
      </c>
      <c r="L457" s="19">
        <f t="shared" si="48"/>
        <v>8.6456</v>
      </c>
    </row>
    <row r="458" spans="1:12">
      <c r="A458" s="20">
        <v>46027</v>
      </c>
      <c r="B458" s="17">
        <v>468224</v>
      </c>
      <c r="C458" s="18" t="s">
        <v>104</v>
      </c>
      <c r="D458" s="7" t="s">
        <v>206</v>
      </c>
      <c r="E458" s="7" t="s">
        <v>231</v>
      </c>
      <c r="F458" s="7" t="s">
        <v>231</v>
      </c>
      <c r="G458" s="7"/>
      <c r="H458" s="19">
        <v>8.2018000000000004</v>
      </c>
      <c r="I458" s="7">
        <f t="shared" si="46"/>
        <v>0</v>
      </c>
      <c r="J458" s="7">
        <f>IFERROR(VLOOKUP(D458,Event_Master!B:E,4,FALSE),1)</f>
        <v>1</v>
      </c>
      <c r="K458" s="7">
        <f t="shared" si="47"/>
        <v>0</v>
      </c>
      <c r="L458" s="19">
        <f t="shared" si="48"/>
        <v>8.2018000000000004</v>
      </c>
    </row>
    <row r="459" spans="1:12">
      <c r="A459" s="20">
        <v>46027</v>
      </c>
      <c r="B459" s="17">
        <v>708792</v>
      </c>
      <c r="C459" s="18" t="s">
        <v>75</v>
      </c>
      <c r="D459" s="7" t="s">
        <v>206</v>
      </c>
      <c r="E459" s="7" t="s">
        <v>231</v>
      </c>
      <c r="F459" s="7" t="s">
        <v>231</v>
      </c>
      <c r="G459" s="7"/>
      <c r="H459" s="19">
        <v>7.1909999999999998</v>
      </c>
      <c r="I459" s="7">
        <f t="shared" si="46"/>
        <v>0</v>
      </c>
      <c r="J459" s="7">
        <f>IFERROR(VLOOKUP(D459,Event_Master!B:E,4,FALSE),1)</f>
        <v>1</v>
      </c>
      <c r="K459" s="7">
        <f t="shared" si="47"/>
        <v>0</v>
      </c>
      <c r="L459" s="19">
        <f t="shared" si="48"/>
        <v>7.1909999999999998</v>
      </c>
    </row>
    <row r="460" spans="1:12">
      <c r="A460" s="20">
        <v>46027</v>
      </c>
      <c r="B460" s="17">
        <v>488518</v>
      </c>
      <c r="C460" s="18" t="s">
        <v>176</v>
      </c>
      <c r="D460" s="7" t="s">
        <v>206</v>
      </c>
      <c r="E460" s="7" t="s">
        <v>231</v>
      </c>
      <c r="F460" s="7" t="s">
        <v>231</v>
      </c>
      <c r="G460" s="7"/>
      <c r="H460" s="19">
        <v>6.4058999999999999</v>
      </c>
      <c r="I460" s="7">
        <f t="shared" si="46"/>
        <v>0</v>
      </c>
      <c r="J460" s="7">
        <f>IFERROR(VLOOKUP(D460,Event_Master!B:E,4,FALSE),1)</f>
        <v>1</v>
      </c>
      <c r="K460" s="7">
        <f t="shared" si="47"/>
        <v>0</v>
      </c>
      <c r="L460" s="19">
        <f t="shared" si="48"/>
        <v>6.4058999999999999</v>
      </c>
    </row>
    <row r="461" spans="1:12">
      <c r="A461" s="20">
        <v>46027</v>
      </c>
      <c r="B461" s="17">
        <v>479348</v>
      </c>
      <c r="C461" s="18" t="s">
        <v>57</v>
      </c>
      <c r="D461" s="7" t="s">
        <v>206</v>
      </c>
      <c r="E461" s="7" t="s">
        <v>231</v>
      </c>
      <c r="F461" s="7" t="s">
        <v>231</v>
      </c>
      <c r="G461" s="7"/>
      <c r="H461" s="19">
        <v>5.1635999999999997</v>
      </c>
      <c r="I461" s="7">
        <f t="shared" si="46"/>
        <v>0</v>
      </c>
      <c r="J461" s="7">
        <f>IFERROR(VLOOKUP(D461,Event_Master!B:E,4,FALSE),1)</f>
        <v>1</v>
      </c>
      <c r="K461" s="7">
        <f t="shared" si="47"/>
        <v>0</v>
      </c>
      <c r="L461" s="19">
        <f t="shared" si="48"/>
        <v>5.1635999999999997</v>
      </c>
    </row>
    <row r="462" spans="1:12">
      <c r="A462" s="20">
        <v>46027</v>
      </c>
      <c r="B462" s="17">
        <v>452991</v>
      </c>
      <c r="C462" s="18" t="s">
        <v>18</v>
      </c>
      <c r="D462" s="7" t="s">
        <v>206</v>
      </c>
      <c r="E462" s="7" t="s">
        <v>231</v>
      </c>
      <c r="F462" s="7" t="s">
        <v>231</v>
      </c>
      <c r="G462" s="7"/>
      <c r="H462" s="19">
        <v>2.1760999999999999</v>
      </c>
      <c r="I462" s="7">
        <f t="shared" si="46"/>
        <v>0</v>
      </c>
      <c r="J462" s="7">
        <f>IFERROR(VLOOKUP(D462,Event_Master!B:E,4,FALSE),1)</f>
        <v>1</v>
      </c>
      <c r="K462" s="7">
        <f t="shared" si="47"/>
        <v>0</v>
      </c>
      <c r="L462" s="19">
        <f t="shared" si="48"/>
        <v>2.1760999999999999</v>
      </c>
    </row>
    <row r="463" spans="1:12">
      <c r="A463" s="20">
        <v>46028</v>
      </c>
      <c r="B463" s="22">
        <v>365114</v>
      </c>
      <c r="C463" s="7" t="s">
        <v>54</v>
      </c>
      <c r="D463" s="7" t="s">
        <v>206</v>
      </c>
      <c r="E463" s="7" t="s">
        <v>231</v>
      </c>
      <c r="F463" s="7" t="s">
        <v>231</v>
      </c>
      <c r="G463" s="7"/>
      <c r="H463" s="19">
        <v>52.165500000000002</v>
      </c>
      <c r="I463" s="7">
        <f t="shared" ref="I463:I526" si="49">IF(G463="Winner",100,IF(G463="Runner-up",70,IF(G463="2nd Runner-up",50,IF(G463="Semi",30,IF(G463="Quarter",20,0)))))</f>
        <v>0</v>
      </c>
      <c r="J463" s="7">
        <f>IFERROR(VLOOKUP(D463,Event_Master!B:E,4,FALSE),1)</f>
        <v>1</v>
      </c>
      <c r="K463" s="7">
        <f t="shared" ref="K463:K526" si="50">(I463*J463)</f>
        <v>0</v>
      </c>
      <c r="L463" s="19">
        <f t="shared" ref="L463:L526" si="51">K463+H463</f>
        <v>52.165500000000002</v>
      </c>
    </row>
    <row r="464" spans="1:12">
      <c r="A464" s="20">
        <v>46028</v>
      </c>
      <c r="B464" s="22">
        <v>396485</v>
      </c>
      <c r="C464" s="7" t="s">
        <v>135</v>
      </c>
      <c r="D464" s="7" t="s">
        <v>206</v>
      </c>
      <c r="E464" s="7" t="s">
        <v>231</v>
      </c>
      <c r="F464" s="7" t="s">
        <v>231</v>
      </c>
      <c r="G464" s="7"/>
      <c r="H464" s="19">
        <v>47.703600000000002</v>
      </c>
      <c r="I464" s="7">
        <f t="shared" si="49"/>
        <v>0</v>
      </c>
      <c r="J464" s="7">
        <f>IFERROR(VLOOKUP(D464,Event_Master!B:E,4,FALSE),1)</f>
        <v>1</v>
      </c>
      <c r="K464" s="7">
        <f t="shared" si="50"/>
        <v>0</v>
      </c>
      <c r="L464" s="19">
        <f t="shared" si="51"/>
        <v>47.703600000000002</v>
      </c>
    </row>
    <row r="465" spans="1:12">
      <c r="A465" s="20">
        <v>46028</v>
      </c>
      <c r="B465" s="22">
        <v>407302</v>
      </c>
      <c r="C465" s="7" t="s">
        <v>71</v>
      </c>
      <c r="D465" s="7" t="s">
        <v>206</v>
      </c>
      <c r="E465" s="7" t="s">
        <v>231</v>
      </c>
      <c r="F465" s="7" t="s">
        <v>231</v>
      </c>
      <c r="G465" s="7"/>
      <c r="H465" s="19">
        <v>19.141500000000001</v>
      </c>
      <c r="I465" s="7">
        <f t="shared" si="49"/>
        <v>0</v>
      </c>
      <c r="J465" s="7">
        <f>IFERROR(VLOOKUP(D465,Event_Master!B:E,4,FALSE),1)</f>
        <v>1</v>
      </c>
      <c r="K465" s="7">
        <f t="shared" si="50"/>
        <v>0</v>
      </c>
      <c r="L465" s="19">
        <f t="shared" si="51"/>
        <v>19.141500000000001</v>
      </c>
    </row>
    <row r="466" spans="1:12">
      <c r="A466" s="20">
        <v>46028</v>
      </c>
      <c r="B466" s="22">
        <v>412273</v>
      </c>
      <c r="C466" s="7" t="s">
        <v>113</v>
      </c>
      <c r="D466" s="7" t="s">
        <v>206</v>
      </c>
      <c r="E466" s="7" t="s">
        <v>231</v>
      </c>
      <c r="F466" s="7" t="s">
        <v>231</v>
      </c>
      <c r="G466" s="7"/>
      <c r="H466" s="19">
        <v>13.8672</v>
      </c>
      <c r="I466" s="7">
        <f t="shared" si="49"/>
        <v>0</v>
      </c>
      <c r="J466" s="7">
        <f>IFERROR(VLOOKUP(D466,Event_Master!B:E,4,FALSE),1)</f>
        <v>1</v>
      </c>
      <c r="K466" s="7">
        <f t="shared" si="50"/>
        <v>0</v>
      </c>
      <c r="L466" s="19">
        <f t="shared" si="51"/>
        <v>13.8672</v>
      </c>
    </row>
    <row r="467" spans="1:12">
      <c r="A467" s="20">
        <v>46028</v>
      </c>
      <c r="B467" s="22">
        <v>428544</v>
      </c>
      <c r="C467" s="7" t="s">
        <v>93</v>
      </c>
      <c r="D467" s="7" t="s">
        <v>206</v>
      </c>
      <c r="E467" s="7" t="s">
        <v>231</v>
      </c>
      <c r="F467" s="7" t="s">
        <v>231</v>
      </c>
      <c r="G467" s="7"/>
      <c r="H467" s="19">
        <v>30.854700000000001</v>
      </c>
      <c r="I467" s="7">
        <f t="shared" si="49"/>
        <v>0</v>
      </c>
      <c r="J467" s="7">
        <f>IFERROR(VLOOKUP(D467,Event_Master!B:E,4,FALSE),1)</f>
        <v>1</v>
      </c>
      <c r="K467" s="7">
        <f t="shared" si="50"/>
        <v>0</v>
      </c>
      <c r="L467" s="19">
        <f t="shared" si="51"/>
        <v>30.854700000000001</v>
      </c>
    </row>
    <row r="468" spans="1:12">
      <c r="A468" s="20">
        <v>46028</v>
      </c>
      <c r="B468" s="22">
        <v>434518</v>
      </c>
      <c r="C468" s="7" t="s">
        <v>137</v>
      </c>
      <c r="D468" s="7" t="s">
        <v>206</v>
      </c>
      <c r="E468" s="7" t="s">
        <v>231</v>
      </c>
      <c r="F468" s="7" t="s">
        <v>231</v>
      </c>
      <c r="G468" s="7"/>
      <c r="H468" s="19">
        <v>26.003599999999999</v>
      </c>
      <c r="I468" s="7">
        <f t="shared" si="49"/>
        <v>0</v>
      </c>
      <c r="J468" s="7">
        <f>IFERROR(VLOOKUP(D468,Event_Master!B:E,4,FALSE),1)</f>
        <v>1</v>
      </c>
      <c r="K468" s="7">
        <f t="shared" si="50"/>
        <v>0</v>
      </c>
      <c r="L468" s="19">
        <f t="shared" si="51"/>
        <v>26.003599999999999</v>
      </c>
    </row>
    <row r="469" spans="1:12">
      <c r="A469" s="20">
        <v>46028</v>
      </c>
      <c r="B469" s="22">
        <v>435877</v>
      </c>
      <c r="C469" s="7" t="s">
        <v>66</v>
      </c>
      <c r="D469" s="7" t="s">
        <v>206</v>
      </c>
      <c r="E469" s="7" t="s">
        <v>231</v>
      </c>
      <c r="F469" s="7" t="s">
        <v>231</v>
      </c>
      <c r="G469" s="7"/>
      <c r="H469" s="19">
        <v>12.958399999999999</v>
      </c>
      <c r="I469" s="7">
        <f t="shared" si="49"/>
        <v>0</v>
      </c>
      <c r="J469" s="7">
        <f>IFERROR(VLOOKUP(D469,Event_Master!B:E,4,FALSE),1)</f>
        <v>1</v>
      </c>
      <c r="K469" s="7">
        <f t="shared" si="50"/>
        <v>0</v>
      </c>
      <c r="L469" s="19">
        <f t="shared" si="51"/>
        <v>12.958399999999999</v>
      </c>
    </row>
    <row r="470" spans="1:12">
      <c r="A470" s="20">
        <v>46028</v>
      </c>
      <c r="B470" s="22">
        <v>437534</v>
      </c>
      <c r="C470" s="7" t="s">
        <v>95</v>
      </c>
      <c r="D470" s="7" t="s">
        <v>206</v>
      </c>
      <c r="E470" s="7" t="s">
        <v>231</v>
      </c>
      <c r="F470" s="7" t="s">
        <v>231</v>
      </c>
      <c r="G470" s="7"/>
      <c r="H470" s="19">
        <v>82.435000000000002</v>
      </c>
      <c r="I470" s="7">
        <f t="shared" si="49"/>
        <v>0</v>
      </c>
      <c r="J470" s="7">
        <f>IFERROR(VLOOKUP(D470,Event_Master!B:E,4,FALSE),1)</f>
        <v>1</v>
      </c>
      <c r="K470" s="7">
        <f t="shared" si="50"/>
        <v>0</v>
      </c>
      <c r="L470" s="19">
        <f t="shared" si="51"/>
        <v>82.435000000000002</v>
      </c>
    </row>
    <row r="471" spans="1:12">
      <c r="A471" s="20">
        <v>46028</v>
      </c>
      <c r="B471" s="22">
        <v>438263</v>
      </c>
      <c r="C471" s="7" t="s">
        <v>183</v>
      </c>
      <c r="D471" s="7" t="s">
        <v>206</v>
      </c>
      <c r="E471" s="7" t="s">
        <v>231</v>
      </c>
      <c r="F471" s="7" t="s">
        <v>231</v>
      </c>
      <c r="G471" s="7"/>
      <c r="H471" s="19">
        <v>37.012</v>
      </c>
      <c r="I471" s="7">
        <f t="shared" si="49"/>
        <v>0</v>
      </c>
      <c r="J471" s="7">
        <f>IFERROR(VLOOKUP(D471,Event_Master!B:E,4,FALSE),1)</f>
        <v>1</v>
      </c>
      <c r="K471" s="7">
        <f t="shared" si="50"/>
        <v>0</v>
      </c>
      <c r="L471" s="19">
        <f t="shared" si="51"/>
        <v>37.012</v>
      </c>
    </row>
    <row r="472" spans="1:12">
      <c r="A472" s="20">
        <v>46028</v>
      </c>
      <c r="B472" s="22">
        <v>438679</v>
      </c>
      <c r="C472" s="7" t="s">
        <v>146</v>
      </c>
      <c r="D472" s="7" t="s">
        <v>206</v>
      </c>
      <c r="E472" s="7" t="s">
        <v>231</v>
      </c>
      <c r="F472" s="7" t="s">
        <v>231</v>
      </c>
      <c r="G472" s="7"/>
      <c r="H472" s="19">
        <v>22.0702</v>
      </c>
      <c r="I472" s="7">
        <f t="shared" si="49"/>
        <v>0</v>
      </c>
      <c r="J472" s="7">
        <f>IFERROR(VLOOKUP(D472,Event_Master!B:E,4,FALSE),1)</f>
        <v>1</v>
      </c>
      <c r="K472" s="7">
        <f t="shared" si="50"/>
        <v>0</v>
      </c>
      <c r="L472" s="19">
        <f t="shared" si="51"/>
        <v>22.0702</v>
      </c>
    </row>
    <row r="473" spans="1:12">
      <c r="A473" s="20">
        <v>46028</v>
      </c>
      <c r="B473" s="22">
        <v>438864</v>
      </c>
      <c r="C473" s="7" t="s">
        <v>31</v>
      </c>
      <c r="D473" s="7" t="s">
        <v>206</v>
      </c>
      <c r="E473" s="7" t="s">
        <v>231</v>
      </c>
      <c r="F473" s="7" t="s">
        <v>231</v>
      </c>
      <c r="G473" s="7"/>
      <c r="H473" s="19">
        <v>17.6309</v>
      </c>
      <c r="I473" s="7">
        <f t="shared" si="49"/>
        <v>0</v>
      </c>
      <c r="J473" s="7">
        <f>IFERROR(VLOOKUP(D473,Event_Master!B:E,4,FALSE),1)</f>
        <v>1</v>
      </c>
      <c r="K473" s="7">
        <f t="shared" si="50"/>
        <v>0</v>
      </c>
      <c r="L473" s="19">
        <f t="shared" si="51"/>
        <v>17.6309</v>
      </c>
    </row>
    <row r="474" spans="1:12">
      <c r="A474" s="20">
        <v>46028</v>
      </c>
      <c r="B474" s="22">
        <v>440317</v>
      </c>
      <c r="C474" s="7" t="s">
        <v>29</v>
      </c>
      <c r="D474" s="7" t="s">
        <v>206</v>
      </c>
      <c r="E474" s="7" t="s">
        <v>231</v>
      </c>
      <c r="F474" s="7" t="s">
        <v>231</v>
      </c>
      <c r="G474" s="7"/>
      <c r="H474" s="19">
        <v>18.9529</v>
      </c>
      <c r="I474" s="7">
        <f t="shared" si="49"/>
        <v>0</v>
      </c>
      <c r="J474" s="7">
        <f>IFERROR(VLOOKUP(D474,Event_Master!B:E,4,FALSE),1)</f>
        <v>1</v>
      </c>
      <c r="K474" s="7">
        <f t="shared" si="50"/>
        <v>0</v>
      </c>
      <c r="L474" s="19">
        <f t="shared" si="51"/>
        <v>18.9529</v>
      </c>
    </row>
    <row r="475" spans="1:12">
      <c r="A475" s="20">
        <v>46028</v>
      </c>
      <c r="B475" s="22">
        <v>440620</v>
      </c>
      <c r="C475" s="7" t="s">
        <v>25</v>
      </c>
      <c r="D475" s="7" t="s">
        <v>206</v>
      </c>
      <c r="E475" s="7" t="s">
        <v>231</v>
      </c>
      <c r="F475" s="7" t="s">
        <v>231</v>
      </c>
      <c r="G475" s="7"/>
      <c r="H475" s="19">
        <v>25.5794</v>
      </c>
      <c r="I475" s="7">
        <f t="shared" si="49"/>
        <v>0</v>
      </c>
      <c r="J475" s="7">
        <f>IFERROR(VLOOKUP(D475,Event_Master!B:E,4,FALSE),1)</f>
        <v>1</v>
      </c>
      <c r="K475" s="7">
        <f t="shared" si="50"/>
        <v>0</v>
      </c>
      <c r="L475" s="19">
        <f t="shared" si="51"/>
        <v>25.5794</v>
      </c>
    </row>
    <row r="476" spans="1:12">
      <c r="A476" s="20">
        <v>46028</v>
      </c>
      <c r="B476" s="22">
        <v>440774</v>
      </c>
      <c r="C476" s="7" t="s">
        <v>64</v>
      </c>
      <c r="D476" s="7" t="s">
        <v>206</v>
      </c>
      <c r="E476" s="7" t="s">
        <v>231</v>
      </c>
      <c r="F476" s="7" t="s">
        <v>231</v>
      </c>
      <c r="G476" s="7"/>
      <c r="H476" s="19">
        <v>10.385400000000001</v>
      </c>
      <c r="I476" s="7">
        <f t="shared" si="49"/>
        <v>0</v>
      </c>
      <c r="J476" s="7">
        <f>IFERROR(VLOOKUP(D476,Event_Master!B:E,4,FALSE),1)</f>
        <v>1</v>
      </c>
      <c r="K476" s="7">
        <f t="shared" si="50"/>
        <v>0</v>
      </c>
      <c r="L476" s="19">
        <f t="shared" si="51"/>
        <v>10.385400000000001</v>
      </c>
    </row>
    <row r="477" spans="1:12">
      <c r="A477" s="20">
        <v>46028</v>
      </c>
      <c r="B477" s="22">
        <v>447096</v>
      </c>
      <c r="C477" s="7" t="s">
        <v>81</v>
      </c>
      <c r="D477" s="7" t="s">
        <v>206</v>
      </c>
      <c r="E477" s="7" t="s">
        <v>231</v>
      </c>
      <c r="F477" s="7" t="s">
        <v>231</v>
      </c>
      <c r="G477" s="7"/>
      <c r="H477" s="19">
        <v>20.2377</v>
      </c>
      <c r="I477" s="7">
        <f t="shared" si="49"/>
        <v>0</v>
      </c>
      <c r="J477" s="7">
        <f>IFERROR(VLOOKUP(D477,Event_Master!B:E,4,FALSE),1)</f>
        <v>1</v>
      </c>
      <c r="K477" s="7">
        <f t="shared" si="50"/>
        <v>0</v>
      </c>
      <c r="L477" s="19">
        <f t="shared" si="51"/>
        <v>20.2377</v>
      </c>
    </row>
    <row r="478" spans="1:12">
      <c r="A478" s="20">
        <v>46028</v>
      </c>
      <c r="B478" s="22">
        <v>449635</v>
      </c>
      <c r="C478" s="7" t="s">
        <v>182</v>
      </c>
      <c r="D478" s="7" t="s">
        <v>206</v>
      </c>
      <c r="E478" s="7" t="s">
        <v>231</v>
      </c>
      <c r="F478" s="7" t="s">
        <v>231</v>
      </c>
      <c r="G478" s="7"/>
      <c r="H478" s="19">
        <v>23.6723</v>
      </c>
      <c r="I478" s="7">
        <f t="shared" si="49"/>
        <v>0</v>
      </c>
      <c r="J478" s="7">
        <f>IFERROR(VLOOKUP(D478,Event_Master!B:E,4,FALSE),1)</f>
        <v>1</v>
      </c>
      <c r="K478" s="7">
        <f t="shared" si="50"/>
        <v>0</v>
      </c>
      <c r="L478" s="19">
        <f t="shared" si="51"/>
        <v>23.6723</v>
      </c>
    </row>
    <row r="479" spans="1:12">
      <c r="A479" s="20">
        <v>46028</v>
      </c>
      <c r="B479" s="22">
        <v>449890</v>
      </c>
      <c r="C479" s="7" t="s">
        <v>90</v>
      </c>
      <c r="D479" s="7" t="s">
        <v>206</v>
      </c>
      <c r="E479" s="7" t="s">
        <v>231</v>
      </c>
      <c r="F479" s="7" t="s">
        <v>231</v>
      </c>
      <c r="G479" s="7"/>
      <c r="H479" s="19">
        <v>31.3401</v>
      </c>
      <c r="I479" s="7">
        <f t="shared" si="49"/>
        <v>0</v>
      </c>
      <c r="J479" s="7">
        <f>IFERROR(VLOOKUP(D479,Event_Master!B:E,4,FALSE),1)</f>
        <v>1</v>
      </c>
      <c r="K479" s="7">
        <f t="shared" si="50"/>
        <v>0</v>
      </c>
      <c r="L479" s="19">
        <f t="shared" si="51"/>
        <v>31.3401</v>
      </c>
    </row>
    <row r="480" spans="1:12">
      <c r="A480" s="20">
        <v>46028</v>
      </c>
      <c r="B480" s="22">
        <v>449891</v>
      </c>
      <c r="C480" s="7" t="s">
        <v>170</v>
      </c>
      <c r="D480" s="7" t="s">
        <v>206</v>
      </c>
      <c r="E480" s="7" t="s">
        <v>231</v>
      </c>
      <c r="F480" s="7" t="s">
        <v>231</v>
      </c>
      <c r="G480" s="7"/>
      <c r="H480" s="19">
        <v>37.461599999999997</v>
      </c>
      <c r="I480" s="7">
        <f t="shared" si="49"/>
        <v>0</v>
      </c>
      <c r="J480" s="7">
        <f>IFERROR(VLOOKUP(D480,Event_Master!B:E,4,FALSE),1)</f>
        <v>1</v>
      </c>
      <c r="K480" s="7">
        <f t="shared" si="50"/>
        <v>0</v>
      </c>
      <c r="L480" s="19">
        <f t="shared" si="51"/>
        <v>37.461599999999997</v>
      </c>
    </row>
    <row r="481" spans="1:12">
      <c r="A481" s="20">
        <v>46028</v>
      </c>
      <c r="B481" s="22">
        <v>450030</v>
      </c>
      <c r="C481" s="7" t="s">
        <v>102</v>
      </c>
      <c r="D481" s="7" t="s">
        <v>206</v>
      </c>
      <c r="E481" s="7" t="s">
        <v>231</v>
      </c>
      <c r="F481" s="7" t="s">
        <v>231</v>
      </c>
      <c r="G481" s="7"/>
      <c r="H481" s="19">
        <v>30.535499999999999</v>
      </c>
      <c r="I481" s="7">
        <f t="shared" si="49"/>
        <v>0</v>
      </c>
      <c r="J481" s="7">
        <f>IFERROR(VLOOKUP(D481,Event_Master!B:E,4,FALSE),1)</f>
        <v>1</v>
      </c>
      <c r="K481" s="7">
        <f t="shared" si="50"/>
        <v>0</v>
      </c>
      <c r="L481" s="19">
        <f t="shared" si="51"/>
        <v>30.535499999999999</v>
      </c>
    </row>
    <row r="482" spans="1:12">
      <c r="A482" s="20">
        <v>46028</v>
      </c>
      <c r="B482" s="22">
        <v>450171</v>
      </c>
      <c r="C482" s="7" t="s">
        <v>140</v>
      </c>
      <c r="D482" s="7" t="s">
        <v>206</v>
      </c>
      <c r="E482" s="7" t="s">
        <v>231</v>
      </c>
      <c r="F482" s="7" t="s">
        <v>231</v>
      </c>
      <c r="G482" s="7"/>
      <c r="H482" s="19">
        <v>33.7562</v>
      </c>
      <c r="I482" s="7">
        <f t="shared" si="49"/>
        <v>0</v>
      </c>
      <c r="J482" s="7">
        <f>IFERROR(VLOOKUP(D482,Event_Master!B:E,4,FALSE),1)</f>
        <v>1</v>
      </c>
      <c r="K482" s="7">
        <f t="shared" si="50"/>
        <v>0</v>
      </c>
      <c r="L482" s="19">
        <f t="shared" si="51"/>
        <v>33.7562</v>
      </c>
    </row>
    <row r="483" spans="1:12">
      <c r="A483" s="20">
        <v>46028</v>
      </c>
      <c r="B483" s="22">
        <v>450224</v>
      </c>
      <c r="C483" s="7" t="s">
        <v>62</v>
      </c>
      <c r="D483" s="7" t="s">
        <v>206</v>
      </c>
      <c r="E483" s="7" t="s">
        <v>231</v>
      </c>
      <c r="F483" s="7" t="s">
        <v>231</v>
      </c>
      <c r="G483" s="7"/>
      <c r="H483" s="19">
        <v>24.122800000000002</v>
      </c>
      <c r="I483" s="7">
        <f t="shared" si="49"/>
        <v>0</v>
      </c>
      <c r="J483" s="7">
        <f>IFERROR(VLOOKUP(D483,Event_Master!B:E,4,FALSE),1)</f>
        <v>1</v>
      </c>
      <c r="K483" s="7">
        <f t="shared" si="50"/>
        <v>0</v>
      </c>
      <c r="L483" s="19">
        <f t="shared" si="51"/>
        <v>24.122800000000002</v>
      </c>
    </row>
    <row r="484" spans="1:12">
      <c r="A484" s="20">
        <v>46028</v>
      </c>
      <c r="B484" s="22">
        <v>450225</v>
      </c>
      <c r="C484" s="7" t="s">
        <v>177</v>
      </c>
      <c r="D484" s="7" t="s">
        <v>206</v>
      </c>
      <c r="E484" s="7" t="s">
        <v>231</v>
      </c>
      <c r="F484" s="7" t="s">
        <v>231</v>
      </c>
      <c r="G484" s="7"/>
      <c r="H484" s="19">
        <v>16.994</v>
      </c>
      <c r="I484" s="7">
        <f t="shared" si="49"/>
        <v>0</v>
      </c>
      <c r="J484" s="7">
        <f>IFERROR(VLOOKUP(D484,Event_Master!B:E,4,FALSE),1)</f>
        <v>1</v>
      </c>
      <c r="K484" s="7">
        <f t="shared" si="50"/>
        <v>0</v>
      </c>
      <c r="L484" s="19">
        <f t="shared" si="51"/>
        <v>16.994</v>
      </c>
    </row>
    <row r="485" spans="1:12">
      <c r="A485" s="20">
        <v>46028</v>
      </c>
      <c r="B485" s="22">
        <v>450228</v>
      </c>
      <c r="C485" s="7" t="s">
        <v>74</v>
      </c>
      <c r="D485" s="7" t="s">
        <v>206</v>
      </c>
      <c r="E485" s="7" t="s">
        <v>231</v>
      </c>
      <c r="F485" s="7" t="s">
        <v>231</v>
      </c>
      <c r="G485" s="7"/>
      <c r="H485" s="19">
        <v>28.668700000000001</v>
      </c>
      <c r="I485" s="7">
        <f t="shared" si="49"/>
        <v>0</v>
      </c>
      <c r="J485" s="7">
        <f>IFERROR(VLOOKUP(D485,Event_Master!B:E,4,FALSE),1)</f>
        <v>1</v>
      </c>
      <c r="K485" s="7">
        <f t="shared" si="50"/>
        <v>0</v>
      </c>
      <c r="L485" s="19">
        <f t="shared" si="51"/>
        <v>28.668700000000001</v>
      </c>
    </row>
    <row r="486" spans="1:12">
      <c r="A486" s="20">
        <v>46028</v>
      </c>
      <c r="B486" s="22">
        <v>450230</v>
      </c>
      <c r="C486" s="7" t="s">
        <v>4</v>
      </c>
      <c r="D486" s="7" t="s">
        <v>206</v>
      </c>
      <c r="E486" s="7" t="s">
        <v>231</v>
      </c>
      <c r="F486" s="7" t="s">
        <v>231</v>
      </c>
      <c r="G486" s="7"/>
      <c r="H486" s="19">
        <v>20.210999999999999</v>
      </c>
      <c r="I486" s="7">
        <f t="shared" si="49"/>
        <v>0</v>
      </c>
      <c r="J486" s="7">
        <f>IFERROR(VLOOKUP(D486,Event_Master!B:E,4,FALSE),1)</f>
        <v>1</v>
      </c>
      <c r="K486" s="7">
        <f t="shared" si="50"/>
        <v>0</v>
      </c>
      <c r="L486" s="19">
        <f t="shared" si="51"/>
        <v>20.210999999999999</v>
      </c>
    </row>
    <row r="487" spans="1:12">
      <c r="A487" s="20">
        <v>46028</v>
      </c>
      <c r="B487" s="22">
        <v>450256</v>
      </c>
      <c r="C487" s="7" t="s">
        <v>24</v>
      </c>
      <c r="D487" s="7" t="s">
        <v>206</v>
      </c>
      <c r="E487" s="7" t="s">
        <v>231</v>
      </c>
      <c r="F487" s="7" t="s">
        <v>231</v>
      </c>
      <c r="G487" s="7"/>
      <c r="H487" s="19">
        <v>20.265000000000001</v>
      </c>
      <c r="I487" s="7">
        <f t="shared" si="49"/>
        <v>0</v>
      </c>
      <c r="J487" s="7">
        <f>IFERROR(VLOOKUP(D487,Event_Master!B:E,4,FALSE),1)</f>
        <v>1</v>
      </c>
      <c r="K487" s="7">
        <f t="shared" si="50"/>
        <v>0</v>
      </c>
      <c r="L487" s="19">
        <f t="shared" si="51"/>
        <v>20.265000000000001</v>
      </c>
    </row>
    <row r="488" spans="1:12">
      <c r="A488" s="20">
        <v>46028</v>
      </c>
      <c r="B488" s="22">
        <v>450694</v>
      </c>
      <c r="C488" s="7" t="s">
        <v>169</v>
      </c>
      <c r="D488" s="7" t="s">
        <v>206</v>
      </c>
      <c r="E488" s="7" t="s">
        <v>231</v>
      </c>
      <c r="F488" s="7" t="s">
        <v>231</v>
      </c>
      <c r="G488" s="7"/>
      <c r="H488" s="19">
        <v>20.470099999999999</v>
      </c>
      <c r="I488" s="7">
        <f t="shared" si="49"/>
        <v>0</v>
      </c>
      <c r="J488" s="7">
        <f>IFERROR(VLOOKUP(D488,Event_Master!B:E,4,FALSE),1)</f>
        <v>1</v>
      </c>
      <c r="K488" s="7">
        <f t="shared" si="50"/>
        <v>0</v>
      </c>
      <c r="L488" s="19">
        <f t="shared" si="51"/>
        <v>20.470099999999999</v>
      </c>
    </row>
    <row r="489" spans="1:12">
      <c r="A489" s="20">
        <v>46028</v>
      </c>
      <c r="B489" s="22">
        <v>451857</v>
      </c>
      <c r="C489" s="7" t="s">
        <v>163</v>
      </c>
      <c r="D489" s="7" t="s">
        <v>206</v>
      </c>
      <c r="E489" s="7" t="s">
        <v>231</v>
      </c>
      <c r="F489" s="7" t="s">
        <v>231</v>
      </c>
      <c r="G489" s="7"/>
      <c r="H489" s="19">
        <v>27.1264</v>
      </c>
      <c r="I489" s="7">
        <f t="shared" si="49"/>
        <v>0</v>
      </c>
      <c r="J489" s="7">
        <f>IFERROR(VLOOKUP(D489,Event_Master!B:E,4,FALSE),1)</f>
        <v>1</v>
      </c>
      <c r="K489" s="7">
        <f t="shared" si="50"/>
        <v>0</v>
      </c>
      <c r="L489" s="19">
        <f t="shared" si="51"/>
        <v>27.1264</v>
      </c>
    </row>
    <row r="490" spans="1:12">
      <c r="A490" s="20">
        <v>46028</v>
      </c>
      <c r="B490" s="22">
        <v>451858</v>
      </c>
      <c r="C490" s="7" t="s">
        <v>123</v>
      </c>
      <c r="D490" s="7" t="s">
        <v>206</v>
      </c>
      <c r="E490" s="7" t="s">
        <v>231</v>
      </c>
      <c r="F490" s="7" t="s">
        <v>231</v>
      </c>
      <c r="G490" s="7"/>
      <c r="H490" s="19">
        <v>16.651900000000001</v>
      </c>
      <c r="I490" s="7">
        <f t="shared" si="49"/>
        <v>0</v>
      </c>
      <c r="J490" s="7">
        <f>IFERROR(VLOOKUP(D490,Event_Master!B:E,4,FALSE),1)</f>
        <v>1</v>
      </c>
      <c r="K490" s="7">
        <f t="shared" si="50"/>
        <v>0</v>
      </c>
      <c r="L490" s="19">
        <f t="shared" si="51"/>
        <v>16.651900000000001</v>
      </c>
    </row>
    <row r="491" spans="1:12">
      <c r="A491" s="20">
        <v>46028</v>
      </c>
      <c r="B491" s="22">
        <v>452056</v>
      </c>
      <c r="C491" s="7" t="s">
        <v>110</v>
      </c>
      <c r="D491" s="7" t="s">
        <v>206</v>
      </c>
      <c r="E491" s="7" t="s">
        <v>231</v>
      </c>
      <c r="F491" s="7" t="s">
        <v>231</v>
      </c>
      <c r="G491" s="7"/>
      <c r="H491" s="19">
        <v>31.532699999999998</v>
      </c>
      <c r="I491" s="7">
        <f t="shared" si="49"/>
        <v>0</v>
      </c>
      <c r="J491" s="7">
        <f>IFERROR(VLOOKUP(D491,Event_Master!B:E,4,FALSE),1)</f>
        <v>1</v>
      </c>
      <c r="K491" s="7">
        <f t="shared" si="50"/>
        <v>0</v>
      </c>
      <c r="L491" s="19">
        <f t="shared" si="51"/>
        <v>31.532699999999998</v>
      </c>
    </row>
    <row r="492" spans="1:12">
      <c r="A492" s="20">
        <v>46028</v>
      </c>
      <c r="B492" s="22">
        <v>452058</v>
      </c>
      <c r="C492" s="7" t="s">
        <v>14</v>
      </c>
      <c r="D492" s="7" t="s">
        <v>206</v>
      </c>
      <c r="E492" s="7" t="s">
        <v>231</v>
      </c>
      <c r="F492" s="7" t="s">
        <v>231</v>
      </c>
      <c r="G492" s="7"/>
      <c r="H492" s="19">
        <v>18.5928</v>
      </c>
      <c r="I492" s="7">
        <f t="shared" si="49"/>
        <v>0</v>
      </c>
      <c r="J492" s="7">
        <f>IFERROR(VLOOKUP(D492,Event_Master!B:E,4,FALSE),1)</f>
        <v>1</v>
      </c>
      <c r="K492" s="7">
        <f t="shared" si="50"/>
        <v>0</v>
      </c>
      <c r="L492" s="19">
        <f t="shared" si="51"/>
        <v>18.5928</v>
      </c>
    </row>
    <row r="493" spans="1:12">
      <c r="A493" s="20">
        <v>46028</v>
      </c>
      <c r="B493" s="22">
        <v>452076</v>
      </c>
      <c r="C493" s="7" t="s">
        <v>73</v>
      </c>
      <c r="D493" s="7" t="s">
        <v>206</v>
      </c>
      <c r="E493" s="7" t="s">
        <v>231</v>
      </c>
      <c r="F493" s="7" t="s">
        <v>231</v>
      </c>
      <c r="G493" s="7"/>
      <c r="H493" s="19">
        <v>24.287500000000001</v>
      </c>
      <c r="I493" s="7">
        <f t="shared" si="49"/>
        <v>0</v>
      </c>
      <c r="J493" s="7">
        <f>IFERROR(VLOOKUP(D493,Event_Master!B:E,4,FALSE),1)</f>
        <v>1</v>
      </c>
      <c r="K493" s="7">
        <f t="shared" si="50"/>
        <v>0</v>
      </c>
      <c r="L493" s="19">
        <f t="shared" si="51"/>
        <v>24.287500000000001</v>
      </c>
    </row>
    <row r="494" spans="1:12">
      <c r="A494" s="20">
        <v>46028</v>
      </c>
      <c r="B494" s="22">
        <v>452119</v>
      </c>
      <c r="C494" s="7" t="s">
        <v>153</v>
      </c>
      <c r="D494" s="7" t="s">
        <v>206</v>
      </c>
      <c r="E494" s="7" t="s">
        <v>231</v>
      </c>
      <c r="F494" s="7" t="s">
        <v>231</v>
      </c>
      <c r="G494" s="7"/>
      <c r="H494" s="19">
        <v>21.793600000000001</v>
      </c>
      <c r="I494" s="7">
        <f t="shared" si="49"/>
        <v>0</v>
      </c>
      <c r="J494" s="7">
        <f>IFERROR(VLOOKUP(D494,Event_Master!B:E,4,FALSE),1)</f>
        <v>1</v>
      </c>
      <c r="K494" s="7">
        <f t="shared" si="50"/>
        <v>0</v>
      </c>
      <c r="L494" s="19">
        <f t="shared" si="51"/>
        <v>21.793600000000001</v>
      </c>
    </row>
    <row r="495" spans="1:12">
      <c r="A495" s="20">
        <v>46028</v>
      </c>
      <c r="B495" s="22">
        <v>452799</v>
      </c>
      <c r="C495" s="7" t="s">
        <v>171</v>
      </c>
      <c r="D495" s="7" t="s">
        <v>206</v>
      </c>
      <c r="E495" s="7" t="s">
        <v>231</v>
      </c>
      <c r="F495" s="7" t="s">
        <v>231</v>
      </c>
      <c r="G495" s="7"/>
      <c r="H495" s="19">
        <v>30.964700000000001</v>
      </c>
      <c r="I495" s="7">
        <f t="shared" si="49"/>
        <v>0</v>
      </c>
      <c r="J495" s="7">
        <f>IFERROR(VLOOKUP(D495,Event_Master!B:E,4,FALSE),1)</f>
        <v>1</v>
      </c>
      <c r="K495" s="7">
        <f t="shared" si="50"/>
        <v>0</v>
      </c>
      <c r="L495" s="19">
        <f t="shared" si="51"/>
        <v>30.964700000000001</v>
      </c>
    </row>
    <row r="496" spans="1:12">
      <c r="A496" s="20">
        <v>46028</v>
      </c>
      <c r="B496" s="22">
        <v>454456</v>
      </c>
      <c r="C496" s="7" t="s">
        <v>162</v>
      </c>
      <c r="D496" s="7" t="s">
        <v>206</v>
      </c>
      <c r="E496" s="7" t="s">
        <v>231</v>
      </c>
      <c r="F496" s="7" t="s">
        <v>231</v>
      </c>
      <c r="G496" s="7"/>
      <c r="H496" s="19">
        <v>29.883500000000002</v>
      </c>
      <c r="I496" s="7">
        <f t="shared" si="49"/>
        <v>0</v>
      </c>
      <c r="J496" s="7">
        <f>IFERROR(VLOOKUP(D496,Event_Master!B:E,4,FALSE),1)</f>
        <v>1</v>
      </c>
      <c r="K496" s="7">
        <f t="shared" si="50"/>
        <v>0</v>
      </c>
      <c r="L496" s="19">
        <f t="shared" si="51"/>
        <v>29.883500000000002</v>
      </c>
    </row>
    <row r="497" spans="1:12">
      <c r="A497" s="20">
        <v>46028</v>
      </c>
      <c r="B497" s="22">
        <v>455024</v>
      </c>
      <c r="C497" s="7" t="s">
        <v>167</v>
      </c>
      <c r="D497" s="7" t="s">
        <v>206</v>
      </c>
      <c r="E497" s="7" t="s">
        <v>231</v>
      </c>
      <c r="F497" s="7" t="s">
        <v>231</v>
      </c>
      <c r="G497" s="7"/>
      <c r="H497" s="19">
        <v>25.1114</v>
      </c>
      <c r="I497" s="7">
        <f t="shared" si="49"/>
        <v>0</v>
      </c>
      <c r="J497" s="7">
        <f>IFERROR(VLOOKUP(D497,Event_Master!B:E,4,FALSE),1)</f>
        <v>1</v>
      </c>
      <c r="K497" s="7">
        <f t="shared" si="50"/>
        <v>0</v>
      </c>
      <c r="L497" s="19">
        <f t="shared" si="51"/>
        <v>25.1114</v>
      </c>
    </row>
    <row r="498" spans="1:12">
      <c r="A498" s="20">
        <v>46028</v>
      </c>
      <c r="B498" s="22">
        <v>457157</v>
      </c>
      <c r="C498" s="7" t="s">
        <v>111</v>
      </c>
      <c r="D498" s="7" t="s">
        <v>206</v>
      </c>
      <c r="E498" s="7" t="s">
        <v>231</v>
      </c>
      <c r="F498" s="7" t="s">
        <v>231</v>
      </c>
      <c r="G498" s="7"/>
      <c r="H498" s="19">
        <v>51.523699999999998</v>
      </c>
      <c r="I498" s="7">
        <f t="shared" si="49"/>
        <v>0</v>
      </c>
      <c r="J498" s="7">
        <f>IFERROR(VLOOKUP(D498,Event_Master!B:E,4,FALSE),1)</f>
        <v>1</v>
      </c>
      <c r="K498" s="7">
        <f t="shared" si="50"/>
        <v>0</v>
      </c>
      <c r="L498" s="19">
        <f t="shared" si="51"/>
        <v>51.523699999999998</v>
      </c>
    </row>
    <row r="499" spans="1:12">
      <c r="A499" s="20">
        <v>46028</v>
      </c>
      <c r="B499" s="22">
        <v>458702</v>
      </c>
      <c r="C499" s="7" t="s">
        <v>132</v>
      </c>
      <c r="D499" s="7" t="s">
        <v>206</v>
      </c>
      <c r="E499" s="7" t="s">
        <v>231</v>
      </c>
      <c r="F499" s="7" t="s">
        <v>231</v>
      </c>
      <c r="G499" s="7"/>
      <c r="H499" s="19">
        <v>33.420200000000001</v>
      </c>
      <c r="I499" s="7">
        <f t="shared" si="49"/>
        <v>0</v>
      </c>
      <c r="J499" s="7">
        <f>IFERROR(VLOOKUP(D499,Event_Master!B:E,4,FALSE),1)</f>
        <v>1</v>
      </c>
      <c r="K499" s="7">
        <f t="shared" si="50"/>
        <v>0</v>
      </c>
      <c r="L499" s="19">
        <f t="shared" si="51"/>
        <v>33.420200000000001</v>
      </c>
    </row>
    <row r="500" spans="1:12">
      <c r="A500" s="20">
        <v>46028</v>
      </c>
      <c r="B500" s="22">
        <v>459464</v>
      </c>
      <c r="C500" s="7" t="s">
        <v>172</v>
      </c>
      <c r="D500" s="7" t="s">
        <v>206</v>
      </c>
      <c r="E500" s="7" t="s">
        <v>231</v>
      </c>
      <c r="F500" s="7" t="s">
        <v>231</v>
      </c>
      <c r="G500" s="7"/>
      <c r="H500" s="19">
        <v>24.1935</v>
      </c>
      <c r="I500" s="7">
        <f t="shared" si="49"/>
        <v>0</v>
      </c>
      <c r="J500" s="7">
        <f>IFERROR(VLOOKUP(D500,Event_Master!B:E,4,FALSE),1)</f>
        <v>1</v>
      </c>
      <c r="K500" s="7">
        <f t="shared" si="50"/>
        <v>0</v>
      </c>
      <c r="L500" s="19">
        <f t="shared" si="51"/>
        <v>24.1935</v>
      </c>
    </row>
    <row r="501" spans="1:12">
      <c r="A501" s="20">
        <v>46028</v>
      </c>
      <c r="B501" s="22">
        <v>463059</v>
      </c>
      <c r="C501" s="7" t="s">
        <v>178</v>
      </c>
      <c r="D501" s="7" t="s">
        <v>206</v>
      </c>
      <c r="E501" s="7" t="s">
        <v>231</v>
      </c>
      <c r="F501" s="7" t="s">
        <v>231</v>
      </c>
      <c r="G501" s="7"/>
      <c r="H501" s="19">
        <v>30.224499999999999</v>
      </c>
      <c r="I501" s="7">
        <f t="shared" si="49"/>
        <v>0</v>
      </c>
      <c r="J501" s="7">
        <f>IFERROR(VLOOKUP(D501,Event_Master!B:E,4,FALSE),1)</f>
        <v>1</v>
      </c>
      <c r="K501" s="7">
        <f t="shared" si="50"/>
        <v>0</v>
      </c>
      <c r="L501" s="19">
        <f t="shared" si="51"/>
        <v>30.224499999999999</v>
      </c>
    </row>
    <row r="502" spans="1:12">
      <c r="A502" s="20">
        <v>46028</v>
      </c>
      <c r="B502" s="22">
        <v>463833</v>
      </c>
      <c r="C502" s="7" t="s">
        <v>100</v>
      </c>
      <c r="D502" s="7" t="s">
        <v>206</v>
      </c>
      <c r="E502" s="7" t="s">
        <v>231</v>
      </c>
      <c r="F502" s="7" t="s">
        <v>231</v>
      </c>
      <c r="G502" s="7"/>
      <c r="H502" s="19">
        <v>38.261699999999998</v>
      </c>
      <c r="I502" s="7">
        <f t="shared" si="49"/>
        <v>0</v>
      </c>
      <c r="J502" s="7">
        <f>IFERROR(VLOOKUP(D502,Event_Master!B:E,4,FALSE),1)</f>
        <v>1</v>
      </c>
      <c r="K502" s="7">
        <f t="shared" si="50"/>
        <v>0</v>
      </c>
      <c r="L502" s="19">
        <f t="shared" si="51"/>
        <v>38.261699999999998</v>
      </c>
    </row>
    <row r="503" spans="1:12">
      <c r="A503" s="20">
        <v>46028</v>
      </c>
      <c r="B503" s="22">
        <v>464188</v>
      </c>
      <c r="C503" s="7" t="s">
        <v>59</v>
      </c>
      <c r="D503" s="7" t="s">
        <v>206</v>
      </c>
      <c r="E503" s="7" t="s">
        <v>231</v>
      </c>
      <c r="F503" s="7" t="s">
        <v>231</v>
      </c>
      <c r="G503" s="7"/>
      <c r="H503" s="19">
        <v>36.029299999999999</v>
      </c>
      <c r="I503" s="7">
        <f t="shared" si="49"/>
        <v>0</v>
      </c>
      <c r="J503" s="7">
        <f>IFERROR(VLOOKUP(D503,Event_Master!B:E,4,FALSE),1)</f>
        <v>1</v>
      </c>
      <c r="K503" s="7">
        <f t="shared" si="50"/>
        <v>0</v>
      </c>
      <c r="L503" s="19">
        <f t="shared" si="51"/>
        <v>36.029299999999999</v>
      </c>
    </row>
    <row r="504" spans="1:12">
      <c r="A504" s="20">
        <v>46028</v>
      </c>
      <c r="B504" s="22">
        <v>465254</v>
      </c>
      <c r="C504" s="7" t="s">
        <v>174</v>
      </c>
      <c r="D504" s="7" t="s">
        <v>206</v>
      </c>
      <c r="E504" s="7" t="s">
        <v>231</v>
      </c>
      <c r="F504" s="7" t="s">
        <v>231</v>
      </c>
      <c r="G504" s="7"/>
      <c r="H504" s="19">
        <v>22.108699999999999</v>
      </c>
      <c r="I504" s="7">
        <f t="shared" si="49"/>
        <v>0</v>
      </c>
      <c r="J504" s="7">
        <f>IFERROR(VLOOKUP(D504,Event_Master!B:E,4,FALSE),1)</f>
        <v>1</v>
      </c>
      <c r="K504" s="7">
        <f t="shared" si="50"/>
        <v>0</v>
      </c>
      <c r="L504" s="19">
        <f t="shared" si="51"/>
        <v>22.108699999999999</v>
      </c>
    </row>
    <row r="505" spans="1:12">
      <c r="A505" s="20">
        <v>46028</v>
      </c>
      <c r="B505" s="22">
        <v>465255</v>
      </c>
      <c r="C505" s="7" t="s">
        <v>28</v>
      </c>
      <c r="D505" s="7" t="s">
        <v>206</v>
      </c>
      <c r="E505" s="7" t="s">
        <v>231</v>
      </c>
      <c r="F505" s="7" t="s">
        <v>231</v>
      </c>
      <c r="G505" s="7"/>
      <c r="H505" s="19">
        <v>39.0792</v>
      </c>
      <c r="I505" s="7">
        <f t="shared" si="49"/>
        <v>0</v>
      </c>
      <c r="J505" s="7">
        <f>IFERROR(VLOOKUP(D505,Event_Master!B:E,4,FALSE),1)</f>
        <v>1</v>
      </c>
      <c r="K505" s="7">
        <f t="shared" si="50"/>
        <v>0</v>
      </c>
      <c r="L505" s="19">
        <f t="shared" si="51"/>
        <v>39.0792</v>
      </c>
    </row>
    <row r="506" spans="1:12">
      <c r="A506" s="20">
        <v>46028</v>
      </c>
      <c r="B506" s="22">
        <v>466167</v>
      </c>
      <c r="C506" s="7" t="s">
        <v>161</v>
      </c>
      <c r="D506" s="7" t="s">
        <v>206</v>
      </c>
      <c r="E506" s="7" t="s">
        <v>231</v>
      </c>
      <c r="F506" s="7" t="s">
        <v>231</v>
      </c>
      <c r="G506" s="7"/>
      <c r="H506" s="19">
        <v>53.746299999999998</v>
      </c>
      <c r="I506" s="7">
        <f t="shared" si="49"/>
        <v>0</v>
      </c>
      <c r="J506" s="7">
        <f>IFERROR(VLOOKUP(D506,Event_Master!B:E,4,FALSE),1)</f>
        <v>1</v>
      </c>
      <c r="K506" s="7">
        <f t="shared" si="50"/>
        <v>0</v>
      </c>
      <c r="L506" s="19">
        <f t="shared" si="51"/>
        <v>53.746299999999998</v>
      </c>
    </row>
    <row r="507" spans="1:12">
      <c r="A507" s="20">
        <v>46028</v>
      </c>
      <c r="B507" s="22">
        <v>466445</v>
      </c>
      <c r="C507" s="7" t="s">
        <v>127</v>
      </c>
      <c r="D507" s="7" t="s">
        <v>206</v>
      </c>
      <c r="E507" s="7" t="s">
        <v>231</v>
      </c>
      <c r="F507" s="7" t="s">
        <v>231</v>
      </c>
      <c r="G507" s="7"/>
      <c r="H507" s="19">
        <v>30.953499999999998</v>
      </c>
      <c r="I507" s="7">
        <f t="shared" si="49"/>
        <v>0</v>
      </c>
      <c r="J507" s="7">
        <f>IFERROR(VLOOKUP(D507,Event_Master!B:E,4,FALSE),1)</f>
        <v>1</v>
      </c>
      <c r="K507" s="7">
        <f t="shared" si="50"/>
        <v>0</v>
      </c>
      <c r="L507" s="19">
        <f t="shared" si="51"/>
        <v>30.953499999999998</v>
      </c>
    </row>
    <row r="508" spans="1:12">
      <c r="A508" s="20">
        <v>46028</v>
      </c>
      <c r="B508" s="22">
        <v>467519</v>
      </c>
      <c r="C508" s="7" t="s">
        <v>80</v>
      </c>
      <c r="D508" s="7" t="s">
        <v>206</v>
      </c>
      <c r="E508" s="7" t="s">
        <v>231</v>
      </c>
      <c r="F508" s="7" t="s">
        <v>231</v>
      </c>
      <c r="G508" s="7"/>
      <c r="H508" s="19">
        <v>26.6873</v>
      </c>
      <c r="I508" s="7">
        <f t="shared" si="49"/>
        <v>0</v>
      </c>
      <c r="J508" s="7">
        <f>IFERROR(VLOOKUP(D508,Event_Master!B:E,4,FALSE),1)</f>
        <v>1</v>
      </c>
      <c r="K508" s="7">
        <f t="shared" si="50"/>
        <v>0</v>
      </c>
      <c r="L508" s="19">
        <f t="shared" si="51"/>
        <v>26.6873</v>
      </c>
    </row>
    <row r="509" spans="1:12">
      <c r="A509" s="20">
        <v>46028</v>
      </c>
      <c r="B509" s="22">
        <v>468224</v>
      </c>
      <c r="C509" s="7" t="s">
        <v>104</v>
      </c>
      <c r="D509" s="7" t="s">
        <v>206</v>
      </c>
      <c r="E509" s="7" t="s">
        <v>231</v>
      </c>
      <c r="F509" s="7" t="s">
        <v>231</v>
      </c>
      <c r="G509" s="7"/>
      <c r="H509" s="19">
        <v>18.587399999999999</v>
      </c>
      <c r="I509" s="7">
        <f t="shared" si="49"/>
        <v>0</v>
      </c>
      <c r="J509" s="7">
        <f>IFERROR(VLOOKUP(D509,Event_Master!B:E,4,FALSE),1)</f>
        <v>1</v>
      </c>
      <c r="K509" s="7">
        <f t="shared" si="50"/>
        <v>0</v>
      </c>
      <c r="L509" s="19">
        <f t="shared" si="51"/>
        <v>18.587399999999999</v>
      </c>
    </row>
    <row r="510" spans="1:12">
      <c r="A510" s="20">
        <v>46028</v>
      </c>
      <c r="B510" s="22">
        <v>468660</v>
      </c>
      <c r="C510" s="7" t="s">
        <v>40</v>
      </c>
      <c r="D510" s="7" t="s">
        <v>206</v>
      </c>
      <c r="E510" s="7" t="s">
        <v>231</v>
      </c>
      <c r="F510" s="7" t="s">
        <v>231</v>
      </c>
      <c r="G510" s="7"/>
      <c r="H510" s="19">
        <v>38.726999999999997</v>
      </c>
      <c r="I510" s="7">
        <f t="shared" si="49"/>
        <v>0</v>
      </c>
      <c r="J510" s="7">
        <f>IFERROR(VLOOKUP(D510,Event_Master!B:E,4,FALSE),1)</f>
        <v>1</v>
      </c>
      <c r="K510" s="7">
        <f t="shared" si="50"/>
        <v>0</v>
      </c>
      <c r="L510" s="19">
        <f t="shared" si="51"/>
        <v>38.726999999999997</v>
      </c>
    </row>
    <row r="511" spans="1:12">
      <c r="A511" s="20">
        <v>46028</v>
      </c>
      <c r="B511" s="22">
        <v>472322</v>
      </c>
      <c r="C511" s="7" t="s">
        <v>72</v>
      </c>
      <c r="D511" s="7" t="s">
        <v>206</v>
      </c>
      <c r="E511" s="7" t="s">
        <v>231</v>
      </c>
      <c r="F511" s="7" t="s">
        <v>231</v>
      </c>
      <c r="G511" s="7"/>
      <c r="H511" s="19">
        <v>23.0443</v>
      </c>
      <c r="I511" s="7">
        <f t="shared" si="49"/>
        <v>0</v>
      </c>
      <c r="J511" s="7">
        <f>IFERROR(VLOOKUP(D511,Event_Master!B:E,4,FALSE),1)</f>
        <v>1</v>
      </c>
      <c r="K511" s="7">
        <f t="shared" si="50"/>
        <v>0</v>
      </c>
      <c r="L511" s="19">
        <f t="shared" si="51"/>
        <v>23.0443</v>
      </c>
    </row>
    <row r="512" spans="1:12">
      <c r="A512" s="20">
        <v>46028</v>
      </c>
      <c r="B512" s="22">
        <v>478308</v>
      </c>
      <c r="C512" s="7" t="s">
        <v>48</v>
      </c>
      <c r="D512" s="7" t="s">
        <v>206</v>
      </c>
      <c r="E512" s="7" t="s">
        <v>231</v>
      </c>
      <c r="F512" s="7" t="s">
        <v>231</v>
      </c>
      <c r="G512" s="7"/>
      <c r="H512" s="19">
        <v>45.078800000000001</v>
      </c>
      <c r="I512" s="7">
        <f t="shared" si="49"/>
        <v>0</v>
      </c>
      <c r="J512" s="7">
        <f>IFERROR(VLOOKUP(D512,Event_Master!B:E,4,FALSE),1)</f>
        <v>1</v>
      </c>
      <c r="K512" s="7">
        <f t="shared" si="50"/>
        <v>0</v>
      </c>
      <c r="L512" s="19">
        <f t="shared" si="51"/>
        <v>45.078800000000001</v>
      </c>
    </row>
    <row r="513" spans="1:12">
      <c r="A513" s="20">
        <v>46028</v>
      </c>
      <c r="B513" s="22">
        <v>478377</v>
      </c>
      <c r="C513" s="7" t="s">
        <v>23</v>
      </c>
      <c r="D513" s="7" t="s">
        <v>206</v>
      </c>
      <c r="E513" s="7" t="s">
        <v>231</v>
      </c>
      <c r="F513" s="7" t="s">
        <v>231</v>
      </c>
      <c r="G513" s="7"/>
      <c r="H513" s="19">
        <v>28.8292</v>
      </c>
      <c r="I513" s="7">
        <f t="shared" si="49"/>
        <v>0</v>
      </c>
      <c r="J513" s="7">
        <f>IFERROR(VLOOKUP(D513,Event_Master!B:E,4,FALSE),1)</f>
        <v>1</v>
      </c>
      <c r="K513" s="7">
        <f t="shared" si="50"/>
        <v>0</v>
      </c>
      <c r="L513" s="19">
        <f t="shared" si="51"/>
        <v>28.8292</v>
      </c>
    </row>
    <row r="514" spans="1:12">
      <c r="A514" s="20">
        <v>46028</v>
      </c>
      <c r="B514" s="22">
        <v>484877</v>
      </c>
      <c r="C514" s="7" t="s">
        <v>107</v>
      </c>
      <c r="D514" s="7" t="s">
        <v>206</v>
      </c>
      <c r="E514" s="7" t="s">
        <v>231</v>
      </c>
      <c r="F514" s="7" t="s">
        <v>231</v>
      </c>
      <c r="G514" s="7"/>
      <c r="H514" s="19">
        <v>26.086099999999998</v>
      </c>
      <c r="I514" s="7">
        <f t="shared" si="49"/>
        <v>0</v>
      </c>
      <c r="J514" s="7">
        <f>IFERROR(VLOOKUP(D514,Event_Master!B:E,4,FALSE),1)</f>
        <v>1</v>
      </c>
      <c r="K514" s="7">
        <f t="shared" si="50"/>
        <v>0</v>
      </c>
      <c r="L514" s="19">
        <f t="shared" si="51"/>
        <v>26.086099999999998</v>
      </c>
    </row>
    <row r="515" spans="1:12">
      <c r="A515" s="20">
        <v>46028</v>
      </c>
      <c r="B515" s="22">
        <v>487107</v>
      </c>
      <c r="C515" s="7" t="s">
        <v>155</v>
      </c>
      <c r="D515" s="7" t="s">
        <v>206</v>
      </c>
      <c r="E515" s="7" t="s">
        <v>231</v>
      </c>
      <c r="F515" s="7" t="s">
        <v>231</v>
      </c>
      <c r="G515" s="7"/>
      <c r="H515" s="19">
        <v>28.313199999999998</v>
      </c>
      <c r="I515" s="7">
        <f t="shared" si="49"/>
        <v>0</v>
      </c>
      <c r="J515" s="7">
        <f>IFERROR(VLOOKUP(D515,Event_Master!B:E,4,FALSE),1)</f>
        <v>1</v>
      </c>
      <c r="K515" s="7">
        <f t="shared" si="50"/>
        <v>0</v>
      </c>
      <c r="L515" s="19">
        <f t="shared" si="51"/>
        <v>28.313199999999998</v>
      </c>
    </row>
    <row r="516" spans="1:12">
      <c r="A516" s="20">
        <v>46028</v>
      </c>
      <c r="B516" s="22">
        <v>492857</v>
      </c>
      <c r="C516" s="7" t="s">
        <v>164</v>
      </c>
      <c r="D516" s="7" t="s">
        <v>206</v>
      </c>
      <c r="E516" s="7" t="s">
        <v>231</v>
      </c>
      <c r="F516" s="7" t="s">
        <v>231</v>
      </c>
      <c r="G516" s="7"/>
      <c r="H516" s="19">
        <v>17.0198</v>
      </c>
      <c r="I516" s="7">
        <f t="shared" si="49"/>
        <v>0</v>
      </c>
      <c r="J516" s="7">
        <f>IFERROR(VLOOKUP(D516,Event_Master!B:E,4,FALSE),1)</f>
        <v>1</v>
      </c>
      <c r="K516" s="7">
        <f t="shared" si="50"/>
        <v>0</v>
      </c>
      <c r="L516" s="19">
        <f t="shared" si="51"/>
        <v>17.0198</v>
      </c>
    </row>
    <row r="517" spans="1:12">
      <c r="A517" s="20">
        <v>46028</v>
      </c>
      <c r="B517" s="22">
        <v>700216</v>
      </c>
      <c r="C517" s="7" t="s">
        <v>147</v>
      </c>
      <c r="D517" s="7" t="s">
        <v>206</v>
      </c>
      <c r="E517" s="7" t="s">
        <v>231</v>
      </c>
      <c r="F517" s="7" t="s">
        <v>231</v>
      </c>
      <c r="G517" s="7"/>
      <c r="H517" s="19">
        <v>23.441400000000002</v>
      </c>
      <c r="I517" s="7">
        <f t="shared" si="49"/>
        <v>0</v>
      </c>
      <c r="J517" s="7">
        <f>IFERROR(VLOOKUP(D517,Event_Master!B:E,4,FALSE),1)</f>
        <v>1</v>
      </c>
      <c r="K517" s="7">
        <f t="shared" si="50"/>
        <v>0</v>
      </c>
      <c r="L517" s="19">
        <f t="shared" si="51"/>
        <v>23.441400000000002</v>
      </c>
    </row>
    <row r="518" spans="1:12">
      <c r="A518" s="20">
        <v>46028</v>
      </c>
      <c r="B518" s="22">
        <v>705995</v>
      </c>
      <c r="C518" s="7" t="s">
        <v>112</v>
      </c>
      <c r="D518" s="7" t="s">
        <v>206</v>
      </c>
      <c r="E518" s="7" t="s">
        <v>231</v>
      </c>
      <c r="F518" s="7" t="s">
        <v>231</v>
      </c>
      <c r="G518" s="7"/>
      <c r="H518" s="19">
        <v>23.993200000000002</v>
      </c>
      <c r="I518" s="7">
        <f t="shared" si="49"/>
        <v>0</v>
      </c>
      <c r="J518" s="7">
        <f>IFERROR(VLOOKUP(D518,Event_Master!B:E,4,FALSE),1)</f>
        <v>1</v>
      </c>
      <c r="K518" s="7">
        <f t="shared" si="50"/>
        <v>0</v>
      </c>
      <c r="L518" s="19">
        <f t="shared" si="51"/>
        <v>23.993200000000002</v>
      </c>
    </row>
    <row r="519" spans="1:12">
      <c r="A519" s="20">
        <v>46028</v>
      </c>
      <c r="B519" s="22">
        <v>706181</v>
      </c>
      <c r="C519" s="7" t="s">
        <v>76</v>
      </c>
      <c r="D519" s="7" t="s">
        <v>206</v>
      </c>
      <c r="E519" s="7" t="s">
        <v>231</v>
      </c>
      <c r="F519" s="7" t="s">
        <v>231</v>
      </c>
      <c r="G519" s="7"/>
      <c r="H519" s="19">
        <v>22.0002</v>
      </c>
      <c r="I519" s="7">
        <f t="shared" si="49"/>
        <v>0</v>
      </c>
      <c r="J519" s="7">
        <f>IFERROR(VLOOKUP(D519,Event_Master!B:E,4,FALSE),1)</f>
        <v>1</v>
      </c>
      <c r="K519" s="7">
        <f t="shared" si="50"/>
        <v>0</v>
      </c>
      <c r="L519" s="19">
        <f t="shared" si="51"/>
        <v>22.0002</v>
      </c>
    </row>
    <row r="520" spans="1:12">
      <c r="A520" s="20">
        <v>46028</v>
      </c>
      <c r="B520" s="22">
        <v>710013</v>
      </c>
      <c r="C520" s="7" t="s">
        <v>98</v>
      </c>
      <c r="D520" s="7" t="s">
        <v>206</v>
      </c>
      <c r="E520" s="7" t="s">
        <v>231</v>
      </c>
      <c r="F520" s="7" t="s">
        <v>231</v>
      </c>
      <c r="G520" s="7"/>
      <c r="H520" s="19">
        <v>31.477699999999999</v>
      </c>
      <c r="I520" s="7">
        <f t="shared" si="49"/>
        <v>0</v>
      </c>
      <c r="J520" s="7">
        <f>IFERROR(VLOOKUP(D520,Event_Master!B:E,4,FALSE),1)</f>
        <v>1</v>
      </c>
      <c r="K520" s="7">
        <f t="shared" si="50"/>
        <v>0</v>
      </c>
      <c r="L520" s="19">
        <f t="shared" si="51"/>
        <v>31.477699999999999</v>
      </c>
    </row>
    <row r="521" spans="1:12">
      <c r="A521" s="20">
        <v>46028</v>
      </c>
      <c r="B521" s="22">
        <v>716610</v>
      </c>
      <c r="C521" s="7" t="s">
        <v>175</v>
      </c>
      <c r="D521" s="7" t="s">
        <v>206</v>
      </c>
      <c r="E521" s="7" t="s">
        <v>231</v>
      </c>
      <c r="F521" s="7" t="s">
        <v>231</v>
      </c>
      <c r="G521" s="7"/>
      <c r="H521" s="19">
        <v>40.100499999999997</v>
      </c>
      <c r="I521" s="7">
        <f t="shared" si="49"/>
        <v>0</v>
      </c>
      <c r="J521" s="7">
        <f>IFERROR(VLOOKUP(D521,Event_Master!B:E,4,FALSE),1)</f>
        <v>1</v>
      </c>
      <c r="K521" s="7">
        <f t="shared" si="50"/>
        <v>0</v>
      </c>
      <c r="L521" s="19">
        <f t="shared" si="51"/>
        <v>40.100499999999997</v>
      </c>
    </row>
    <row r="522" spans="1:12">
      <c r="A522" s="20">
        <v>46028</v>
      </c>
      <c r="B522" s="22">
        <v>722183</v>
      </c>
      <c r="C522" s="7" t="s">
        <v>94</v>
      </c>
      <c r="D522" s="7" t="s">
        <v>206</v>
      </c>
      <c r="E522" s="7" t="s">
        <v>231</v>
      </c>
      <c r="F522" s="7" t="s">
        <v>231</v>
      </c>
      <c r="G522" s="7"/>
      <c r="H522" s="19">
        <v>32.5212</v>
      </c>
      <c r="I522" s="7">
        <f t="shared" si="49"/>
        <v>0</v>
      </c>
      <c r="J522" s="7">
        <f>IFERROR(VLOOKUP(D522,Event_Master!B:E,4,FALSE),1)</f>
        <v>1</v>
      </c>
      <c r="K522" s="7">
        <f t="shared" si="50"/>
        <v>0</v>
      </c>
      <c r="L522" s="19">
        <f t="shared" si="51"/>
        <v>32.5212</v>
      </c>
    </row>
    <row r="523" spans="1:12">
      <c r="A523" s="20">
        <v>46028</v>
      </c>
      <c r="B523" s="22">
        <v>722356</v>
      </c>
      <c r="C523" s="7" t="s">
        <v>53</v>
      </c>
      <c r="D523" s="7" t="s">
        <v>206</v>
      </c>
      <c r="E523" s="7" t="s">
        <v>231</v>
      </c>
      <c r="F523" s="7" t="s">
        <v>231</v>
      </c>
      <c r="G523" s="7"/>
      <c r="H523" s="19">
        <v>17.519200000000001</v>
      </c>
      <c r="I523" s="7">
        <f t="shared" si="49"/>
        <v>0</v>
      </c>
      <c r="J523" s="7">
        <f>IFERROR(VLOOKUP(D523,Event_Master!B:E,4,FALSE),1)</f>
        <v>1</v>
      </c>
      <c r="K523" s="7">
        <f t="shared" si="50"/>
        <v>0</v>
      </c>
      <c r="L523" s="19">
        <f t="shared" si="51"/>
        <v>17.519200000000001</v>
      </c>
    </row>
    <row r="524" spans="1:12">
      <c r="A524" s="20">
        <v>46028</v>
      </c>
      <c r="B524" s="22">
        <v>725073</v>
      </c>
      <c r="C524" s="7" t="s">
        <v>47</v>
      </c>
      <c r="D524" s="7" t="s">
        <v>206</v>
      </c>
      <c r="E524" s="7" t="s">
        <v>231</v>
      </c>
      <c r="F524" s="7" t="s">
        <v>231</v>
      </c>
      <c r="G524" s="7"/>
      <c r="H524" s="19">
        <v>22.659400000000002</v>
      </c>
      <c r="I524" s="7">
        <f t="shared" si="49"/>
        <v>0</v>
      </c>
      <c r="J524" s="7">
        <f>IFERROR(VLOOKUP(D524,Event_Master!B:E,4,FALSE),1)</f>
        <v>1</v>
      </c>
      <c r="K524" s="7">
        <f t="shared" si="50"/>
        <v>0</v>
      </c>
      <c r="L524" s="19">
        <f t="shared" si="51"/>
        <v>22.659400000000002</v>
      </c>
    </row>
    <row r="525" spans="1:12">
      <c r="A525" s="20">
        <v>46028</v>
      </c>
      <c r="B525" s="22">
        <v>725373</v>
      </c>
      <c r="C525" s="7" t="s">
        <v>157</v>
      </c>
      <c r="D525" s="7" t="s">
        <v>206</v>
      </c>
      <c r="E525" s="7" t="s">
        <v>231</v>
      </c>
      <c r="F525" s="7" t="s">
        <v>231</v>
      </c>
      <c r="G525" s="7"/>
      <c r="H525" s="19">
        <v>29.688500000000001</v>
      </c>
      <c r="I525" s="7">
        <f t="shared" si="49"/>
        <v>0</v>
      </c>
      <c r="J525" s="7">
        <f>IFERROR(VLOOKUP(D525,Event_Master!B:E,4,FALSE),1)</f>
        <v>1</v>
      </c>
      <c r="K525" s="7">
        <f t="shared" si="50"/>
        <v>0</v>
      </c>
      <c r="L525" s="19">
        <f t="shared" si="51"/>
        <v>29.688500000000001</v>
      </c>
    </row>
    <row r="526" spans="1:12">
      <c r="A526" s="20">
        <v>46028</v>
      </c>
      <c r="B526" s="22">
        <v>727595</v>
      </c>
      <c r="C526" s="6" t="s">
        <v>186</v>
      </c>
      <c r="D526" s="7" t="s">
        <v>206</v>
      </c>
      <c r="E526" s="7" t="s">
        <v>231</v>
      </c>
      <c r="F526" s="7" t="s">
        <v>231</v>
      </c>
      <c r="G526" s="7"/>
      <c r="H526" s="19">
        <v>27.3369</v>
      </c>
      <c r="I526" s="7">
        <f t="shared" si="49"/>
        <v>0</v>
      </c>
      <c r="J526" s="7">
        <f>IFERROR(VLOOKUP(D526,Event_Master!B:E,4,FALSE),1)</f>
        <v>1</v>
      </c>
      <c r="K526" s="7">
        <f t="shared" si="50"/>
        <v>0</v>
      </c>
      <c r="L526" s="19">
        <f t="shared" si="51"/>
        <v>27.3369</v>
      </c>
    </row>
    <row r="527" spans="1:12">
      <c r="A527" s="20">
        <v>46028</v>
      </c>
      <c r="B527" s="17">
        <v>712428</v>
      </c>
      <c r="C527" s="7" t="s">
        <v>50</v>
      </c>
      <c r="D527" s="7" t="s">
        <v>206</v>
      </c>
      <c r="E527" s="7" t="s">
        <v>231</v>
      </c>
      <c r="F527" s="7" t="s">
        <v>231</v>
      </c>
      <c r="G527" s="7"/>
      <c r="H527" s="19">
        <v>35.299999999999997</v>
      </c>
      <c r="I527" s="7">
        <f t="shared" ref="I527:I575" si="52">IF(G527="Winner",100,IF(G527="Runner-up",70,IF(G527="2nd Runner-up",50,IF(G527="Semi",30,IF(G527="Quarter",20,0)))))</f>
        <v>0</v>
      </c>
      <c r="J527" s="7">
        <f>IFERROR(VLOOKUP(D527,Event_Master!B:E,4,FALSE),1)</f>
        <v>1</v>
      </c>
      <c r="K527" s="7">
        <f t="shared" ref="K527:K575" si="53">(I527*J527)</f>
        <v>0</v>
      </c>
      <c r="L527" s="19">
        <f t="shared" ref="L527:L575" si="54">K527+H527</f>
        <v>35.299999999999997</v>
      </c>
    </row>
    <row r="528" spans="1:12">
      <c r="A528" s="20">
        <v>46028</v>
      </c>
      <c r="B528" s="6">
        <v>408627</v>
      </c>
      <c r="C528" s="7" t="s">
        <v>92</v>
      </c>
      <c r="D528" s="7" t="s">
        <v>206</v>
      </c>
      <c r="E528" s="7" t="s">
        <v>231</v>
      </c>
      <c r="F528" s="7" t="s">
        <v>231</v>
      </c>
      <c r="G528" s="7"/>
      <c r="H528" s="19">
        <v>22.6965</v>
      </c>
      <c r="I528" s="7">
        <f t="shared" si="52"/>
        <v>0</v>
      </c>
      <c r="J528" s="7">
        <f>IFERROR(VLOOKUP(D528,Event_Master!B:E,4,FALSE),1)</f>
        <v>1</v>
      </c>
      <c r="K528" s="7">
        <f t="shared" si="53"/>
        <v>0</v>
      </c>
      <c r="L528" s="19">
        <f t="shared" si="54"/>
        <v>22.6965</v>
      </c>
    </row>
    <row r="529" spans="1:12">
      <c r="A529" s="20">
        <v>46028</v>
      </c>
      <c r="B529" s="6">
        <v>416828</v>
      </c>
      <c r="C529" s="7" t="s">
        <v>61</v>
      </c>
      <c r="D529" s="7" t="s">
        <v>206</v>
      </c>
      <c r="E529" s="7" t="s">
        <v>231</v>
      </c>
      <c r="F529" s="7" t="s">
        <v>231</v>
      </c>
      <c r="G529" s="7"/>
      <c r="H529" s="19">
        <v>36.606099999999998</v>
      </c>
      <c r="I529" s="7">
        <f t="shared" si="52"/>
        <v>0</v>
      </c>
      <c r="J529" s="7">
        <f>IFERROR(VLOOKUP(D529,Event_Master!B:E,4,FALSE),1)</f>
        <v>1</v>
      </c>
      <c r="K529" s="7">
        <f t="shared" si="53"/>
        <v>0</v>
      </c>
      <c r="L529" s="19">
        <f t="shared" si="54"/>
        <v>36.606099999999998</v>
      </c>
    </row>
    <row r="530" spans="1:12">
      <c r="A530" s="20">
        <v>46028</v>
      </c>
      <c r="B530" s="6">
        <v>424332</v>
      </c>
      <c r="C530" s="7" t="s">
        <v>141</v>
      </c>
      <c r="D530" s="7" t="s">
        <v>206</v>
      </c>
      <c r="E530" s="7" t="s">
        <v>231</v>
      </c>
      <c r="F530" s="7" t="s">
        <v>231</v>
      </c>
      <c r="G530" s="7"/>
      <c r="H530" s="19">
        <v>26.747900000000001</v>
      </c>
      <c r="I530" s="7">
        <f t="shared" si="52"/>
        <v>0</v>
      </c>
      <c r="J530" s="7">
        <f>IFERROR(VLOOKUP(D530,Event_Master!B:E,4,FALSE),1)</f>
        <v>1</v>
      </c>
      <c r="K530" s="7">
        <f t="shared" si="53"/>
        <v>0</v>
      </c>
      <c r="L530" s="19">
        <f t="shared" si="54"/>
        <v>26.747900000000001</v>
      </c>
    </row>
    <row r="531" spans="1:12">
      <c r="A531" s="20">
        <v>46028</v>
      </c>
      <c r="B531" s="6">
        <v>426232</v>
      </c>
      <c r="C531" s="7" t="s">
        <v>118</v>
      </c>
      <c r="D531" s="7" t="s">
        <v>206</v>
      </c>
      <c r="E531" s="7" t="s">
        <v>231</v>
      </c>
      <c r="F531" s="7" t="s">
        <v>231</v>
      </c>
      <c r="G531" s="7"/>
      <c r="H531" s="19">
        <v>21.732299999999999</v>
      </c>
      <c r="I531" s="7">
        <f t="shared" si="52"/>
        <v>0</v>
      </c>
      <c r="J531" s="7">
        <f>IFERROR(VLOOKUP(D531,Event_Master!B:E,4,FALSE),1)</f>
        <v>1</v>
      </c>
      <c r="K531" s="7">
        <f t="shared" si="53"/>
        <v>0</v>
      </c>
      <c r="L531" s="19">
        <f t="shared" si="54"/>
        <v>21.732299999999999</v>
      </c>
    </row>
    <row r="532" spans="1:12">
      <c r="A532" s="20">
        <v>46028</v>
      </c>
      <c r="B532" s="6">
        <v>427154</v>
      </c>
      <c r="C532" s="7" t="s">
        <v>37</v>
      </c>
      <c r="D532" s="7" t="s">
        <v>206</v>
      </c>
      <c r="E532" s="7" t="s">
        <v>231</v>
      </c>
      <c r="F532" s="7" t="s">
        <v>231</v>
      </c>
      <c r="G532" s="7"/>
      <c r="H532" s="19">
        <v>12.293200000000001</v>
      </c>
      <c r="I532" s="7">
        <f t="shared" si="52"/>
        <v>0</v>
      </c>
      <c r="J532" s="7">
        <f>IFERROR(VLOOKUP(D532,Event_Master!B:E,4,FALSE),1)</f>
        <v>1</v>
      </c>
      <c r="K532" s="7">
        <f t="shared" si="53"/>
        <v>0</v>
      </c>
      <c r="L532" s="19">
        <f t="shared" si="54"/>
        <v>12.293200000000001</v>
      </c>
    </row>
    <row r="533" spans="1:12">
      <c r="A533" s="20">
        <v>46028</v>
      </c>
      <c r="B533" s="6">
        <v>427568</v>
      </c>
      <c r="C533" s="7" t="s">
        <v>122</v>
      </c>
      <c r="D533" s="7" t="s">
        <v>206</v>
      </c>
      <c r="E533" s="7" t="s">
        <v>231</v>
      </c>
      <c r="F533" s="7" t="s">
        <v>231</v>
      </c>
      <c r="G533" s="7"/>
      <c r="H533" s="19">
        <v>13.285</v>
      </c>
      <c r="I533" s="7">
        <f t="shared" si="52"/>
        <v>0</v>
      </c>
      <c r="J533" s="7">
        <f>IFERROR(VLOOKUP(D533,Event_Master!B:E,4,FALSE),1)</f>
        <v>1</v>
      </c>
      <c r="K533" s="7">
        <f t="shared" si="53"/>
        <v>0</v>
      </c>
      <c r="L533" s="19">
        <f t="shared" si="54"/>
        <v>13.285</v>
      </c>
    </row>
    <row r="534" spans="1:12">
      <c r="A534" s="20">
        <v>46028</v>
      </c>
      <c r="B534" s="6">
        <v>430977</v>
      </c>
      <c r="C534" s="7" t="s">
        <v>85</v>
      </c>
      <c r="D534" s="7" t="s">
        <v>206</v>
      </c>
      <c r="E534" s="7" t="s">
        <v>231</v>
      </c>
      <c r="F534" s="7" t="s">
        <v>231</v>
      </c>
      <c r="G534" s="7"/>
      <c r="H534" s="19">
        <v>22.4694</v>
      </c>
      <c r="I534" s="7">
        <f t="shared" si="52"/>
        <v>0</v>
      </c>
      <c r="J534" s="7">
        <f>IFERROR(VLOOKUP(D534,Event_Master!B:E,4,FALSE),1)</f>
        <v>1</v>
      </c>
      <c r="K534" s="7">
        <f t="shared" si="53"/>
        <v>0</v>
      </c>
      <c r="L534" s="19">
        <f t="shared" si="54"/>
        <v>22.4694</v>
      </c>
    </row>
    <row r="535" spans="1:12">
      <c r="A535" s="20">
        <v>46028</v>
      </c>
      <c r="B535" s="6">
        <v>432865</v>
      </c>
      <c r="C535" s="7" t="s">
        <v>38</v>
      </c>
      <c r="D535" s="7" t="s">
        <v>206</v>
      </c>
      <c r="E535" s="7" t="s">
        <v>231</v>
      </c>
      <c r="F535" s="7" t="s">
        <v>231</v>
      </c>
      <c r="G535" s="7"/>
      <c r="H535" s="19">
        <v>13.1198</v>
      </c>
      <c r="I535" s="7">
        <f t="shared" si="52"/>
        <v>0</v>
      </c>
      <c r="J535" s="7">
        <f>IFERROR(VLOOKUP(D535,Event_Master!B:E,4,FALSE),1)</f>
        <v>1</v>
      </c>
      <c r="K535" s="7">
        <f t="shared" si="53"/>
        <v>0</v>
      </c>
      <c r="L535" s="19">
        <f t="shared" si="54"/>
        <v>13.1198</v>
      </c>
    </row>
    <row r="536" spans="1:12">
      <c r="A536" s="20">
        <v>46028</v>
      </c>
      <c r="B536" s="6">
        <v>433939</v>
      </c>
      <c r="C536" s="7" t="s">
        <v>138</v>
      </c>
      <c r="D536" s="7" t="s">
        <v>206</v>
      </c>
      <c r="E536" s="7" t="s">
        <v>231</v>
      </c>
      <c r="F536" s="7" t="s">
        <v>231</v>
      </c>
      <c r="G536" s="7"/>
      <c r="H536" s="19">
        <v>36.215200000000003</v>
      </c>
      <c r="I536" s="7">
        <f t="shared" si="52"/>
        <v>0</v>
      </c>
      <c r="J536" s="7">
        <f>IFERROR(VLOOKUP(D536,Event_Master!B:E,4,FALSE),1)</f>
        <v>1</v>
      </c>
      <c r="K536" s="7">
        <f t="shared" si="53"/>
        <v>0</v>
      </c>
      <c r="L536" s="19">
        <f t="shared" si="54"/>
        <v>36.215200000000003</v>
      </c>
    </row>
    <row r="537" spans="1:12">
      <c r="A537" s="20">
        <v>46028</v>
      </c>
      <c r="B537" s="6">
        <v>436468</v>
      </c>
      <c r="C537" s="7" t="s">
        <v>99</v>
      </c>
      <c r="D537" s="7" t="s">
        <v>206</v>
      </c>
      <c r="E537" s="7" t="s">
        <v>231</v>
      </c>
      <c r="F537" s="7" t="s">
        <v>231</v>
      </c>
      <c r="G537" s="7"/>
      <c r="H537" s="19">
        <v>17.152999999999999</v>
      </c>
      <c r="I537" s="7">
        <f t="shared" si="52"/>
        <v>0</v>
      </c>
      <c r="J537" s="7">
        <f>IFERROR(VLOOKUP(D537,Event_Master!B:E,4,FALSE),1)</f>
        <v>1</v>
      </c>
      <c r="K537" s="7">
        <f t="shared" si="53"/>
        <v>0</v>
      </c>
      <c r="L537" s="19">
        <f t="shared" si="54"/>
        <v>17.152999999999999</v>
      </c>
    </row>
    <row r="538" spans="1:12">
      <c r="A538" s="20">
        <v>46028</v>
      </c>
      <c r="B538" s="6">
        <v>438679</v>
      </c>
      <c r="C538" s="7" t="s">
        <v>146</v>
      </c>
      <c r="D538" s="7" t="s">
        <v>206</v>
      </c>
      <c r="E538" s="7" t="s">
        <v>231</v>
      </c>
      <c r="F538" s="7" t="s">
        <v>231</v>
      </c>
      <c r="G538" s="7"/>
      <c r="H538" s="19">
        <v>8.8172999999999995</v>
      </c>
      <c r="I538" s="7">
        <f t="shared" si="52"/>
        <v>0</v>
      </c>
      <c r="J538" s="7">
        <f>IFERROR(VLOOKUP(D538,Event_Master!B:E,4,FALSE),1)</f>
        <v>1</v>
      </c>
      <c r="K538" s="7">
        <f t="shared" si="53"/>
        <v>0</v>
      </c>
      <c r="L538" s="19">
        <f t="shared" si="54"/>
        <v>8.8172999999999995</v>
      </c>
    </row>
    <row r="539" spans="1:12">
      <c r="A539" s="20">
        <v>46028</v>
      </c>
      <c r="B539" s="6">
        <v>445891</v>
      </c>
      <c r="C539" s="7" t="s">
        <v>143</v>
      </c>
      <c r="D539" s="7" t="s">
        <v>206</v>
      </c>
      <c r="E539" s="7" t="s">
        <v>231</v>
      </c>
      <c r="F539" s="7" t="s">
        <v>231</v>
      </c>
      <c r="G539" s="7"/>
      <c r="H539" s="19">
        <v>4.7435999999999998</v>
      </c>
      <c r="I539" s="7">
        <f t="shared" si="52"/>
        <v>0</v>
      </c>
      <c r="J539" s="7">
        <f>IFERROR(VLOOKUP(D539,Event_Master!B:E,4,FALSE),1)</f>
        <v>1</v>
      </c>
      <c r="K539" s="7">
        <f t="shared" si="53"/>
        <v>0</v>
      </c>
      <c r="L539" s="19">
        <f t="shared" si="54"/>
        <v>4.7435999999999998</v>
      </c>
    </row>
    <row r="540" spans="1:12">
      <c r="A540" s="20">
        <v>46028</v>
      </c>
      <c r="B540" s="6">
        <v>448882</v>
      </c>
      <c r="C540" s="7" t="s">
        <v>19</v>
      </c>
      <c r="D540" s="7" t="s">
        <v>206</v>
      </c>
      <c r="E540" s="7" t="s">
        <v>231</v>
      </c>
      <c r="F540" s="7" t="s">
        <v>231</v>
      </c>
      <c r="G540" s="7"/>
      <c r="H540" s="19">
        <v>0.95430000000000004</v>
      </c>
      <c r="I540" s="7">
        <f t="shared" si="52"/>
        <v>0</v>
      </c>
      <c r="J540" s="7">
        <f>IFERROR(VLOOKUP(D540,Event_Master!B:E,4,FALSE),1)</f>
        <v>1</v>
      </c>
      <c r="K540" s="7">
        <f t="shared" si="53"/>
        <v>0</v>
      </c>
      <c r="L540" s="19">
        <f t="shared" si="54"/>
        <v>0.95430000000000004</v>
      </c>
    </row>
    <row r="541" spans="1:12">
      <c r="A541" s="20">
        <v>46028</v>
      </c>
      <c r="B541" s="6">
        <v>449551</v>
      </c>
      <c r="C541" s="7" t="s">
        <v>32</v>
      </c>
      <c r="D541" s="7" t="s">
        <v>206</v>
      </c>
      <c r="E541" s="7" t="s">
        <v>231</v>
      </c>
      <c r="F541" s="7" t="s">
        <v>231</v>
      </c>
      <c r="G541" s="7"/>
      <c r="H541" s="19">
        <v>17.954599999999999</v>
      </c>
      <c r="I541" s="7">
        <f t="shared" si="52"/>
        <v>0</v>
      </c>
      <c r="J541" s="7">
        <f>IFERROR(VLOOKUP(D541,Event_Master!B:E,4,FALSE),1)</f>
        <v>1</v>
      </c>
      <c r="K541" s="7">
        <f t="shared" si="53"/>
        <v>0</v>
      </c>
      <c r="L541" s="19">
        <f t="shared" si="54"/>
        <v>17.954599999999999</v>
      </c>
    </row>
    <row r="542" spans="1:12">
      <c r="A542" s="20">
        <v>46028</v>
      </c>
      <c r="B542" s="6">
        <v>451509</v>
      </c>
      <c r="C542" s="7" t="s">
        <v>151</v>
      </c>
      <c r="D542" s="7" t="s">
        <v>206</v>
      </c>
      <c r="E542" s="7" t="s">
        <v>231</v>
      </c>
      <c r="F542" s="7" t="s">
        <v>231</v>
      </c>
      <c r="G542" s="7"/>
      <c r="H542" s="19">
        <v>6.3263999999999996</v>
      </c>
      <c r="I542" s="7">
        <f t="shared" si="52"/>
        <v>0</v>
      </c>
      <c r="J542" s="7">
        <f>IFERROR(VLOOKUP(D542,Event_Master!B:E,4,FALSE),1)</f>
        <v>1</v>
      </c>
      <c r="K542" s="7">
        <f t="shared" si="53"/>
        <v>0</v>
      </c>
      <c r="L542" s="19">
        <f t="shared" si="54"/>
        <v>6.3263999999999996</v>
      </c>
    </row>
    <row r="543" spans="1:12">
      <c r="A543" s="20">
        <v>46028</v>
      </c>
      <c r="B543" s="6">
        <v>452059</v>
      </c>
      <c r="C543" s="7" t="s">
        <v>63</v>
      </c>
      <c r="D543" s="7" t="s">
        <v>206</v>
      </c>
      <c r="E543" s="7" t="s">
        <v>231</v>
      </c>
      <c r="F543" s="7" t="s">
        <v>231</v>
      </c>
      <c r="G543" s="7"/>
      <c r="H543" s="19">
        <v>23.293800000000001</v>
      </c>
      <c r="I543" s="7">
        <f t="shared" si="52"/>
        <v>0</v>
      </c>
      <c r="J543" s="7">
        <f>IFERROR(VLOOKUP(D543,Event_Master!B:E,4,FALSE),1)</f>
        <v>1</v>
      </c>
      <c r="K543" s="7">
        <f t="shared" si="53"/>
        <v>0</v>
      </c>
      <c r="L543" s="19">
        <f t="shared" si="54"/>
        <v>23.293800000000001</v>
      </c>
    </row>
    <row r="544" spans="1:12">
      <c r="A544" s="20">
        <v>46028</v>
      </c>
      <c r="B544" s="6">
        <v>452074</v>
      </c>
      <c r="C544" s="7" t="s">
        <v>179</v>
      </c>
      <c r="D544" s="7" t="s">
        <v>206</v>
      </c>
      <c r="E544" s="7" t="s">
        <v>231</v>
      </c>
      <c r="F544" s="7" t="s">
        <v>231</v>
      </c>
      <c r="G544" s="7"/>
      <c r="H544" s="19">
        <v>16.590699999999998</v>
      </c>
      <c r="I544" s="7">
        <f t="shared" si="52"/>
        <v>0</v>
      </c>
      <c r="J544" s="7">
        <f>IFERROR(VLOOKUP(D544,Event_Master!B:E,4,FALSE),1)</f>
        <v>1</v>
      </c>
      <c r="K544" s="7">
        <f t="shared" si="53"/>
        <v>0</v>
      </c>
      <c r="L544" s="19">
        <f t="shared" si="54"/>
        <v>16.590699999999998</v>
      </c>
    </row>
    <row r="545" spans="1:12">
      <c r="A545" s="20">
        <v>46028</v>
      </c>
      <c r="B545" s="6">
        <v>452075</v>
      </c>
      <c r="C545" s="7" t="s">
        <v>103</v>
      </c>
      <c r="D545" s="7" t="s">
        <v>206</v>
      </c>
      <c r="E545" s="7" t="s">
        <v>231</v>
      </c>
      <c r="F545" s="7" t="s">
        <v>231</v>
      </c>
      <c r="G545" s="7"/>
      <c r="H545" s="19">
        <v>14.6928</v>
      </c>
      <c r="I545" s="7">
        <f t="shared" si="52"/>
        <v>0</v>
      </c>
      <c r="J545" s="7">
        <f>IFERROR(VLOOKUP(D545,Event_Master!B:E,4,FALSE),1)</f>
        <v>1</v>
      </c>
      <c r="K545" s="7">
        <f t="shared" si="53"/>
        <v>0</v>
      </c>
      <c r="L545" s="19">
        <f t="shared" si="54"/>
        <v>14.6928</v>
      </c>
    </row>
    <row r="546" spans="1:12">
      <c r="A546" s="20">
        <v>46028</v>
      </c>
      <c r="B546" s="6">
        <v>452118</v>
      </c>
      <c r="C546" s="7" t="s">
        <v>108</v>
      </c>
      <c r="D546" s="7" t="s">
        <v>206</v>
      </c>
      <c r="E546" s="7" t="s">
        <v>231</v>
      </c>
      <c r="F546" s="7" t="s">
        <v>231</v>
      </c>
      <c r="G546" s="7"/>
      <c r="H546" s="19">
        <v>26.4849</v>
      </c>
      <c r="I546" s="7">
        <f t="shared" si="52"/>
        <v>0</v>
      </c>
      <c r="J546" s="7">
        <f>IFERROR(VLOOKUP(D546,Event_Master!B:E,4,FALSE),1)</f>
        <v>1</v>
      </c>
      <c r="K546" s="7">
        <f t="shared" si="53"/>
        <v>0</v>
      </c>
      <c r="L546" s="19">
        <f t="shared" si="54"/>
        <v>26.4849</v>
      </c>
    </row>
    <row r="547" spans="1:12">
      <c r="A547" s="20">
        <v>46028</v>
      </c>
      <c r="B547" s="6">
        <v>452991</v>
      </c>
      <c r="C547" s="7" t="s">
        <v>18</v>
      </c>
      <c r="D547" s="7" t="s">
        <v>206</v>
      </c>
      <c r="E547" s="7" t="s">
        <v>231</v>
      </c>
      <c r="F547" s="7" t="s">
        <v>231</v>
      </c>
      <c r="G547" s="7"/>
      <c r="H547" s="19">
        <v>21.0246</v>
      </c>
      <c r="I547" s="7">
        <f t="shared" si="52"/>
        <v>0</v>
      </c>
      <c r="J547" s="7">
        <f>IFERROR(VLOOKUP(D547,Event_Master!B:E,4,FALSE),1)</f>
        <v>1</v>
      </c>
      <c r="K547" s="7">
        <f t="shared" si="53"/>
        <v>0</v>
      </c>
      <c r="L547" s="19">
        <f t="shared" si="54"/>
        <v>21.0246</v>
      </c>
    </row>
    <row r="548" spans="1:12">
      <c r="A548" s="20">
        <v>46028</v>
      </c>
      <c r="B548" s="6">
        <v>453948</v>
      </c>
      <c r="C548" s="7" t="s">
        <v>126</v>
      </c>
      <c r="D548" s="7" t="s">
        <v>206</v>
      </c>
      <c r="E548" s="7" t="s">
        <v>231</v>
      </c>
      <c r="F548" s="7" t="s">
        <v>231</v>
      </c>
      <c r="G548" s="7"/>
      <c r="H548" s="19">
        <v>17.596399999999999</v>
      </c>
      <c r="I548" s="7">
        <f t="shared" si="52"/>
        <v>0</v>
      </c>
      <c r="J548" s="7">
        <f>IFERROR(VLOOKUP(D548,Event_Master!B:E,4,FALSE),1)</f>
        <v>1</v>
      </c>
      <c r="K548" s="7">
        <f t="shared" si="53"/>
        <v>0</v>
      </c>
      <c r="L548" s="19">
        <f t="shared" si="54"/>
        <v>17.596399999999999</v>
      </c>
    </row>
    <row r="549" spans="1:12">
      <c r="A549" s="20">
        <v>46028</v>
      </c>
      <c r="B549" s="6">
        <v>456091</v>
      </c>
      <c r="C549" s="7" t="s">
        <v>7</v>
      </c>
      <c r="D549" s="7" t="s">
        <v>206</v>
      </c>
      <c r="E549" s="7" t="s">
        <v>231</v>
      </c>
      <c r="F549" s="7" t="s">
        <v>231</v>
      </c>
      <c r="G549" s="7"/>
      <c r="H549" s="19">
        <v>18.477399999999999</v>
      </c>
      <c r="I549" s="7">
        <f t="shared" si="52"/>
        <v>0</v>
      </c>
      <c r="J549" s="7">
        <f>IFERROR(VLOOKUP(D549,Event_Master!B:E,4,FALSE),1)</f>
        <v>1</v>
      </c>
      <c r="K549" s="7">
        <f t="shared" si="53"/>
        <v>0</v>
      </c>
      <c r="L549" s="19">
        <f t="shared" si="54"/>
        <v>18.477399999999999</v>
      </c>
    </row>
    <row r="550" spans="1:12">
      <c r="A550" s="20">
        <v>46028</v>
      </c>
      <c r="B550" s="6">
        <v>456706</v>
      </c>
      <c r="C550" s="7" t="s">
        <v>130</v>
      </c>
      <c r="D550" s="7" t="s">
        <v>206</v>
      </c>
      <c r="E550" s="7" t="s">
        <v>231</v>
      </c>
      <c r="F550" s="7" t="s">
        <v>231</v>
      </c>
      <c r="G550" s="7"/>
      <c r="H550" s="19">
        <v>5.7462</v>
      </c>
      <c r="I550" s="7">
        <f t="shared" si="52"/>
        <v>0</v>
      </c>
      <c r="J550" s="7">
        <f>IFERROR(VLOOKUP(D550,Event_Master!B:E,4,FALSE),1)</f>
        <v>1</v>
      </c>
      <c r="K550" s="7">
        <f t="shared" si="53"/>
        <v>0</v>
      </c>
      <c r="L550" s="19">
        <f t="shared" si="54"/>
        <v>5.7462</v>
      </c>
    </row>
    <row r="551" spans="1:12">
      <c r="A551" s="20">
        <v>46028</v>
      </c>
      <c r="B551" s="6">
        <v>460513</v>
      </c>
      <c r="C551" s="7" t="s">
        <v>91</v>
      </c>
      <c r="D551" s="7" t="s">
        <v>206</v>
      </c>
      <c r="E551" s="7" t="s">
        <v>231</v>
      </c>
      <c r="F551" s="7" t="s">
        <v>231</v>
      </c>
      <c r="G551" s="7"/>
      <c r="H551" s="19">
        <v>24.8888</v>
      </c>
      <c r="I551" s="7">
        <f t="shared" si="52"/>
        <v>0</v>
      </c>
      <c r="J551" s="7">
        <f>IFERROR(VLOOKUP(D551,Event_Master!B:E,4,FALSE),1)</f>
        <v>1</v>
      </c>
      <c r="K551" s="7">
        <f t="shared" si="53"/>
        <v>0</v>
      </c>
      <c r="L551" s="19">
        <f t="shared" si="54"/>
        <v>24.8888</v>
      </c>
    </row>
    <row r="552" spans="1:12">
      <c r="A552" s="20">
        <v>46028</v>
      </c>
      <c r="B552" s="6">
        <v>460692</v>
      </c>
      <c r="C552" s="7" t="s">
        <v>173</v>
      </c>
      <c r="D552" s="7" t="s">
        <v>206</v>
      </c>
      <c r="E552" s="7" t="s">
        <v>231</v>
      </c>
      <c r="F552" s="7" t="s">
        <v>231</v>
      </c>
      <c r="G552" s="7"/>
      <c r="H552" s="19">
        <v>25.886099999999999</v>
      </c>
      <c r="I552" s="7">
        <f t="shared" si="52"/>
        <v>0</v>
      </c>
      <c r="J552" s="7">
        <f>IFERROR(VLOOKUP(D552,Event_Master!B:E,4,FALSE),1)</f>
        <v>1</v>
      </c>
      <c r="K552" s="7">
        <f t="shared" si="53"/>
        <v>0</v>
      </c>
      <c r="L552" s="19">
        <f t="shared" si="54"/>
        <v>25.886099999999999</v>
      </c>
    </row>
    <row r="553" spans="1:12">
      <c r="A553" s="20">
        <v>46028</v>
      </c>
      <c r="B553" s="6">
        <v>460812</v>
      </c>
      <c r="C553" s="7" t="s">
        <v>166</v>
      </c>
      <c r="D553" s="7" t="s">
        <v>206</v>
      </c>
      <c r="E553" s="7" t="s">
        <v>231</v>
      </c>
      <c r="F553" s="7" t="s">
        <v>231</v>
      </c>
      <c r="G553" s="7"/>
      <c r="H553" s="19">
        <v>16.593399999999999</v>
      </c>
      <c r="I553" s="7">
        <f t="shared" si="52"/>
        <v>0</v>
      </c>
      <c r="J553" s="7">
        <f>IFERROR(VLOOKUP(D553,Event_Master!B:E,4,FALSE),1)</f>
        <v>1</v>
      </c>
      <c r="K553" s="7">
        <f t="shared" si="53"/>
        <v>0</v>
      </c>
      <c r="L553" s="19">
        <f t="shared" si="54"/>
        <v>16.593399999999999</v>
      </c>
    </row>
    <row r="554" spans="1:12">
      <c r="A554" s="20">
        <v>46028</v>
      </c>
      <c r="B554" s="6">
        <v>461161</v>
      </c>
      <c r="C554" s="7" t="s">
        <v>159</v>
      </c>
      <c r="D554" s="7" t="s">
        <v>206</v>
      </c>
      <c r="E554" s="7" t="s">
        <v>231</v>
      </c>
      <c r="F554" s="7" t="s">
        <v>231</v>
      </c>
      <c r="G554" s="7"/>
      <c r="H554" s="19">
        <v>12.193300000000001</v>
      </c>
      <c r="I554" s="7">
        <f t="shared" si="52"/>
        <v>0</v>
      </c>
      <c r="J554" s="7">
        <f>IFERROR(VLOOKUP(D554,Event_Master!B:E,4,FALSE),1)</f>
        <v>1</v>
      </c>
      <c r="K554" s="7">
        <f t="shared" si="53"/>
        <v>0</v>
      </c>
      <c r="L554" s="19">
        <f t="shared" si="54"/>
        <v>12.193300000000001</v>
      </c>
    </row>
    <row r="555" spans="1:12">
      <c r="A555" s="20">
        <v>46028</v>
      </c>
      <c r="B555" s="6">
        <v>463660</v>
      </c>
      <c r="C555" s="7" t="s">
        <v>109</v>
      </c>
      <c r="D555" s="7" t="s">
        <v>206</v>
      </c>
      <c r="E555" s="7" t="s">
        <v>231</v>
      </c>
      <c r="F555" s="7" t="s">
        <v>231</v>
      </c>
      <c r="G555" s="7"/>
      <c r="H555" s="19">
        <v>28.441700000000001</v>
      </c>
      <c r="I555" s="7">
        <f t="shared" si="52"/>
        <v>0</v>
      </c>
      <c r="J555" s="7">
        <f>IFERROR(VLOOKUP(D555,Event_Master!B:E,4,FALSE),1)</f>
        <v>1</v>
      </c>
      <c r="K555" s="7">
        <f t="shared" si="53"/>
        <v>0</v>
      </c>
      <c r="L555" s="19">
        <f t="shared" si="54"/>
        <v>28.441700000000001</v>
      </c>
    </row>
    <row r="556" spans="1:12">
      <c r="A556" s="20">
        <v>46028</v>
      </c>
      <c r="B556" s="6">
        <v>464193</v>
      </c>
      <c r="C556" s="7" t="s">
        <v>21</v>
      </c>
      <c r="D556" s="7" t="s">
        <v>206</v>
      </c>
      <c r="E556" s="7" t="s">
        <v>231</v>
      </c>
      <c r="F556" s="7" t="s">
        <v>231</v>
      </c>
      <c r="G556" s="7"/>
      <c r="H556" s="19">
        <v>21.712</v>
      </c>
      <c r="I556" s="7">
        <f t="shared" si="52"/>
        <v>0</v>
      </c>
      <c r="J556" s="7">
        <f>IFERROR(VLOOKUP(D556,Event_Master!B:E,4,FALSE),1)</f>
        <v>1</v>
      </c>
      <c r="K556" s="7">
        <f t="shared" si="53"/>
        <v>0</v>
      </c>
      <c r="L556" s="19">
        <f t="shared" si="54"/>
        <v>21.712</v>
      </c>
    </row>
    <row r="557" spans="1:12">
      <c r="A557" s="20">
        <v>46028</v>
      </c>
      <c r="B557" s="6">
        <v>464500</v>
      </c>
      <c r="C557" s="7" t="s">
        <v>165</v>
      </c>
      <c r="D557" s="7" t="s">
        <v>206</v>
      </c>
      <c r="E557" s="7" t="s">
        <v>231</v>
      </c>
      <c r="F557" s="7" t="s">
        <v>231</v>
      </c>
      <c r="G557" s="7"/>
      <c r="H557" s="19">
        <v>24.066299999999998</v>
      </c>
      <c r="I557" s="7">
        <f t="shared" si="52"/>
        <v>0</v>
      </c>
      <c r="J557" s="7">
        <f>IFERROR(VLOOKUP(D557,Event_Master!B:E,4,FALSE),1)</f>
        <v>1</v>
      </c>
      <c r="K557" s="7">
        <f t="shared" si="53"/>
        <v>0</v>
      </c>
      <c r="L557" s="19">
        <f t="shared" si="54"/>
        <v>24.066299999999998</v>
      </c>
    </row>
    <row r="558" spans="1:12">
      <c r="A558" s="20">
        <v>46028</v>
      </c>
      <c r="B558" s="6">
        <v>464871</v>
      </c>
      <c r="C558" s="7" t="s">
        <v>27</v>
      </c>
      <c r="D558" s="7" t="s">
        <v>206</v>
      </c>
      <c r="E558" s="7" t="s">
        <v>231</v>
      </c>
      <c r="F558" s="7" t="s">
        <v>231</v>
      </c>
      <c r="G558" s="7"/>
      <c r="H558" s="19">
        <v>32.836199999999998</v>
      </c>
      <c r="I558" s="7">
        <f t="shared" si="52"/>
        <v>0</v>
      </c>
      <c r="J558" s="7">
        <f>IFERROR(VLOOKUP(D558,Event_Master!B:E,4,FALSE),1)</f>
        <v>1</v>
      </c>
      <c r="K558" s="7">
        <f t="shared" si="53"/>
        <v>0</v>
      </c>
      <c r="L558" s="19">
        <f t="shared" si="54"/>
        <v>32.836199999999998</v>
      </c>
    </row>
    <row r="559" spans="1:12">
      <c r="A559" s="20">
        <v>46028</v>
      </c>
      <c r="B559" s="6">
        <v>467068</v>
      </c>
      <c r="C559" s="7" t="s">
        <v>89</v>
      </c>
      <c r="D559" s="7" t="s">
        <v>206</v>
      </c>
      <c r="E559" s="7" t="s">
        <v>231</v>
      </c>
      <c r="F559" s="7" t="s">
        <v>231</v>
      </c>
      <c r="G559" s="7"/>
      <c r="H559" s="19">
        <v>29.658899999999999</v>
      </c>
      <c r="I559" s="7">
        <f t="shared" si="52"/>
        <v>0</v>
      </c>
      <c r="J559" s="7">
        <f>IFERROR(VLOOKUP(D559,Event_Master!B:E,4,FALSE),1)</f>
        <v>1</v>
      </c>
      <c r="K559" s="7">
        <f t="shared" si="53"/>
        <v>0</v>
      </c>
      <c r="L559" s="19">
        <f t="shared" si="54"/>
        <v>29.658899999999999</v>
      </c>
    </row>
    <row r="560" spans="1:12">
      <c r="A560" s="20">
        <v>46028</v>
      </c>
      <c r="B560" s="6">
        <v>467544</v>
      </c>
      <c r="C560" s="7" t="s">
        <v>78</v>
      </c>
      <c r="D560" s="7" t="s">
        <v>206</v>
      </c>
      <c r="E560" s="7" t="s">
        <v>231</v>
      </c>
      <c r="F560" s="7" t="s">
        <v>231</v>
      </c>
      <c r="G560" s="7"/>
      <c r="H560" s="19">
        <v>26.905799999999999</v>
      </c>
      <c r="I560" s="7">
        <f t="shared" si="52"/>
        <v>0</v>
      </c>
      <c r="J560" s="7">
        <f>IFERROR(VLOOKUP(D560,Event_Master!B:E,4,FALSE),1)</f>
        <v>1</v>
      </c>
      <c r="K560" s="7">
        <f t="shared" si="53"/>
        <v>0</v>
      </c>
      <c r="L560" s="19">
        <f t="shared" si="54"/>
        <v>26.905799999999999</v>
      </c>
    </row>
    <row r="561" spans="1:12">
      <c r="A561" s="20">
        <v>46028</v>
      </c>
      <c r="B561" s="6">
        <v>468157</v>
      </c>
      <c r="C561" s="7" t="s">
        <v>124</v>
      </c>
      <c r="D561" s="7" t="s">
        <v>206</v>
      </c>
      <c r="E561" s="7" t="s">
        <v>231</v>
      </c>
      <c r="F561" s="7" t="s">
        <v>231</v>
      </c>
      <c r="G561" s="7"/>
      <c r="H561" s="19">
        <v>24.348600000000001</v>
      </c>
      <c r="I561" s="7">
        <f t="shared" si="52"/>
        <v>0</v>
      </c>
      <c r="J561" s="7">
        <f>IFERROR(VLOOKUP(D561,Event_Master!B:E,4,FALSE),1)</f>
        <v>1</v>
      </c>
      <c r="K561" s="7">
        <f t="shared" si="53"/>
        <v>0</v>
      </c>
      <c r="L561" s="19">
        <f t="shared" si="54"/>
        <v>24.348600000000001</v>
      </c>
    </row>
    <row r="562" spans="1:12">
      <c r="A562" s="20">
        <v>46028</v>
      </c>
      <c r="B562" s="6">
        <v>468536</v>
      </c>
      <c r="C562" s="7" t="s">
        <v>44</v>
      </c>
      <c r="D562" s="7" t="s">
        <v>206</v>
      </c>
      <c r="E562" s="7" t="s">
        <v>231</v>
      </c>
      <c r="F562" s="7" t="s">
        <v>231</v>
      </c>
      <c r="G562" s="7"/>
      <c r="H562" s="19">
        <v>20.721299999999999</v>
      </c>
      <c r="I562" s="7">
        <f t="shared" si="52"/>
        <v>0</v>
      </c>
      <c r="J562" s="7">
        <f>IFERROR(VLOOKUP(D562,Event_Master!B:E,4,FALSE),1)</f>
        <v>1</v>
      </c>
      <c r="K562" s="7">
        <f t="shared" si="53"/>
        <v>0</v>
      </c>
      <c r="L562" s="19">
        <f t="shared" si="54"/>
        <v>20.721299999999999</v>
      </c>
    </row>
    <row r="563" spans="1:12">
      <c r="A563" s="20">
        <v>46028</v>
      </c>
      <c r="B563" s="6">
        <v>470301</v>
      </c>
      <c r="C563" s="7" t="s">
        <v>9</v>
      </c>
      <c r="D563" s="7" t="s">
        <v>206</v>
      </c>
      <c r="E563" s="7" t="s">
        <v>231</v>
      </c>
      <c r="F563" s="7" t="s">
        <v>231</v>
      </c>
      <c r="G563" s="7"/>
      <c r="H563" s="19">
        <v>28.1646</v>
      </c>
      <c r="I563" s="7">
        <f t="shared" si="52"/>
        <v>0</v>
      </c>
      <c r="J563" s="7">
        <f>IFERROR(VLOOKUP(D563,Event_Master!B:E,4,FALSE),1)</f>
        <v>1</v>
      </c>
      <c r="K563" s="7">
        <f t="shared" si="53"/>
        <v>0</v>
      </c>
      <c r="L563" s="19">
        <f t="shared" si="54"/>
        <v>28.1646</v>
      </c>
    </row>
    <row r="564" spans="1:12">
      <c r="A564" s="20">
        <v>46028</v>
      </c>
      <c r="B564" s="6">
        <v>472840</v>
      </c>
      <c r="C564" s="7" t="s">
        <v>181</v>
      </c>
      <c r="D564" s="7" t="s">
        <v>206</v>
      </c>
      <c r="E564" s="7" t="s">
        <v>231</v>
      </c>
      <c r="F564" s="7" t="s">
        <v>231</v>
      </c>
      <c r="G564" s="7"/>
      <c r="H564" s="19">
        <v>24.893599999999999</v>
      </c>
      <c r="I564" s="7">
        <f t="shared" si="52"/>
        <v>0</v>
      </c>
      <c r="J564" s="7">
        <f>IFERROR(VLOOKUP(D564,Event_Master!B:E,4,FALSE),1)</f>
        <v>1</v>
      </c>
      <c r="K564" s="7">
        <f t="shared" si="53"/>
        <v>0</v>
      </c>
      <c r="L564" s="19">
        <f t="shared" si="54"/>
        <v>24.893599999999999</v>
      </c>
    </row>
    <row r="565" spans="1:12">
      <c r="A565" s="20">
        <v>46028</v>
      </c>
      <c r="B565" s="6">
        <v>473266</v>
      </c>
      <c r="C565" s="7" t="s">
        <v>133</v>
      </c>
      <c r="D565" s="7" t="s">
        <v>206</v>
      </c>
      <c r="E565" s="7" t="s">
        <v>231</v>
      </c>
      <c r="F565" s="7" t="s">
        <v>231</v>
      </c>
      <c r="G565" s="7"/>
      <c r="H565" s="19">
        <v>42.821599999999997</v>
      </c>
      <c r="I565" s="7">
        <f t="shared" si="52"/>
        <v>0</v>
      </c>
      <c r="J565" s="7">
        <f>IFERROR(VLOOKUP(D565,Event_Master!B:E,4,FALSE),1)</f>
        <v>1</v>
      </c>
      <c r="K565" s="7">
        <f t="shared" si="53"/>
        <v>0</v>
      </c>
      <c r="L565" s="19">
        <f t="shared" si="54"/>
        <v>42.821599999999997</v>
      </c>
    </row>
    <row r="566" spans="1:12">
      <c r="A566" s="20">
        <v>46028</v>
      </c>
      <c r="B566" s="6">
        <v>474194</v>
      </c>
      <c r="C566" s="7" t="s">
        <v>70</v>
      </c>
      <c r="D566" s="7" t="s">
        <v>206</v>
      </c>
      <c r="E566" s="7" t="s">
        <v>231</v>
      </c>
      <c r="F566" s="7" t="s">
        <v>231</v>
      </c>
      <c r="G566" s="7"/>
      <c r="H566" s="19">
        <v>24.065300000000001</v>
      </c>
      <c r="I566" s="7">
        <f t="shared" si="52"/>
        <v>0</v>
      </c>
      <c r="J566" s="7">
        <f>IFERROR(VLOOKUP(D566,Event_Master!B:E,4,FALSE),1)</f>
        <v>1</v>
      </c>
      <c r="K566" s="7">
        <f t="shared" si="53"/>
        <v>0</v>
      </c>
      <c r="L566" s="19">
        <f t="shared" si="54"/>
        <v>24.065300000000001</v>
      </c>
    </row>
    <row r="567" spans="1:12">
      <c r="A567" s="20">
        <v>46028</v>
      </c>
      <c r="B567" s="6">
        <v>486309</v>
      </c>
      <c r="C567" s="7" t="s">
        <v>87</v>
      </c>
      <c r="D567" s="7" t="s">
        <v>206</v>
      </c>
      <c r="E567" s="7" t="s">
        <v>231</v>
      </c>
      <c r="F567" s="7" t="s">
        <v>231</v>
      </c>
      <c r="G567" s="7"/>
      <c r="H567" s="19">
        <v>21.884</v>
      </c>
      <c r="I567" s="7">
        <f t="shared" si="52"/>
        <v>0</v>
      </c>
      <c r="J567" s="7">
        <f>IFERROR(VLOOKUP(D567,Event_Master!B:E,4,FALSE),1)</f>
        <v>1</v>
      </c>
      <c r="K567" s="7">
        <f t="shared" si="53"/>
        <v>0</v>
      </c>
      <c r="L567" s="19">
        <f t="shared" si="54"/>
        <v>21.884</v>
      </c>
    </row>
    <row r="568" spans="1:12">
      <c r="A568" s="20">
        <v>46028</v>
      </c>
      <c r="B568" s="6">
        <v>488518</v>
      </c>
      <c r="C568" s="7" t="s">
        <v>176</v>
      </c>
      <c r="D568" s="7" t="s">
        <v>206</v>
      </c>
      <c r="E568" s="7" t="s">
        <v>231</v>
      </c>
      <c r="F568" s="7" t="s">
        <v>231</v>
      </c>
      <c r="G568" s="7"/>
      <c r="H568" s="19">
        <v>10.813000000000001</v>
      </c>
      <c r="I568" s="7">
        <f t="shared" si="52"/>
        <v>0</v>
      </c>
      <c r="J568" s="7">
        <f>IFERROR(VLOOKUP(D568,Event_Master!B:E,4,FALSE),1)</f>
        <v>1</v>
      </c>
      <c r="K568" s="7">
        <f t="shared" si="53"/>
        <v>0</v>
      </c>
      <c r="L568" s="19">
        <f t="shared" si="54"/>
        <v>10.813000000000001</v>
      </c>
    </row>
    <row r="569" spans="1:12">
      <c r="A569" s="20">
        <v>46028</v>
      </c>
      <c r="B569" s="6">
        <v>707131</v>
      </c>
      <c r="C569" s="7" t="s">
        <v>67</v>
      </c>
      <c r="D569" s="7" t="s">
        <v>206</v>
      </c>
      <c r="E569" s="7" t="s">
        <v>231</v>
      </c>
      <c r="F569" s="7" t="s">
        <v>231</v>
      </c>
      <c r="G569" s="7"/>
      <c r="H569" s="19">
        <v>28.023499999999999</v>
      </c>
      <c r="I569" s="7">
        <f t="shared" si="52"/>
        <v>0</v>
      </c>
      <c r="J569" s="7">
        <f>IFERROR(VLOOKUP(D569,Event_Master!B:E,4,FALSE),1)</f>
        <v>1</v>
      </c>
      <c r="K569" s="7">
        <f t="shared" si="53"/>
        <v>0</v>
      </c>
      <c r="L569" s="19">
        <f t="shared" si="54"/>
        <v>28.023499999999999</v>
      </c>
    </row>
    <row r="570" spans="1:12">
      <c r="A570" s="20">
        <v>46028</v>
      </c>
      <c r="B570" s="6">
        <v>708792</v>
      </c>
      <c r="C570" s="7" t="s">
        <v>75</v>
      </c>
      <c r="D570" s="7" t="s">
        <v>206</v>
      </c>
      <c r="E570" s="7" t="s">
        <v>231</v>
      </c>
      <c r="F570" s="7" t="s">
        <v>231</v>
      </c>
      <c r="G570" s="7"/>
      <c r="H570" s="19">
        <v>32.262099999999997</v>
      </c>
      <c r="I570" s="7">
        <f t="shared" si="52"/>
        <v>0</v>
      </c>
      <c r="J570" s="7">
        <f>IFERROR(VLOOKUP(D570,Event_Master!B:E,4,FALSE),1)</f>
        <v>1</v>
      </c>
      <c r="K570" s="7">
        <f t="shared" si="53"/>
        <v>0</v>
      </c>
      <c r="L570" s="19">
        <f t="shared" si="54"/>
        <v>32.262099999999997</v>
      </c>
    </row>
    <row r="571" spans="1:12">
      <c r="A571" s="20">
        <v>46028</v>
      </c>
      <c r="B571" s="6">
        <v>709664</v>
      </c>
      <c r="C571" s="7" t="s">
        <v>134</v>
      </c>
      <c r="D571" s="7" t="s">
        <v>206</v>
      </c>
      <c r="E571" s="7" t="s">
        <v>231</v>
      </c>
      <c r="F571" s="7" t="s">
        <v>231</v>
      </c>
      <c r="G571" s="7"/>
      <c r="H571" s="19">
        <v>23.057300000000001</v>
      </c>
      <c r="I571" s="7">
        <f t="shared" si="52"/>
        <v>0</v>
      </c>
      <c r="J571" s="7">
        <f>IFERROR(VLOOKUP(D571,Event_Master!B:E,4,FALSE),1)</f>
        <v>1</v>
      </c>
      <c r="K571" s="7">
        <f t="shared" si="53"/>
        <v>0</v>
      </c>
      <c r="L571" s="19">
        <f t="shared" si="54"/>
        <v>23.057300000000001</v>
      </c>
    </row>
    <row r="572" spans="1:12">
      <c r="A572" s="20">
        <v>46028</v>
      </c>
      <c r="B572" s="6">
        <v>710555</v>
      </c>
      <c r="C572" s="7" t="s">
        <v>97</v>
      </c>
      <c r="D572" s="7" t="s">
        <v>206</v>
      </c>
      <c r="E572" s="7" t="s">
        <v>231</v>
      </c>
      <c r="F572" s="7" t="s">
        <v>231</v>
      </c>
      <c r="G572" s="7"/>
      <c r="H572" s="19">
        <v>11.165100000000001</v>
      </c>
      <c r="I572" s="7">
        <f t="shared" si="52"/>
        <v>0</v>
      </c>
      <c r="J572" s="7">
        <f>IFERROR(VLOOKUP(D572,Event_Master!B:E,4,FALSE),1)</f>
        <v>1</v>
      </c>
      <c r="K572" s="7">
        <f t="shared" si="53"/>
        <v>0</v>
      </c>
      <c r="L572" s="19">
        <f t="shared" si="54"/>
        <v>11.165100000000001</v>
      </c>
    </row>
    <row r="573" spans="1:12">
      <c r="A573" s="20">
        <v>46028</v>
      </c>
      <c r="B573" s="6">
        <v>720995</v>
      </c>
      <c r="C573" s="7" t="s">
        <v>115</v>
      </c>
      <c r="D573" s="7" t="s">
        <v>206</v>
      </c>
      <c r="E573" s="7" t="s">
        <v>231</v>
      </c>
      <c r="F573" s="7" t="s">
        <v>231</v>
      </c>
      <c r="G573" s="7"/>
      <c r="H573" s="19">
        <v>20.528600000000001</v>
      </c>
      <c r="I573" s="7">
        <f t="shared" si="52"/>
        <v>0</v>
      </c>
      <c r="J573" s="7">
        <f>IFERROR(VLOOKUP(D573,Event_Master!B:E,4,FALSE),1)</f>
        <v>1</v>
      </c>
      <c r="K573" s="7">
        <f t="shared" si="53"/>
        <v>0</v>
      </c>
      <c r="L573" s="19">
        <f t="shared" si="54"/>
        <v>20.528600000000001</v>
      </c>
    </row>
    <row r="574" spans="1:12">
      <c r="A574" s="20">
        <v>46028</v>
      </c>
      <c r="B574" s="6">
        <v>721766</v>
      </c>
      <c r="C574" s="7" t="s">
        <v>128</v>
      </c>
      <c r="D574" s="7" t="s">
        <v>206</v>
      </c>
      <c r="E574" s="7" t="s">
        <v>231</v>
      </c>
      <c r="F574" s="7" t="s">
        <v>231</v>
      </c>
      <c r="G574" s="7"/>
      <c r="H574" s="19">
        <v>18.956099999999999</v>
      </c>
      <c r="I574" s="7">
        <f t="shared" si="52"/>
        <v>0</v>
      </c>
      <c r="J574" s="7">
        <f>IFERROR(VLOOKUP(D574,Event_Master!B:E,4,FALSE),1)</f>
        <v>1</v>
      </c>
      <c r="K574" s="7">
        <f t="shared" si="53"/>
        <v>0</v>
      </c>
      <c r="L574" s="19">
        <f t="shared" si="54"/>
        <v>18.956099999999999</v>
      </c>
    </row>
    <row r="575" spans="1:12">
      <c r="A575" s="20">
        <v>46028</v>
      </c>
      <c r="B575" s="6">
        <v>721899</v>
      </c>
      <c r="C575" s="7" t="s">
        <v>101</v>
      </c>
      <c r="D575" s="7" t="s">
        <v>206</v>
      </c>
      <c r="E575" s="7" t="s">
        <v>231</v>
      </c>
      <c r="F575" s="7" t="s">
        <v>231</v>
      </c>
      <c r="G575" s="7"/>
      <c r="H575" s="19">
        <v>7.3819999999999997</v>
      </c>
      <c r="I575" s="7">
        <f t="shared" si="52"/>
        <v>0</v>
      </c>
      <c r="J575" s="7">
        <f>IFERROR(VLOOKUP(D575,Event_Master!B:E,4,FALSE),1)</f>
        <v>1</v>
      </c>
      <c r="K575" s="7">
        <f t="shared" si="53"/>
        <v>0</v>
      </c>
      <c r="L575" s="19">
        <f t="shared" si="54"/>
        <v>7.3819999999999997</v>
      </c>
    </row>
    <row r="576" spans="1:12">
      <c r="A576" s="20">
        <v>46028</v>
      </c>
      <c r="B576" s="6">
        <v>452073</v>
      </c>
      <c r="C576" s="7" t="s">
        <v>120</v>
      </c>
      <c r="D576" s="7" t="s">
        <v>206</v>
      </c>
      <c r="E576" s="7" t="s">
        <v>231</v>
      </c>
      <c r="F576" s="7" t="s">
        <v>231</v>
      </c>
      <c r="G576" s="7"/>
      <c r="H576" s="19">
        <v>19.5623</v>
      </c>
      <c r="I576" s="7">
        <f t="shared" ref="I576:I598" si="55">IF(G576="Winner",100,IF(G576="Runner-up",70,IF(G576="2nd Runner-up",50,IF(G576="Semi",30,IF(G576="Quarter",20,0)))))</f>
        <v>0</v>
      </c>
      <c r="J576" s="7">
        <f>IFERROR(VLOOKUP(D576,Event_Master!B:E,4,FALSE),1)</f>
        <v>1</v>
      </c>
      <c r="K576" s="7">
        <f t="shared" ref="K576:K598" si="56">(I576*J576)</f>
        <v>0</v>
      </c>
      <c r="L576" s="19">
        <f t="shared" ref="L576:L598" si="57">K576+H576</f>
        <v>19.5623</v>
      </c>
    </row>
    <row r="577" spans="1:12">
      <c r="A577" s="20">
        <v>46028</v>
      </c>
      <c r="B577" s="6">
        <v>478266</v>
      </c>
      <c r="C577" s="7" t="s">
        <v>160</v>
      </c>
      <c r="D577" s="7" t="s">
        <v>206</v>
      </c>
      <c r="E577" s="7" t="s">
        <v>231</v>
      </c>
      <c r="F577" s="7" t="s">
        <v>231</v>
      </c>
      <c r="G577" s="7"/>
      <c r="H577" s="19">
        <v>16.504799999999999</v>
      </c>
      <c r="I577" s="7">
        <f t="shared" si="55"/>
        <v>0</v>
      </c>
      <c r="J577" s="7">
        <f>IFERROR(VLOOKUP(D577,Event_Master!B:E,4,FALSE),1)</f>
        <v>1</v>
      </c>
      <c r="K577" s="7">
        <f t="shared" si="56"/>
        <v>0</v>
      </c>
      <c r="L577" s="19">
        <f t="shared" si="57"/>
        <v>16.504799999999999</v>
      </c>
    </row>
    <row r="578" spans="1:12">
      <c r="A578" s="20">
        <v>46028</v>
      </c>
      <c r="B578" s="6">
        <v>420109</v>
      </c>
      <c r="C578" s="7" t="s">
        <v>129</v>
      </c>
      <c r="D578" s="7" t="s">
        <v>206</v>
      </c>
      <c r="E578" s="7" t="s">
        <v>231</v>
      </c>
      <c r="F578" s="7" t="s">
        <v>231</v>
      </c>
      <c r="G578" s="7"/>
      <c r="H578" s="19">
        <v>27.196300000000001</v>
      </c>
      <c r="I578" s="7">
        <f t="shared" si="55"/>
        <v>0</v>
      </c>
      <c r="J578" s="7">
        <f>IFERROR(VLOOKUP(D578,Event_Master!B:E,4,FALSE),1)</f>
        <v>1</v>
      </c>
      <c r="K578" s="7">
        <f t="shared" si="56"/>
        <v>0</v>
      </c>
      <c r="L578" s="19">
        <f t="shared" si="57"/>
        <v>27.196300000000001</v>
      </c>
    </row>
    <row r="579" spans="1:12">
      <c r="A579" s="20">
        <v>46028</v>
      </c>
      <c r="B579" s="6">
        <v>435548</v>
      </c>
      <c r="C579" s="7" t="s">
        <v>56</v>
      </c>
      <c r="D579" s="7" t="s">
        <v>206</v>
      </c>
      <c r="E579" s="7" t="s">
        <v>231</v>
      </c>
      <c r="F579" s="7" t="s">
        <v>231</v>
      </c>
      <c r="G579" s="7"/>
      <c r="H579" s="19">
        <v>53.595500000000001</v>
      </c>
      <c r="I579" s="7">
        <f t="shared" si="55"/>
        <v>0</v>
      </c>
      <c r="J579" s="7">
        <f>IFERROR(VLOOKUP(D579,Event_Master!B:E,4,FALSE),1)</f>
        <v>1</v>
      </c>
      <c r="K579" s="7">
        <f t="shared" si="56"/>
        <v>0</v>
      </c>
      <c r="L579" s="19">
        <f t="shared" si="57"/>
        <v>53.595500000000001</v>
      </c>
    </row>
    <row r="580" spans="1:12">
      <c r="A580" s="20">
        <v>46028</v>
      </c>
      <c r="B580" s="6">
        <v>479348</v>
      </c>
      <c r="C580" s="7" t="s">
        <v>57</v>
      </c>
      <c r="D580" s="7" t="s">
        <v>206</v>
      </c>
      <c r="E580" s="7" t="s">
        <v>231</v>
      </c>
      <c r="F580" s="7" t="s">
        <v>231</v>
      </c>
      <c r="G580" s="7"/>
      <c r="H580" s="19">
        <v>16.767199999999999</v>
      </c>
      <c r="I580" s="7">
        <f t="shared" si="55"/>
        <v>0</v>
      </c>
      <c r="J580" s="7">
        <f>IFERROR(VLOOKUP(D580,Event_Master!B:E,4,FALSE),1)</f>
        <v>1</v>
      </c>
      <c r="K580" s="7">
        <f t="shared" si="56"/>
        <v>0</v>
      </c>
      <c r="L580" s="19">
        <f t="shared" si="57"/>
        <v>16.767199999999999</v>
      </c>
    </row>
    <row r="581" spans="1:12">
      <c r="A581" s="20">
        <v>46028</v>
      </c>
      <c r="B581" s="6">
        <v>479724</v>
      </c>
      <c r="C581" s="7" t="s">
        <v>168</v>
      </c>
      <c r="D581" s="7" t="s">
        <v>206</v>
      </c>
      <c r="E581" s="7" t="s">
        <v>231</v>
      </c>
      <c r="F581" s="7" t="s">
        <v>231</v>
      </c>
      <c r="G581" s="7"/>
      <c r="H581" s="19">
        <v>31.795200000000001</v>
      </c>
      <c r="I581" s="7">
        <f t="shared" si="55"/>
        <v>0</v>
      </c>
      <c r="J581" s="7">
        <f>IFERROR(VLOOKUP(D581,Event_Master!B:E,4,FALSE),1)</f>
        <v>1</v>
      </c>
      <c r="K581" s="7">
        <f t="shared" si="56"/>
        <v>0</v>
      </c>
      <c r="L581" s="19">
        <f t="shared" si="57"/>
        <v>31.795200000000001</v>
      </c>
    </row>
    <row r="582" spans="1:12">
      <c r="A582" s="20">
        <v>46028</v>
      </c>
      <c r="B582" s="6">
        <v>722393</v>
      </c>
      <c r="C582" s="7" t="s">
        <v>156</v>
      </c>
      <c r="D582" s="7" t="s">
        <v>206</v>
      </c>
      <c r="E582" s="7" t="s">
        <v>231</v>
      </c>
      <c r="F582" s="7" t="s">
        <v>231</v>
      </c>
      <c r="G582" s="7"/>
      <c r="H582" s="19">
        <v>31.934899999999999</v>
      </c>
      <c r="I582" s="7">
        <f t="shared" si="55"/>
        <v>0</v>
      </c>
      <c r="J582" s="7">
        <f>IFERROR(VLOOKUP(D582,Event_Master!B:E,4,FALSE),1)</f>
        <v>1</v>
      </c>
      <c r="K582" s="7">
        <f t="shared" si="56"/>
        <v>0</v>
      </c>
      <c r="L582" s="19">
        <f t="shared" si="57"/>
        <v>31.934899999999999</v>
      </c>
    </row>
    <row r="583" spans="1:12">
      <c r="A583" s="20">
        <v>46028</v>
      </c>
      <c r="B583" s="6">
        <v>476372</v>
      </c>
      <c r="C583" s="7" t="s">
        <v>26</v>
      </c>
      <c r="D583" s="7" t="s">
        <v>206</v>
      </c>
      <c r="E583" s="7" t="s">
        <v>231</v>
      </c>
      <c r="F583" s="7" t="s">
        <v>231</v>
      </c>
      <c r="G583" s="7"/>
      <c r="H583" s="19">
        <v>27.257400000000001</v>
      </c>
      <c r="I583" s="7">
        <f t="shared" si="55"/>
        <v>0</v>
      </c>
      <c r="J583" s="7">
        <f>IFERROR(VLOOKUP(D583,Event_Master!B:E,4,FALSE),1)</f>
        <v>1</v>
      </c>
      <c r="K583" s="7">
        <f t="shared" si="56"/>
        <v>0</v>
      </c>
      <c r="L583" s="19">
        <f t="shared" si="57"/>
        <v>27.257400000000001</v>
      </c>
    </row>
    <row r="584" spans="1:12">
      <c r="A584" s="20">
        <v>46028</v>
      </c>
      <c r="B584" s="6">
        <v>458749</v>
      </c>
      <c r="C584" s="7" t="s">
        <v>139</v>
      </c>
      <c r="D584" s="7" t="s">
        <v>206</v>
      </c>
      <c r="E584" s="7" t="s">
        <v>231</v>
      </c>
      <c r="F584" s="7" t="s">
        <v>231</v>
      </c>
      <c r="G584" s="7"/>
      <c r="H584" s="19">
        <v>26.516999999999999</v>
      </c>
      <c r="I584" s="7">
        <f t="shared" si="55"/>
        <v>0</v>
      </c>
      <c r="J584" s="7">
        <f>IFERROR(VLOOKUP(D584,Event_Master!B:E,4,FALSE),1)</f>
        <v>1</v>
      </c>
      <c r="K584" s="7">
        <f t="shared" si="56"/>
        <v>0</v>
      </c>
      <c r="L584" s="19">
        <f t="shared" si="57"/>
        <v>26.516999999999999</v>
      </c>
    </row>
    <row r="585" spans="1:12">
      <c r="A585" s="20">
        <v>46028</v>
      </c>
      <c r="B585" s="6">
        <v>453949</v>
      </c>
      <c r="C585" s="7" t="s">
        <v>105</v>
      </c>
      <c r="D585" s="7" t="s">
        <v>206</v>
      </c>
      <c r="E585" s="7" t="s">
        <v>231</v>
      </c>
      <c r="F585" s="7" t="s">
        <v>231</v>
      </c>
      <c r="G585" s="7"/>
      <c r="H585" s="19">
        <v>23.5837</v>
      </c>
      <c r="I585" s="7">
        <f t="shared" si="55"/>
        <v>0</v>
      </c>
      <c r="J585" s="7">
        <f>IFERROR(VLOOKUP(D585,Event_Master!B:E,4,FALSE),1)</f>
        <v>1</v>
      </c>
      <c r="K585" s="7">
        <f t="shared" si="56"/>
        <v>0</v>
      </c>
      <c r="L585" s="19">
        <f t="shared" si="57"/>
        <v>23.5837</v>
      </c>
    </row>
    <row r="586" spans="1:12">
      <c r="A586" s="20">
        <v>46028</v>
      </c>
      <c r="B586" s="6">
        <v>471387</v>
      </c>
      <c r="C586" s="7" t="s">
        <v>142</v>
      </c>
      <c r="D586" s="7" t="s">
        <v>206</v>
      </c>
      <c r="E586" s="7" t="s">
        <v>231</v>
      </c>
      <c r="F586" s="7" t="s">
        <v>231</v>
      </c>
      <c r="G586" s="7"/>
      <c r="H586" s="19">
        <v>22.905200000000001</v>
      </c>
      <c r="I586" s="7">
        <f t="shared" si="55"/>
        <v>0</v>
      </c>
      <c r="J586" s="7">
        <f>IFERROR(VLOOKUP(D586,Event_Master!B:E,4,FALSE),1)</f>
        <v>1</v>
      </c>
      <c r="K586" s="7">
        <f t="shared" si="56"/>
        <v>0</v>
      </c>
      <c r="L586" s="19">
        <f t="shared" si="57"/>
        <v>22.905200000000001</v>
      </c>
    </row>
    <row r="587" spans="1:12">
      <c r="A587" s="20">
        <v>46028</v>
      </c>
      <c r="B587" s="6">
        <v>452121</v>
      </c>
      <c r="C587" s="7" t="s">
        <v>106</v>
      </c>
      <c r="D587" s="7" t="s">
        <v>206</v>
      </c>
      <c r="E587" s="7" t="s">
        <v>231</v>
      </c>
      <c r="F587" s="7" t="s">
        <v>231</v>
      </c>
      <c r="G587" s="7"/>
      <c r="H587" s="19">
        <v>20.406600000000001</v>
      </c>
      <c r="I587" s="7">
        <f t="shared" si="55"/>
        <v>0</v>
      </c>
      <c r="J587" s="7">
        <f>IFERROR(VLOOKUP(D587,Event_Master!B:E,4,FALSE),1)</f>
        <v>1</v>
      </c>
      <c r="K587" s="7">
        <f t="shared" si="56"/>
        <v>0</v>
      </c>
      <c r="L587" s="19">
        <f t="shared" si="57"/>
        <v>20.406600000000001</v>
      </c>
    </row>
    <row r="588" spans="1:12">
      <c r="A588" s="20">
        <v>46028</v>
      </c>
      <c r="B588" s="6">
        <v>722751</v>
      </c>
      <c r="C588" s="7" t="s">
        <v>46</v>
      </c>
      <c r="D588" s="7" t="s">
        <v>206</v>
      </c>
      <c r="E588" s="7" t="s">
        <v>231</v>
      </c>
      <c r="F588" s="7" t="s">
        <v>231</v>
      </c>
      <c r="G588" s="7"/>
      <c r="H588" s="19">
        <v>23.965</v>
      </c>
      <c r="I588" s="7">
        <f t="shared" si="55"/>
        <v>0</v>
      </c>
      <c r="J588" s="7">
        <f>IFERROR(VLOOKUP(D588,Event_Master!B:E,4,FALSE),1)</f>
        <v>1</v>
      </c>
      <c r="K588" s="7">
        <f t="shared" si="56"/>
        <v>0</v>
      </c>
      <c r="L588" s="19">
        <f t="shared" si="57"/>
        <v>23.965</v>
      </c>
    </row>
    <row r="589" spans="1:12">
      <c r="A589" s="20">
        <v>46028</v>
      </c>
      <c r="B589" s="6">
        <v>473015</v>
      </c>
      <c r="C589" s="7" t="s">
        <v>144</v>
      </c>
      <c r="D589" s="7" t="s">
        <v>206</v>
      </c>
      <c r="E589" s="7" t="s">
        <v>231</v>
      </c>
      <c r="F589" s="7" t="s">
        <v>231</v>
      </c>
      <c r="G589" s="7"/>
      <c r="H589" s="19">
        <v>21.407</v>
      </c>
      <c r="I589" s="7">
        <f t="shared" si="55"/>
        <v>0</v>
      </c>
      <c r="J589" s="7">
        <f>IFERROR(VLOOKUP(D589,Event_Master!B:E,4,FALSE),1)</f>
        <v>1</v>
      </c>
      <c r="K589" s="7">
        <f t="shared" si="56"/>
        <v>0</v>
      </c>
      <c r="L589" s="19">
        <f t="shared" si="57"/>
        <v>21.407</v>
      </c>
    </row>
    <row r="590" spans="1:12">
      <c r="A590" s="20">
        <v>46028</v>
      </c>
      <c r="B590" s="6">
        <v>447836</v>
      </c>
      <c r="C590" s="7" t="s">
        <v>69</v>
      </c>
      <c r="D590" s="7" t="s">
        <v>206</v>
      </c>
      <c r="E590" s="7" t="s">
        <v>231</v>
      </c>
      <c r="F590" s="7" t="s">
        <v>231</v>
      </c>
      <c r="G590" s="7"/>
      <c r="H590" s="19">
        <v>10.273999999999999</v>
      </c>
      <c r="I590" s="7">
        <f t="shared" si="55"/>
        <v>0</v>
      </c>
      <c r="J590" s="7">
        <f>IFERROR(VLOOKUP(D590,Event_Master!B:E,4,FALSE),1)</f>
        <v>1</v>
      </c>
      <c r="K590" s="7">
        <f t="shared" si="56"/>
        <v>0</v>
      </c>
      <c r="L590" s="19">
        <f t="shared" si="57"/>
        <v>10.273999999999999</v>
      </c>
    </row>
    <row r="591" spans="1:12">
      <c r="A591" s="20">
        <v>46028</v>
      </c>
      <c r="B591" s="6">
        <v>467075</v>
      </c>
      <c r="C591" s="7" t="s">
        <v>36</v>
      </c>
      <c r="D591" s="7" t="s">
        <v>206</v>
      </c>
      <c r="E591" s="7" t="s">
        <v>231</v>
      </c>
      <c r="F591" s="7" t="s">
        <v>231</v>
      </c>
      <c r="G591" s="7"/>
      <c r="H591" s="19">
        <v>23.736799999999999</v>
      </c>
      <c r="I591" s="7">
        <f t="shared" si="55"/>
        <v>0</v>
      </c>
      <c r="J591" s="7">
        <f>IFERROR(VLOOKUP(D591,Event_Master!B:E,4,FALSE),1)</f>
        <v>1</v>
      </c>
      <c r="K591" s="7">
        <f t="shared" si="56"/>
        <v>0</v>
      </c>
      <c r="L591" s="19">
        <f t="shared" si="57"/>
        <v>23.736799999999999</v>
      </c>
    </row>
    <row r="592" spans="1:12">
      <c r="A592" s="20">
        <v>46028</v>
      </c>
      <c r="B592" s="6">
        <v>446300</v>
      </c>
      <c r="C592" s="7" t="s">
        <v>148</v>
      </c>
      <c r="D592" s="7" t="s">
        <v>206</v>
      </c>
      <c r="E592" s="7" t="s">
        <v>231</v>
      </c>
      <c r="F592" s="7" t="s">
        <v>231</v>
      </c>
      <c r="G592" s="7"/>
      <c r="H592" s="19">
        <v>32.415999999999997</v>
      </c>
      <c r="I592" s="7">
        <f t="shared" si="55"/>
        <v>0</v>
      </c>
      <c r="J592" s="7">
        <f>IFERROR(VLOOKUP(D592,Event_Master!B:E,4,FALSE),1)</f>
        <v>1</v>
      </c>
      <c r="K592" s="7">
        <f t="shared" si="56"/>
        <v>0</v>
      </c>
      <c r="L592" s="19">
        <f t="shared" si="57"/>
        <v>32.415999999999997</v>
      </c>
    </row>
    <row r="593" spans="1:12">
      <c r="A593" s="20">
        <v>46028</v>
      </c>
      <c r="B593" s="6">
        <v>450325</v>
      </c>
      <c r="C593" s="7" t="s">
        <v>82</v>
      </c>
      <c r="D593" s="7" t="s">
        <v>206</v>
      </c>
      <c r="E593" s="7" t="s">
        <v>231</v>
      </c>
      <c r="F593" s="7" t="s">
        <v>231</v>
      </c>
      <c r="G593" s="7"/>
      <c r="H593" s="19">
        <v>47.736199999999997</v>
      </c>
      <c r="I593" s="7">
        <f t="shared" si="55"/>
        <v>0</v>
      </c>
      <c r="J593" s="7">
        <f>IFERROR(VLOOKUP(D593,Event_Master!B:E,4,FALSE),1)</f>
        <v>1</v>
      </c>
      <c r="K593" s="7">
        <f t="shared" si="56"/>
        <v>0</v>
      </c>
      <c r="L593" s="19">
        <f t="shared" si="57"/>
        <v>47.736199999999997</v>
      </c>
    </row>
    <row r="594" spans="1:12">
      <c r="A594" s="20">
        <v>46028</v>
      </c>
      <c r="B594" s="6">
        <v>706306</v>
      </c>
      <c r="C594" s="7" t="s">
        <v>180</v>
      </c>
      <c r="D594" s="7" t="s">
        <v>206</v>
      </c>
      <c r="E594" s="7" t="s">
        <v>231</v>
      </c>
      <c r="F594" s="7" t="s">
        <v>231</v>
      </c>
      <c r="G594" s="7"/>
      <c r="H594" s="19">
        <v>17.097200000000001</v>
      </c>
      <c r="I594" s="7">
        <f t="shared" si="55"/>
        <v>0</v>
      </c>
      <c r="J594" s="7">
        <f>IFERROR(VLOOKUP(D594,Event_Master!B:E,4,FALSE),1)</f>
        <v>1</v>
      </c>
      <c r="K594" s="7">
        <f t="shared" si="56"/>
        <v>0</v>
      </c>
      <c r="L594" s="19">
        <f t="shared" si="57"/>
        <v>17.097200000000001</v>
      </c>
    </row>
    <row r="595" spans="1:12">
      <c r="A595" s="20">
        <v>46028</v>
      </c>
      <c r="B595" s="6">
        <v>479827</v>
      </c>
      <c r="C595" s="7" t="s">
        <v>116</v>
      </c>
      <c r="D595" s="7" t="s">
        <v>206</v>
      </c>
      <c r="E595" s="7" t="s">
        <v>231</v>
      </c>
      <c r="F595" s="7" t="s">
        <v>231</v>
      </c>
      <c r="G595" s="7"/>
      <c r="H595" s="19">
        <v>15.1126</v>
      </c>
      <c r="I595" s="7">
        <f t="shared" si="55"/>
        <v>0</v>
      </c>
      <c r="J595" s="7">
        <f>IFERROR(VLOOKUP(D595,Event_Master!B:E,4,FALSE),1)</f>
        <v>1</v>
      </c>
      <c r="K595" s="7">
        <f t="shared" si="56"/>
        <v>0</v>
      </c>
      <c r="L595" s="19">
        <f t="shared" si="57"/>
        <v>15.1126</v>
      </c>
    </row>
    <row r="596" spans="1:12">
      <c r="A596" s="20">
        <v>46028</v>
      </c>
      <c r="B596" s="6">
        <v>450437</v>
      </c>
      <c r="C596" s="7" t="s">
        <v>150</v>
      </c>
      <c r="D596" s="7" t="s">
        <v>206</v>
      </c>
      <c r="E596" s="7" t="s">
        <v>231</v>
      </c>
      <c r="F596" s="7" t="s">
        <v>231</v>
      </c>
      <c r="G596" s="7"/>
      <c r="H596" s="19">
        <v>25.523299999999999</v>
      </c>
      <c r="I596" s="7">
        <f t="shared" si="55"/>
        <v>0</v>
      </c>
      <c r="J596" s="7">
        <f>IFERROR(VLOOKUP(D596,Event_Master!B:E,4,FALSE),1)</f>
        <v>1</v>
      </c>
      <c r="K596" s="7">
        <f t="shared" si="56"/>
        <v>0</v>
      </c>
      <c r="L596" s="19">
        <f t="shared" si="57"/>
        <v>25.523299999999999</v>
      </c>
    </row>
    <row r="597" spans="1:12">
      <c r="A597" s="20">
        <v>46028</v>
      </c>
      <c r="B597" s="6">
        <v>451609</v>
      </c>
      <c r="C597" s="7" t="s">
        <v>79</v>
      </c>
      <c r="D597" s="7" t="s">
        <v>206</v>
      </c>
      <c r="E597" s="7" t="s">
        <v>231</v>
      </c>
      <c r="F597" s="7" t="s">
        <v>231</v>
      </c>
      <c r="G597" s="7"/>
      <c r="H597" s="19">
        <v>30.247499999999999</v>
      </c>
      <c r="I597" s="7">
        <f t="shared" si="55"/>
        <v>0</v>
      </c>
      <c r="J597" s="7">
        <f>IFERROR(VLOOKUP(D597,Event_Master!B:E,4,FALSE),1)</f>
        <v>1</v>
      </c>
      <c r="K597" s="7">
        <f t="shared" si="56"/>
        <v>0</v>
      </c>
      <c r="L597" s="19">
        <f t="shared" si="57"/>
        <v>30.247499999999999</v>
      </c>
    </row>
    <row r="598" spans="1:12">
      <c r="A598" s="20">
        <v>46028</v>
      </c>
      <c r="B598" s="6">
        <v>460888</v>
      </c>
      <c r="C598" s="7" t="s">
        <v>45</v>
      </c>
      <c r="D598" s="7" t="s">
        <v>206</v>
      </c>
      <c r="E598" s="7" t="s">
        <v>231</v>
      </c>
      <c r="F598" s="7" t="s">
        <v>231</v>
      </c>
      <c r="G598" s="7"/>
      <c r="H598" s="25">
        <v>5.5999999999999999E-3</v>
      </c>
      <c r="I598" s="7">
        <f t="shared" si="55"/>
        <v>0</v>
      </c>
      <c r="J598" s="7">
        <f>IFERROR(VLOOKUP(D598,Event_Master!B:E,4,FALSE),1)</f>
        <v>1</v>
      </c>
      <c r="K598" s="7">
        <f t="shared" si="56"/>
        <v>0</v>
      </c>
      <c r="L598" s="25">
        <f t="shared" si="57"/>
        <v>5.5999999999999999E-3</v>
      </c>
    </row>
    <row r="599" spans="1:12">
      <c r="A599" s="20">
        <v>46029</v>
      </c>
      <c r="B599" s="7">
        <v>365114</v>
      </c>
      <c r="C599" s="7" t="s">
        <v>54</v>
      </c>
      <c r="D599" s="7" t="s">
        <v>293</v>
      </c>
      <c r="E599" s="7" t="s">
        <v>231</v>
      </c>
      <c r="F599" s="7" t="s">
        <v>231</v>
      </c>
      <c r="G599" s="7"/>
      <c r="H599" s="19">
        <v>10</v>
      </c>
      <c r="I599" s="7">
        <f t="shared" ref="I599:I658" si="58">IF(G599="Winner",100,IF(G599="Runner-up",70,IF(G599="2nd Runner-up",50,IF(G599="Semi",30,IF(G599="Quarter",20,0)))))</f>
        <v>0</v>
      </c>
      <c r="J599" s="7">
        <f>IFERROR(VLOOKUP(D599,Event_Master!B:E,4,FALSE),1)</f>
        <v>1</v>
      </c>
      <c r="K599" s="7">
        <f t="shared" ref="K599:K658" si="59">(I599*J599)</f>
        <v>0</v>
      </c>
      <c r="L599" s="19">
        <f t="shared" ref="L599:L658" si="60">K599+H599</f>
        <v>10</v>
      </c>
    </row>
    <row r="600" spans="1:12">
      <c r="A600" s="20">
        <v>46029</v>
      </c>
      <c r="B600" s="7">
        <v>396485</v>
      </c>
      <c r="C600" s="7" t="s">
        <v>135</v>
      </c>
      <c r="D600" s="7" t="s">
        <v>293</v>
      </c>
      <c r="E600" s="7" t="s">
        <v>231</v>
      </c>
      <c r="F600" s="7" t="s">
        <v>231</v>
      </c>
      <c r="G600" s="7"/>
      <c r="H600" s="19">
        <v>10</v>
      </c>
      <c r="I600" s="7">
        <f t="shared" si="58"/>
        <v>0</v>
      </c>
      <c r="J600" s="7">
        <f>IFERROR(VLOOKUP(D600,Event_Master!B:E,4,FALSE),1)</f>
        <v>1</v>
      </c>
      <c r="K600" s="7">
        <f t="shared" si="59"/>
        <v>0</v>
      </c>
      <c r="L600" s="19">
        <f t="shared" si="60"/>
        <v>10</v>
      </c>
    </row>
    <row r="601" spans="1:12">
      <c r="A601" s="20">
        <v>46029</v>
      </c>
      <c r="B601" s="7">
        <v>408262</v>
      </c>
      <c r="C601" s="7" t="s">
        <v>125</v>
      </c>
      <c r="D601" s="7" t="s">
        <v>293</v>
      </c>
      <c r="E601" s="7" t="s">
        <v>231</v>
      </c>
      <c r="F601" s="7" t="s">
        <v>231</v>
      </c>
      <c r="G601" s="7"/>
      <c r="H601" s="19">
        <v>10</v>
      </c>
      <c r="I601" s="7">
        <f t="shared" si="58"/>
        <v>0</v>
      </c>
      <c r="J601" s="7">
        <f>IFERROR(VLOOKUP(D601,Event_Master!B:E,4,FALSE),1)</f>
        <v>1</v>
      </c>
      <c r="K601" s="7">
        <f t="shared" si="59"/>
        <v>0</v>
      </c>
      <c r="L601" s="19">
        <f t="shared" si="60"/>
        <v>10</v>
      </c>
    </row>
    <row r="602" spans="1:12">
      <c r="A602" s="20">
        <v>46029</v>
      </c>
      <c r="B602" s="7">
        <v>416087</v>
      </c>
      <c r="C602" s="7" t="s">
        <v>184</v>
      </c>
      <c r="D602" s="7" t="s">
        <v>293</v>
      </c>
      <c r="E602" s="7" t="s">
        <v>231</v>
      </c>
      <c r="F602" s="7" t="s">
        <v>231</v>
      </c>
      <c r="G602" s="7"/>
      <c r="H602" s="19">
        <v>10</v>
      </c>
      <c r="I602" s="7">
        <f t="shared" si="58"/>
        <v>0</v>
      </c>
      <c r="J602" s="7">
        <f>IFERROR(VLOOKUP(D602,Event_Master!B:E,4,FALSE),1)</f>
        <v>1</v>
      </c>
      <c r="K602" s="7">
        <f t="shared" si="59"/>
        <v>0</v>
      </c>
      <c r="L602" s="19">
        <f t="shared" si="60"/>
        <v>10</v>
      </c>
    </row>
    <row r="603" spans="1:12">
      <c r="A603" s="20">
        <v>46029</v>
      </c>
      <c r="B603" s="7">
        <v>423859</v>
      </c>
      <c r="C603" s="7" t="s">
        <v>43</v>
      </c>
      <c r="D603" s="7" t="s">
        <v>293</v>
      </c>
      <c r="E603" s="7" t="s">
        <v>231</v>
      </c>
      <c r="F603" s="7" t="s">
        <v>231</v>
      </c>
      <c r="G603" s="7"/>
      <c r="H603" s="19">
        <v>10</v>
      </c>
      <c r="I603" s="7">
        <f t="shared" si="58"/>
        <v>0</v>
      </c>
      <c r="J603" s="7">
        <f>IFERROR(VLOOKUP(D603,Event_Master!B:E,4,FALSE),1)</f>
        <v>1</v>
      </c>
      <c r="K603" s="7">
        <f t="shared" si="59"/>
        <v>0</v>
      </c>
      <c r="L603" s="19">
        <f t="shared" si="60"/>
        <v>10</v>
      </c>
    </row>
    <row r="604" spans="1:12">
      <c r="A604" s="20">
        <v>46029</v>
      </c>
      <c r="B604" s="7">
        <v>427154</v>
      </c>
      <c r="C604" s="7" t="s">
        <v>37</v>
      </c>
      <c r="D604" s="7" t="s">
        <v>293</v>
      </c>
      <c r="E604" s="7" t="s">
        <v>231</v>
      </c>
      <c r="F604" s="7" t="s">
        <v>231</v>
      </c>
      <c r="G604" s="7" t="s">
        <v>217</v>
      </c>
      <c r="H604" s="19">
        <v>10</v>
      </c>
      <c r="I604" s="7">
        <f t="shared" si="58"/>
        <v>100</v>
      </c>
      <c r="J604" s="7">
        <f>IFERROR(VLOOKUP(D604,Event_Master!B:E,4,FALSE),1)</f>
        <v>1</v>
      </c>
      <c r="K604" s="7">
        <f t="shared" si="59"/>
        <v>100</v>
      </c>
      <c r="L604" s="19">
        <f t="shared" si="60"/>
        <v>110</v>
      </c>
    </row>
    <row r="605" spans="1:12">
      <c r="A605" s="20">
        <v>46029</v>
      </c>
      <c r="B605" s="7">
        <v>430977</v>
      </c>
      <c r="C605" s="7" t="s">
        <v>85</v>
      </c>
      <c r="D605" s="7" t="s">
        <v>293</v>
      </c>
      <c r="E605" s="7" t="s">
        <v>231</v>
      </c>
      <c r="F605" s="7" t="s">
        <v>231</v>
      </c>
      <c r="G605" s="7"/>
      <c r="H605" s="19">
        <v>10</v>
      </c>
      <c r="I605" s="7">
        <f t="shared" si="58"/>
        <v>0</v>
      </c>
      <c r="J605" s="7">
        <f>IFERROR(VLOOKUP(D605,Event_Master!B:E,4,FALSE),1)</f>
        <v>1</v>
      </c>
      <c r="K605" s="7">
        <f t="shared" si="59"/>
        <v>0</v>
      </c>
      <c r="L605" s="19">
        <f t="shared" si="60"/>
        <v>10</v>
      </c>
    </row>
    <row r="606" spans="1:12">
      <c r="A606" s="20">
        <v>46029</v>
      </c>
      <c r="B606" s="7">
        <v>432865</v>
      </c>
      <c r="C606" s="7" t="s">
        <v>38</v>
      </c>
      <c r="D606" s="7" t="s">
        <v>293</v>
      </c>
      <c r="E606" s="7" t="s">
        <v>231</v>
      </c>
      <c r="F606" s="7" t="s">
        <v>231</v>
      </c>
      <c r="G606" s="7" t="s">
        <v>218</v>
      </c>
      <c r="H606" s="19">
        <v>10</v>
      </c>
      <c r="I606" s="7">
        <f t="shared" si="58"/>
        <v>70</v>
      </c>
      <c r="J606" s="7">
        <f>IFERROR(VLOOKUP(D606,Event_Master!B:E,4,FALSE),1)</f>
        <v>1</v>
      </c>
      <c r="K606" s="7">
        <f t="shared" si="59"/>
        <v>70</v>
      </c>
      <c r="L606" s="19">
        <f t="shared" si="60"/>
        <v>80</v>
      </c>
    </row>
    <row r="607" spans="1:12">
      <c r="A607" s="20">
        <v>46029</v>
      </c>
      <c r="B607" s="7">
        <v>433939</v>
      </c>
      <c r="C607" s="7" t="s">
        <v>138</v>
      </c>
      <c r="D607" s="7" t="s">
        <v>293</v>
      </c>
      <c r="E607" s="7" t="s">
        <v>231</v>
      </c>
      <c r="F607" s="7" t="s">
        <v>231</v>
      </c>
      <c r="G607" s="7"/>
      <c r="H607" s="19">
        <v>10</v>
      </c>
      <c r="I607" s="7">
        <f t="shared" si="58"/>
        <v>0</v>
      </c>
      <c r="J607" s="7">
        <f>IFERROR(VLOOKUP(D607,Event_Master!B:E,4,FALSE),1)</f>
        <v>1</v>
      </c>
      <c r="K607" s="7">
        <f t="shared" si="59"/>
        <v>0</v>
      </c>
      <c r="L607" s="19">
        <f t="shared" si="60"/>
        <v>10</v>
      </c>
    </row>
    <row r="608" spans="1:12">
      <c r="A608" s="20">
        <v>46029</v>
      </c>
      <c r="B608" s="7">
        <v>438864</v>
      </c>
      <c r="C608" s="7" t="s">
        <v>31</v>
      </c>
      <c r="D608" s="7" t="s">
        <v>293</v>
      </c>
      <c r="E608" s="7" t="s">
        <v>231</v>
      </c>
      <c r="F608" s="7" t="s">
        <v>231</v>
      </c>
      <c r="G608" s="7"/>
      <c r="H608" s="19">
        <v>10</v>
      </c>
      <c r="I608" s="7">
        <f t="shared" si="58"/>
        <v>0</v>
      </c>
      <c r="J608" s="7">
        <f>IFERROR(VLOOKUP(D608,Event_Master!B:E,4,FALSE),1)</f>
        <v>1</v>
      </c>
      <c r="K608" s="7">
        <f t="shared" si="59"/>
        <v>0</v>
      </c>
      <c r="L608" s="19">
        <f t="shared" si="60"/>
        <v>10</v>
      </c>
    </row>
    <row r="609" spans="1:12">
      <c r="A609" s="20">
        <v>46029</v>
      </c>
      <c r="B609" s="7">
        <v>440317</v>
      </c>
      <c r="C609" s="7" t="s">
        <v>29</v>
      </c>
      <c r="D609" s="7" t="s">
        <v>293</v>
      </c>
      <c r="E609" s="7" t="s">
        <v>231</v>
      </c>
      <c r="F609" s="7" t="s">
        <v>231</v>
      </c>
      <c r="G609" s="7"/>
      <c r="H609" s="19">
        <v>10</v>
      </c>
      <c r="I609" s="7">
        <f t="shared" si="58"/>
        <v>0</v>
      </c>
      <c r="J609" s="7">
        <f>IFERROR(VLOOKUP(D609,Event_Master!B:E,4,FALSE),1)</f>
        <v>1</v>
      </c>
      <c r="K609" s="7">
        <f t="shared" si="59"/>
        <v>0</v>
      </c>
      <c r="L609" s="19">
        <f t="shared" si="60"/>
        <v>10</v>
      </c>
    </row>
    <row r="610" spans="1:12">
      <c r="A610" s="20">
        <v>46029</v>
      </c>
      <c r="B610" s="7">
        <v>446300</v>
      </c>
      <c r="C610" s="7" t="s">
        <v>148</v>
      </c>
      <c r="D610" s="7" t="s">
        <v>293</v>
      </c>
      <c r="E610" s="7" t="s">
        <v>231</v>
      </c>
      <c r="F610" s="7" t="s">
        <v>231</v>
      </c>
      <c r="G610" s="7"/>
      <c r="H610" s="19">
        <v>10</v>
      </c>
      <c r="I610" s="7">
        <f t="shared" si="58"/>
        <v>0</v>
      </c>
      <c r="J610" s="7">
        <f>IFERROR(VLOOKUP(D610,Event_Master!B:E,4,FALSE),1)</f>
        <v>1</v>
      </c>
      <c r="K610" s="7">
        <f t="shared" si="59"/>
        <v>0</v>
      </c>
      <c r="L610" s="19">
        <f t="shared" si="60"/>
        <v>10</v>
      </c>
    </row>
    <row r="611" spans="1:12">
      <c r="A611" s="20">
        <v>46029</v>
      </c>
      <c r="B611" s="7">
        <v>449551</v>
      </c>
      <c r="C611" s="7" t="s">
        <v>32</v>
      </c>
      <c r="D611" s="7" t="s">
        <v>293</v>
      </c>
      <c r="E611" s="7" t="s">
        <v>231</v>
      </c>
      <c r="F611" s="7" t="s">
        <v>231</v>
      </c>
      <c r="G611" s="7"/>
      <c r="H611" s="19">
        <v>10</v>
      </c>
      <c r="I611" s="7">
        <f t="shared" si="58"/>
        <v>0</v>
      </c>
      <c r="J611" s="7">
        <f>IFERROR(VLOOKUP(D611,Event_Master!B:E,4,FALSE),1)</f>
        <v>1</v>
      </c>
      <c r="K611" s="7">
        <f t="shared" si="59"/>
        <v>0</v>
      </c>
      <c r="L611" s="19">
        <f t="shared" si="60"/>
        <v>10</v>
      </c>
    </row>
    <row r="612" spans="1:12">
      <c r="A612" s="20">
        <v>46029</v>
      </c>
      <c r="B612" s="7">
        <v>449635</v>
      </c>
      <c r="C612" s="7" t="s">
        <v>182</v>
      </c>
      <c r="D612" s="7" t="s">
        <v>293</v>
      </c>
      <c r="E612" s="7" t="s">
        <v>231</v>
      </c>
      <c r="F612" s="7" t="s">
        <v>231</v>
      </c>
      <c r="G612" s="7"/>
      <c r="H612" s="19">
        <v>10</v>
      </c>
      <c r="I612" s="7">
        <f t="shared" si="58"/>
        <v>0</v>
      </c>
      <c r="J612" s="7">
        <f>IFERROR(VLOOKUP(D612,Event_Master!B:E,4,FALSE),1)</f>
        <v>1</v>
      </c>
      <c r="K612" s="7">
        <f t="shared" si="59"/>
        <v>0</v>
      </c>
      <c r="L612" s="19">
        <f t="shared" si="60"/>
        <v>10</v>
      </c>
    </row>
    <row r="613" spans="1:12">
      <c r="A613" s="20">
        <v>46029</v>
      </c>
      <c r="B613" s="7">
        <v>449891</v>
      </c>
      <c r="C613" s="7" t="s">
        <v>170</v>
      </c>
      <c r="D613" s="7" t="s">
        <v>293</v>
      </c>
      <c r="E613" s="7" t="s">
        <v>231</v>
      </c>
      <c r="F613" s="7" t="s">
        <v>231</v>
      </c>
      <c r="G613" s="7"/>
      <c r="H613" s="19">
        <v>10</v>
      </c>
      <c r="I613" s="7">
        <f t="shared" si="58"/>
        <v>0</v>
      </c>
      <c r="J613" s="7">
        <f>IFERROR(VLOOKUP(D613,Event_Master!B:E,4,FALSE),1)</f>
        <v>1</v>
      </c>
      <c r="K613" s="7">
        <f t="shared" si="59"/>
        <v>0</v>
      </c>
      <c r="L613" s="19">
        <f t="shared" si="60"/>
        <v>10</v>
      </c>
    </row>
    <row r="614" spans="1:12">
      <c r="A614" s="20">
        <v>46029</v>
      </c>
      <c r="B614" s="7">
        <v>450171</v>
      </c>
      <c r="C614" s="7" t="s">
        <v>140</v>
      </c>
      <c r="D614" s="7" t="s">
        <v>293</v>
      </c>
      <c r="E614" s="7" t="s">
        <v>231</v>
      </c>
      <c r="F614" s="7" t="s">
        <v>231</v>
      </c>
      <c r="G614" s="7"/>
      <c r="H614" s="19">
        <v>10</v>
      </c>
      <c r="I614" s="7">
        <f t="shared" si="58"/>
        <v>0</v>
      </c>
      <c r="J614" s="7">
        <f>IFERROR(VLOOKUP(D614,Event_Master!B:E,4,FALSE),1)</f>
        <v>1</v>
      </c>
      <c r="K614" s="7">
        <f t="shared" si="59"/>
        <v>0</v>
      </c>
      <c r="L614" s="19">
        <f t="shared" si="60"/>
        <v>10</v>
      </c>
    </row>
    <row r="615" spans="1:12">
      <c r="A615" s="20">
        <v>46029</v>
      </c>
      <c r="B615" s="7">
        <v>450224</v>
      </c>
      <c r="C615" s="7" t="s">
        <v>62</v>
      </c>
      <c r="D615" s="7" t="s">
        <v>293</v>
      </c>
      <c r="E615" s="7" t="s">
        <v>231</v>
      </c>
      <c r="F615" s="7" t="s">
        <v>231</v>
      </c>
      <c r="G615" s="7"/>
      <c r="H615" s="19">
        <v>10</v>
      </c>
      <c r="I615" s="7">
        <f t="shared" si="58"/>
        <v>0</v>
      </c>
      <c r="J615" s="7">
        <f>IFERROR(VLOOKUP(D615,Event_Master!B:E,4,FALSE),1)</f>
        <v>1</v>
      </c>
      <c r="K615" s="7">
        <f t="shared" si="59"/>
        <v>0</v>
      </c>
      <c r="L615" s="19">
        <f t="shared" si="60"/>
        <v>10</v>
      </c>
    </row>
    <row r="616" spans="1:12">
      <c r="A616" s="20">
        <v>46029</v>
      </c>
      <c r="B616" s="7">
        <v>450228</v>
      </c>
      <c r="C616" s="7" t="s">
        <v>74</v>
      </c>
      <c r="D616" s="7" t="s">
        <v>293</v>
      </c>
      <c r="E616" s="7" t="s">
        <v>231</v>
      </c>
      <c r="F616" s="7" t="s">
        <v>231</v>
      </c>
      <c r="G616" s="7"/>
      <c r="H616" s="19">
        <v>10</v>
      </c>
      <c r="I616" s="7">
        <f t="shared" si="58"/>
        <v>0</v>
      </c>
      <c r="J616" s="7">
        <f>IFERROR(VLOOKUP(D616,Event_Master!B:E,4,FALSE),1)</f>
        <v>1</v>
      </c>
      <c r="K616" s="7">
        <f t="shared" si="59"/>
        <v>0</v>
      </c>
      <c r="L616" s="19">
        <f t="shared" si="60"/>
        <v>10</v>
      </c>
    </row>
    <row r="617" spans="1:12">
      <c r="A617" s="20">
        <v>46029</v>
      </c>
      <c r="B617" s="7">
        <v>450230</v>
      </c>
      <c r="C617" s="7" t="s">
        <v>4</v>
      </c>
      <c r="D617" s="7" t="s">
        <v>293</v>
      </c>
      <c r="E617" s="7" t="s">
        <v>231</v>
      </c>
      <c r="F617" s="7" t="s">
        <v>231</v>
      </c>
      <c r="G617" s="7" t="s">
        <v>218</v>
      </c>
      <c r="H617" s="19">
        <v>10</v>
      </c>
      <c r="I617" s="7">
        <f t="shared" si="58"/>
        <v>70</v>
      </c>
      <c r="J617" s="7">
        <f>IFERROR(VLOOKUP(D617,Event_Master!B:E,4,FALSE),1)</f>
        <v>1</v>
      </c>
      <c r="K617" s="7">
        <f t="shared" si="59"/>
        <v>70</v>
      </c>
      <c r="L617" s="19">
        <f t="shared" si="60"/>
        <v>80</v>
      </c>
    </row>
    <row r="618" spans="1:12">
      <c r="A618" s="20">
        <v>46029</v>
      </c>
      <c r="B618" s="7">
        <v>451609</v>
      </c>
      <c r="C618" s="7" t="s">
        <v>79</v>
      </c>
      <c r="D618" s="7" t="s">
        <v>293</v>
      </c>
      <c r="E618" s="7" t="s">
        <v>231</v>
      </c>
      <c r="F618" s="7" t="s">
        <v>231</v>
      </c>
      <c r="G618" s="7"/>
      <c r="H618" s="19">
        <v>10</v>
      </c>
      <c r="I618" s="7">
        <f t="shared" si="58"/>
        <v>0</v>
      </c>
      <c r="J618" s="7">
        <f>IFERROR(VLOOKUP(D618,Event_Master!B:E,4,FALSE),1)</f>
        <v>1</v>
      </c>
      <c r="K618" s="7">
        <f t="shared" si="59"/>
        <v>0</v>
      </c>
      <c r="L618" s="19">
        <f t="shared" si="60"/>
        <v>10</v>
      </c>
    </row>
    <row r="619" spans="1:12">
      <c r="A619" s="20">
        <v>46029</v>
      </c>
      <c r="B619" s="7">
        <v>451858</v>
      </c>
      <c r="C619" s="7" t="s">
        <v>123</v>
      </c>
      <c r="D619" s="7" t="s">
        <v>293</v>
      </c>
      <c r="E619" s="7" t="s">
        <v>231</v>
      </c>
      <c r="F619" s="7" t="s">
        <v>231</v>
      </c>
      <c r="G619" s="7"/>
      <c r="H619" s="19">
        <v>10</v>
      </c>
      <c r="I619" s="7">
        <f t="shared" si="58"/>
        <v>0</v>
      </c>
      <c r="J619" s="7">
        <f>IFERROR(VLOOKUP(D619,Event_Master!B:E,4,FALSE),1)</f>
        <v>1</v>
      </c>
      <c r="K619" s="7">
        <f t="shared" si="59"/>
        <v>0</v>
      </c>
      <c r="L619" s="19">
        <f t="shared" si="60"/>
        <v>10</v>
      </c>
    </row>
    <row r="620" spans="1:12">
      <c r="A620" s="20">
        <v>46029</v>
      </c>
      <c r="B620" s="7">
        <v>452058</v>
      </c>
      <c r="C620" s="7" t="s">
        <v>14</v>
      </c>
      <c r="D620" s="7" t="s">
        <v>293</v>
      </c>
      <c r="E620" s="7" t="s">
        <v>231</v>
      </c>
      <c r="F620" s="7" t="s">
        <v>231</v>
      </c>
      <c r="G620" s="7" t="s">
        <v>217</v>
      </c>
      <c r="H620" s="19">
        <v>10</v>
      </c>
      <c r="I620" s="7">
        <f t="shared" si="58"/>
        <v>100</v>
      </c>
      <c r="J620" s="7">
        <f>IFERROR(VLOOKUP(D620,Event_Master!B:E,4,FALSE),1)</f>
        <v>1</v>
      </c>
      <c r="K620" s="7">
        <f t="shared" si="59"/>
        <v>100</v>
      </c>
      <c r="L620" s="19">
        <f t="shared" si="60"/>
        <v>110</v>
      </c>
    </row>
    <row r="621" spans="1:12">
      <c r="A621" s="20">
        <v>46029</v>
      </c>
      <c r="B621" s="7">
        <v>452076</v>
      </c>
      <c r="C621" s="7" t="s">
        <v>73</v>
      </c>
      <c r="D621" s="7" t="s">
        <v>293</v>
      </c>
      <c r="E621" s="7" t="s">
        <v>231</v>
      </c>
      <c r="F621" s="7" t="s">
        <v>231</v>
      </c>
      <c r="G621" s="7"/>
      <c r="H621" s="19">
        <v>10</v>
      </c>
      <c r="I621" s="7">
        <f t="shared" si="58"/>
        <v>0</v>
      </c>
      <c r="J621" s="7">
        <f>IFERROR(VLOOKUP(D621,Event_Master!B:E,4,FALSE),1)</f>
        <v>1</v>
      </c>
      <c r="K621" s="7">
        <f t="shared" si="59"/>
        <v>0</v>
      </c>
      <c r="L621" s="19">
        <f t="shared" si="60"/>
        <v>10</v>
      </c>
    </row>
    <row r="622" spans="1:12">
      <c r="A622" s="20">
        <v>46029</v>
      </c>
      <c r="B622" s="7">
        <v>452118</v>
      </c>
      <c r="C622" s="7" t="s">
        <v>108</v>
      </c>
      <c r="D622" s="7" t="s">
        <v>293</v>
      </c>
      <c r="E622" s="7" t="s">
        <v>231</v>
      </c>
      <c r="F622" s="7" t="s">
        <v>231</v>
      </c>
      <c r="G622" s="7"/>
      <c r="H622" s="19">
        <v>10</v>
      </c>
      <c r="I622" s="7">
        <f t="shared" si="58"/>
        <v>0</v>
      </c>
      <c r="J622" s="7">
        <f>IFERROR(VLOOKUP(D622,Event_Master!B:E,4,FALSE),1)</f>
        <v>1</v>
      </c>
      <c r="K622" s="7">
        <f t="shared" si="59"/>
        <v>0</v>
      </c>
      <c r="L622" s="19">
        <f t="shared" si="60"/>
        <v>10</v>
      </c>
    </row>
    <row r="623" spans="1:12">
      <c r="A623" s="20">
        <v>46029</v>
      </c>
      <c r="B623" s="7">
        <v>452121</v>
      </c>
      <c r="C623" s="7" t="s">
        <v>106</v>
      </c>
      <c r="D623" s="7" t="s">
        <v>293</v>
      </c>
      <c r="E623" s="7" t="s">
        <v>231</v>
      </c>
      <c r="F623" s="7" t="s">
        <v>231</v>
      </c>
      <c r="G623" s="7"/>
      <c r="H623" s="19">
        <v>10</v>
      </c>
      <c r="I623" s="7">
        <f t="shared" si="58"/>
        <v>0</v>
      </c>
      <c r="J623" s="7">
        <f>IFERROR(VLOOKUP(D623,Event_Master!B:E,4,FALSE),1)</f>
        <v>1</v>
      </c>
      <c r="K623" s="7">
        <f t="shared" si="59"/>
        <v>0</v>
      </c>
      <c r="L623" s="19">
        <f t="shared" si="60"/>
        <v>10</v>
      </c>
    </row>
    <row r="624" spans="1:12">
      <c r="A624" s="20">
        <v>46029</v>
      </c>
      <c r="B624" s="7">
        <v>452799</v>
      </c>
      <c r="C624" s="7" t="s">
        <v>171</v>
      </c>
      <c r="D624" s="7" t="s">
        <v>293</v>
      </c>
      <c r="E624" s="7" t="s">
        <v>231</v>
      </c>
      <c r="F624" s="7" t="s">
        <v>231</v>
      </c>
      <c r="G624" s="7"/>
      <c r="H624" s="19">
        <v>10</v>
      </c>
      <c r="I624" s="7">
        <f t="shared" si="58"/>
        <v>0</v>
      </c>
      <c r="J624" s="7">
        <f>IFERROR(VLOOKUP(D624,Event_Master!B:E,4,FALSE),1)</f>
        <v>1</v>
      </c>
      <c r="K624" s="7">
        <f t="shared" si="59"/>
        <v>0</v>
      </c>
      <c r="L624" s="19">
        <f t="shared" si="60"/>
        <v>10</v>
      </c>
    </row>
    <row r="625" spans="1:12">
      <c r="A625" s="20">
        <v>46029</v>
      </c>
      <c r="B625" s="7">
        <v>457157</v>
      </c>
      <c r="C625" s="7" t="s">
        <v>111</v>
      </c>
      <c r="D625" s="7" t="s">
        <v>293</v>
      </c>
      <c r="E625" s="7" t="s">
        <v>231</v>
      </c>
      <c r="F625" s="7" t="s">
        <v>231</v>
      </c>
      <c r="G625" s="7"/>
      <c r="H625" s="19">
        <v>10</v>
      </c>
      <c r="I625" s="7">
        <f t="shared" si="58"/>
        <v>0</v>
      </c>
      <c r="J625" s="7">
        <f>IFERROR(VLOOKUP(D625,Event_Master!B:E,4,FALSE),1)</f>
        <v>1</v>
      </c>
      <c r="K625" s="7">
        <f t="shared" si="59"/>
        <v>0</v>
      </c>
      <c r="L625" s="19">
        <f t="shared" si="60"/>
        <v>10</v>
      </c>
    </row>
    <row r="626" spans="1:12">
      <c r="A626" s="20">
        <v>46029</v>
      </c>
      <c r="B626" s="7">
        <v>460692</v>
      </c>
      <c r="C626" s="7" t="s">
        <v>173</v>
      </c>
      <c r="D626" s="7" t="s">
        <v>293</v>
      </c>
      <c r="E626" s="7" t="s">
        <v>231</v>
      </c>
      <c r="F626" s="7" t="s">
        <v>231</v>
      </c>
      <c r="G626" s="7"/>
      <c r="H626" s="19">
        <v>10</v>
      </c>
      <c r="I626" s="7">
        <f t="shared" si="58"/>
        <v>0</v>
      </c>
      <c r="J626" s="7">
        <f>IFERROR(VLOOKUP(D626,Event_Master!B:E,4,FALSE),1)</f>
        <v>1</v>
      </c>
      <c r="K626" s="7">
        <f t="shared" si="59"/>
        <v>0</v>
      </c>
      <c r="L626" s="19">
        <f t="shared" si="60"/>
        <v>10</v>
      </c>
    </row>
    <row r="627" spans="1:12">
      <c r="A627" s="20">
        <v>46029</v>
      </c>
      <c r="B627" s="7">
        <v>460812</v>
      </c>
      <c r="C627" s="7" t="s">
        <v>166</v>
      </c>
      <c r="D627" s="7" t="s">
        <v>293</v>
      </c>
      <c r="E627" s="7" t="s">
        <v>231</v>
      </c>
      <c r="F627" s="7" t="s">
        <v>231</v>
      </c>
      <c r="G627" s="7"/>
      <c r="H627" s="19">
        <v>10</v>
      </c>
      <c r="I627" s="7">
        <f t="shared" si="58"/>
        <v>0</v>
      </c>
      <c r="J627" s="7">
        <f>IFERROR(VLOOKUP(D627,Event_Master!B:E,4,FALSE),1)</f>
        <v>1</v>
      </c>
      <c r="K627" s="7">
        <f t="shared" si="59"/>
        <v>0</v>
      </c>
      <c r="L627" s="19">
        <f t="shared" si="60"/>
        <v>10</v>
      </c>
    </row>
    <row r="628" spans="1:12">
      <c r="A628" s="20">
        <v>46029</v>
      </c>
      <c r="B628" s="7">
        <v>464188</v>
      </c>
      <c r="C628" s="7" t="s">
        <v>59</v>
      </c>
      <c r="D628" s="7" t="s">
        <v>293</v>
      </c>
      <c r="E628" s="7" t="s">
        <v>231</v>
      </c>
      <c r="F628" s="7" t="s">
        <v>231</v>
      </c>
      <c r="G628" s="7"/>
      <c r="H628" s="19">
        <v>10</v>
      </c>
      <c r="I628" s="7">
        <f t="shared" si="58"/>
        <v>0</v>
      </c>
      <c r="J628" s="7">
        <f>IFERROR(VLOOKUP(D628,Event_Master!B:E,4,FALSE),1)</f>
        <v>1</v>
      </c>
      <c r="K628" s="7">
        <f t="shared" si="59"/>
        <v>0</v>
      </c>
      <c r="L628" s="19">
        <f t="shared" si="60"/>
        <v>10</v>
      </c>
    </row>
    <row r="629" spans="1:12">
      <c r="A629" s="20">
        <v>46029</v>
      </c>
      <c r="B629" s="7">
        <v>464500</v>
      </c>
      <c r="C629" s="7" t="s">
        <v>165</v>
      </c>
      <c r="D629" s="7" t="s">
        <v>293</v>
      </c>
      <c r="E629" s="7" t="s">
        <v>231</v>
      </c>
      <c r="F629" s="7" t="s">
        <v>231</v>
      </c>
      <c r="G629" s="7"/>
      <c r="H629" s="19">
        <v>10</v>
      </c>
      <c r="I629" s="7">
        <f t="shared" si="58"/>
        <v>0</v>
      </c>
      <c r="J629" s="7">
        <f>IFERROR(VLOOKUP(D629,Event_Master!B:E,4,FALSE),1)</f>
        <v>1</v>
      </c>
      <c r="K629" s="7">
        <f t="shared" si="59"/>
        <v>0</v>
      </c>
      <c r="L629" s="19">
        <f t="shared" si="60"/>
        <v>10</v>
      </c>
    </row>
    <row r="630" spans="1:12">
      <c r="A630" s="20">
        <v>46029</v>
      </c>
      <c r="B630" s="7">
        <v>465254</v>
      </c>
      <c r="C630" s="7" t="s">
        <v>174</v>
      </c>
      <c r="D630" s="7" t="s">
        <v>293</v>
      </c>
      <c r="E630" s="7" t="s">
        <v>231</v>
      </c>
      <c r="F630" s="7" t="s">
        <v>231</v>
      </c>
      <c r="G630" s="7"/>
      <c r="H630" s="19">
        <v>10</v>
      </c>
      <c r="I630" s="7">
        <f t="shared" si="58"/>
        <v>0</v>
      </c>
      <c r="J630" s="7">
        <f>IFERROR(VLOOKUP(D630,Event_Master!B:E,4,FALSE),1)</f>
        <v>1</v>
      </c>
      <c r="K630" s="7">
        <f t="shared" si="59"/>
        <v>0</v>
      </c>
      <c r="L630" s="19">
        <f t="shared" si="60"/>
        <v>10</v>
      </c>
    </row>
    <row r="631" spans="1:12">
      <c r="A631" s="20">
        <v>46029</v>
      </c>
      <c r="B631" s="7">
        <v>468536</v>
      </c>
      <c r="C631" s="7" t="s">
        <v>44</v>
      </c>
      <c r="D631" s="7" t="s">
        <v>293</v>
      </c>
      <c r="E631" s="7" t="s">
        <v>231</v>
      </c>
      <c r="F631" s="7" t="s">
        <v>231</v>
      </c>
      <c r="G631" s="7"/>
      <c r="H631" s="19">
        <v>10</v>
      </c>
      <c r="I631" s="7">
        <f t="shared" si="58"/>
        <v>0</v>
      </c>
      <c r="J631" s="7">
        <f>IFERROR(VLOOKUP(D631,Event_Master!B:E,4,FALSE),1)</f>
        <v>1</v>
      </c>
      <c r="K631" s="7">
        <f t="shared" si="59"/>
        <v>0</v>
      </c>
      <c r="L631" s="19">
        <f t="shared" si="60"/>
        <v>10</v>
      </c>
    </row>
    <row r="632" spans="1:12">
      <c r="A632" s="20">
        <v>46029</v>
      </c>
      <c r="B632" s="7">
        <v>474194</v>
      </c>
      <c r="C632" s="7" t="s">
        <v>70</v>
      </c>
      <c r="D632" s="7" t="s">
        <v>293</v>
      </c>
      <c r="E632" s="7" t="s">
        <v>231</v>
      </c>
      <c r="F632" s="7" t="s">
        <v>231</v>
      </c>
      <c r="G632" s="7"/>
      <c r="H632" s="19">
        <v>10</v>
      </c>
      <c r="I632" s="7">
        <f t="shared" si="58"/>
        <v>0</v>
      </c>
      <c r="J632" s="7">
        <f>IFERROR(VLOOKUP(D632,Event_Master!B:E,4,FALSE),1)</f>
        <v>1</v>
      </c>
      <c r="K632" s="7">
        <f t="shared" si="59"/>
        <v>0</v>
      </c>
      <c r="L632" s="19">
        <f t="shared" si="60"/>
        <v>10</v>
      </c>
    </row>
    <row r="633" spans="1:12">
      <c r="A633" s="20">
        <v>46029</v>
      </c>
      <c r="B633" s="7">
        <v>476372</v>
      </c>
      <c r="C633" s="7" t="s">
        <v>26</v>
      </c>
      <c r="D633" s="7" t="s">
        <v>293</v>
      </c>
      <c r="E633" s="7" t="s">
        <v>231</v>
      </c>
      <c r="F633" s="7" t="s">
        <v>231</v>
      </c>
      <c r="G633" s="7"/>
      <c r="H633" s="19">
        <v>10</v>
      </c>
      <c r="I633" s="7">
        <f t="shared" si="58"/>
        <v>0</v>
      </c>
      <c r="J633" s="7">
        <f>IFERROR(VLOOKUP(D633,Event_Master!B:E,4,FALSE),1)</f>
        <v>1</v>
      </c>
      <c r="K633" s="7">
        <f t="shared" si="59"/>
        <v>0</v>
      </c>
      <c r="L633" s="19">
        <f t="shared" si="60"/>
        <v>10</v>
      </c>
    </row>
    <row r="634" spans="1:12">
      <c r="A634" s="20">
        <v>46029</v>
      </c>
      <c r="B634" s="7">
        <v>484877</v>
      </c>
      <c r="C634" s="7" t="s">
        <v>107</v>
      </c>
      <c r="D634" s="7" t="s">
        <v>293</v>
      </c>
      <c r="E634" s="7" t="s">
        <v>231</v>
      </c>
      <c r="F634" s="7" t="s">
        <v>231</v>
      </c>
      <c r="G634" s="7"/>
      <c r="H634" s="19">
        <v>10</v>
      </c>
      <c r="I634" s="7">
        <f t="shared" si="58"/>
        <v>0</v>
      </c>
      <c r="J634" s="7">
        <f>IFERROR(VLOOKUP(D634,Event_Master!B:E,4,FALSE),1)</f>
        <v>1</v>
      </c>
      <c r="K634" s="7">
        <f t="shared" si="59"/>
        <v>0</v>
      </c>
      <c r="L634" s="19">
        <f t="shared" si="60"/>
        <v>10</v>
      </c>
    </row>
    <row r="635" spans="1:12">
      <c r="A635" s="20">
        <v>46029</v>
      </c>
      <c r="B635" s="7">
        <v>486309</v>
      </c>
      <c r="C635" s="7" t="s">
        <v>87</v>
      </c>
      <c r="D635" s="7" t="s">
        <v>293</v>
      </c>
      <c r="E635" s="7" t="s">
        <v>231</v>
      </c>
      <c r="F635" s="7" t="s">
        <v>231</v>
      </c>
      <c r="G635" s="7"/>
      <c r="H635" s="19">
        <v>10</v>
      </c>
      <c r="I635" s="7">
        <f t="shared" si="58"/>
        <v>0</v>
      </c>
      <c r="J635" s="7">
        <f>IFERROR(VLOOKUP(D635,Event_Master!B:E,4,FALSE),1)</f>
        <v>1</v>
      </c>
      <c r="K635" s="7">
        <f t="shared" si="59"/>
        <v>0</v>
      </c>
      <c r="L635" s="19">
        <f t="shared" si="60"/>
        <v>10</v>
      </c>
    </row>
    <row r="636" spans="1:12">
      <c r="A636" s="20">
        <v>46029</v>
      </c>
      <c r="B636" s="7">
        <v>700216</v>
      </c>
      <c r="C636" s="7" t="s">
        <v>147</v>
      </c>
      <c r="D636" s="7" t="s">
        <v>293</v>
      </c>
      <c r="E636" s="7" t="s">
        <v>231</v>
      </c>
      <c r="F636" s="7" t="s">
        <v>231</v>
      </c>
      <c r="G636" s="7"/>
      <c r="H636" s="19">
        <v>10</v>
      </c>
      <c r="I636" s="7">
        <f t="shared" si="58"/>
        <v>0</v>
      </c>
      <c r="J636" s="7">
        <f>IFERROR(VLOOKUP(D636,Event_Master!B:E,4,FALSE),1)</f>
        <v>1</v>
      </c>
      <c r="K636" s="7">
        <f t="shared" si="59"/>
        <v>0</v>
      </c>
      <c r="L636" s="19">
        <f t="shared" si="60"/>
        <v>10</v>
      </c>
    </row>
    <row r="637" spans="1:12">
      <c r="A637" s="20">
        <v>46029</v>
      </c>
      <c r="B637" s="7">
        <v>707131</v>
      </c>
      <c r="C637" s="7" t="s">
        <v>67</v>
      </c>
      <c r="D637" s="7" t="s">
        <v>293</v>
      </c>
      <c r="E637" s="7" t="s">
        <v>231</v>
      </c>
      <c r="F637" s="7" t="s">
        <v>231</v>
      </c>
      <c r="G637" s="7"/>
      <c r="H637" s="19">
        <v>10</v>
      </c>
      <c r="I637" s="7">
        <f t="shared" si="58"/>
        <v>0</v>
      </c>
      <c r="J637" s="7">
        <f>IFERROR(VLOOKUP(D637,Event_Master!B:E,4,FALSE),1)</f>
        <v>1</v>
      </c>
      <c r="K637" s="7">
        <f t="shared" si="59"/>
        <v>0</v>
      </c>
      <c r="L637" s="19">
        <f t="shared" si="60"/>
        <v>10</v>
      </c>
    </row>
    <row r="638" spans="1:12">
      <c r="A638" s="20">
        <v>46029</v>
      </c>
      <c r="B638" s="7">
        <v>720995</v>
      </c>
      <c r="C638" s="7" t="s">
        <v>115</v>
      </c>
      <c r="D638" s="7" t="s">
        <v>293</v>
      </c>
      <c r="E638" s="7" t="s">
        <v>231</v>
      </c>
      <c r="F638" s="7" t="s">
        <v>231</v>
      </c>
      <c r="G638" s="7"/>
      <c r="H638" s="19">
        <v>10</v>
      </c>
      <c r="I638" s="7">
        <f t="shared" si="58"/>
        <v>0</v>
      </c>
      <c r="J638" s="7">
        <f>IFERROR(VLOOKUP(D638,Event_Master!B:E,4,FALSE),1)</f>
        <v>1</v>
      </c>
      <c r="K638" s="7">
        <f t="shared" si="59"/>
        <v>0</v>
      </c>
      <c r="L638" s="19">
        <f t="shared" si="60"/>
        <v>10</v>
      </c>
    </row>
    <row r="639" spans="1:12">
      <c r="A639" s="20">
        <v>46029</v>
      </c>
      <c r="B639" s="7">
        <v>725373</v>
      </c>
      <c r="C639" s="7" t="s">
        <v>157</v>
      </c>
      <c r="D639" s="7" t="s">
        <v>293</v>
      </c>
      <c r="E639" s="7" t="s">
        <v>231</v>
      </c>
      <c r="F639" s="7" t="s">
        <v>231</v>
      </c>
      <c r="G639" s="7"/>
      <c r="H639" s="19">
        <v>10</v>
      </c>
      <c r="I639" s="7">
        <f t="shared" si="58"/>
        <v>0</v>
      </c>
      <c r="J639" s="7">
        <f>IFERROR(VLOOKUP(D639,Event_Master!B:E,4,FALSE),1)</f>
        <v>1</v>
      </c>
      <c r="K639" s="7">
        <f t="shared" si="59"/>
        <v>0</v>
      </c>
      <c r="L639" s="19">
        <f t="shared" si="60"/>
        <v>10</v>
      </c>
    </row>
    <row r="640" spans="1:12">
      <c r="A640" s="20">
        <v>46029</v>
      </c>
      <c r="B640" s="6">
        <v>452073</v>
      </c>
      <c r="C640" s="7" t="s">
        <v>120</v>
      </c>
      <c r="D640" s="7" t="s">
        <v>293</v>
      </c>
      <c r="E640" s="7" t="s">
        <v>231</v>
      </c>
      <c r="F640" s="7" t="s">
        <v>231</v>
      </c>
      <c r="G640" s="7"/>
      <c r="H640" s="19">
        <v>10</v>
      </c>
      <c r="I640" s="7">
        <f t="shared" si="58"/>
        <v>0</v>
      </c>
      <c r="J640" s="7">
        <f>IFERROR(VLOOKUP(D640,Event_Master!B:E,4,FALSE),1)</f>
        <v>1</v>
      </c>
      <c r="K640" s="7">
        <f t="shared" si="59"/>
        <v>0</v>
      </c>
      <c r="L640" s="19">
        <f t="shared" si="60"/>
        <v>10</v>
      </c>
    </row>
    <row r="641" spans="1:12">
      <c r="A641" s="20">
        <v>46029</v>
      </c>
      <c r="B641" s="6">
        <v>478308</v>
      </c>
      <c r="C641" s="7" t="s">
        <v>48</v>
      </c>
      <c r="D641" s="7" t="s">
        <v>293</v>
      </c>
      <c r="E641" s="7" t="s">
        <v>231</v>
      </c>
      <c r="F641" s="7" t="s">
        <v>231</v>
      </c>
      <c r="G641" s="7"/>
      <c r="H641" s="19">
        <v>10</v>
      </c>
      <c r="I641" s="7">
        <f t="shared" si="58"/>
        <v>0</v>
      </c>
      <c r="J641" s="7">
        <f>IFERROR(VLOOKUP(D641,Event_Master!B:E,4,FALSE),1)</f>
        <v>1</v>
      </c>
      <c r="K641" s="7">
        <f t="shared" si="59"/>
        <v>0</v>
      </c>
      <c r="L641" s="19">
        <f t="shared" si="60"/>
        <v>10</v>
      </c>
    </row>
    <row r="642" spans="1:12">
      <c r="A642" s="20">
        <v>46029</v>
      </c>
      <c r="B642" s="6">
        <v>478266</v>
      </c>
      <c r="C642" s="7" t="s">
        <v>160</v>
      </c>
      <c r="D642" s="7" t="s">
        <v>293</v>
      </c>
      <c r="E642" s="7" t="s">
        <v>231</v>
      </c>
      <c r="F642" s="7" t="s">
        <v>231</v>
      </c>
      <c r="G642" s="7"/>
      <c r="H642" s="19">
        <v>10</v>
      </c>
      <c r="I642" s="7">
        <f t="shared" si="58"/>
        <v>0</v>
      </c>
      <c r="J642" s="7">
        <f>IFERROR(VLOOKUP(D642,Event_Master!B:E,4,FALSE),1)</f>
        <v>1</v>
      </c>
      <c r="K642" s="7">
        <f t="shared" si="59"/>
        <v>0</v>
      </c>
      <c r="L642" s="19">
        <f t="shared" si="60"/>
        <v>10</v>
      </c>
    </row>
    <row r="643" spans="1:12">
      <c r="A643" s="20">
        <v>46029</v>
      </c>
      <c r="B643" s="23">
        <v>449890</v>
      </c>
      <c r="C643" s="7" t="s">
        <v>90</v>
      </c>
      <c r="D643" s="7" t="s">
        <v>293</v>
      </c>
      <c r="E643" s="7" t="s">
        <v>231</v>
      </c>
      <c r="F643" s="7" t="s">
        <v>231</v>
      </c>
      <c r="G643" s="7"/>
      <c r="H643" s="19">
        <v>10</v>
      </c>
      <c r="I643" s="7">
        <f t="shared" si="58"/>
        <v>0</v>
      </c>
      <c r="J643" s="7">
        <f>IFERROR(VLOOKUP(D643,Event_Master!B:E,4,FALSE),1)</f>
        <v>1</v>
      </c>
      <c r="K643" s="7">
        <f t="shared" si="59"/>
        <v>0</v>
      </c>
      <c r="L643" s="19">
        <f t="shared" si="60"/>
        <v>10</v>
      </c>
    </row>
    <row r="644" spans="1:12">
      <c r="A644" s="20">
        <v>46029</v>
      </c>
      <c r="B644" s="6">
        <v>420533</v>
      </c>
      <c r="C644" s="7" t="s">
        <v>131</v>
      </c>
      <c r="D644" s="7" t="s">
        <v>293</v>
      </c>
      <c r="E644" s="7" t="s">
        <v>231</v>
      </c>
      <c r="F644" s="7" t="s">
        <v>231</v>
      </c>
      <c r="G644" s="7"/>
      <c r="H644" s="19">
        <v>10</v>
      </c>
      <c r="I644" s="7">
        <f t="shared" si="58"/>
        <v>0</v>
      </c>
      <c r="J644" s="7">
        <f>IFERROR(VLOOKUP(D644,Event_Master!B:E,4,FALSE),1)</f>
        <v>1</v>
      </c>
      <c r="K644" s="7">
        <f t="shared" si="59"/>
        <v>0</v>
      </c>
      <c r="L644" s="19">
        <f t="shared" si="60"/>
        <v>10</v>
      </c>
    </row>
    <row r="645" spans="1:12">
      <c r="A645" s="20">
        <v>46029</v>
      </c>
      <c r="B645" s="6">
        <v>478270</v>
      </c>
      <c r="C645" s="7" t="s">
        <v>22</v>
      </c>
      <c r="D645" s="7" t="s">
        <v>293</v>
      </c>
      <c r="E645" s="7" t="s">
        <v>231</v>
      </c>
      <c r="F645" s="7" t="s">
        <v>231</v>
      </c>
      <c r="G645" s="7"/>
      <c r="H645" s="19">
        <v>10</v>
      </c>
      <c r="I645" s="7">
        <f t="shared" si="58"/>
        <v>0</v>
      </c>
      <c r="J645" s="7">
        <f>IFERROR(VLOOKUP(D645,Event_Master!B:E,4,FALSE),1)</f>
        <v>1</v>
      </c>
      <c r="K645" s="7">
        <f t="shared" si="59"/>
        <v>0</v>
      </c>
      <c r="L645" s="19">
        <f t="shared" si="60"/>
        <v>10</v>
      </c>
    </row>
    <row r="646" spans="1:12">
      <c r="A646" s="20">
        <v>46029</v>
      </c>
      <c r="B646" s="6">
        <v>722393</v>
      </c>
      <c r="C646" s="7" t="s">
        <v>156</v>
      </c>
      <c r="D646" s="7" t="s">
        <v>293</v>
      </c>
      <c r="E646" s="7" t="s">
        <v>231</v>
      </c>
      <c r="F646" s="7" t="s">
        <v>231</v>
      </c>
      <c r="G646" s="7"/>
      <c r="H646" s="19">
        <v>10</v>
      </c>
      <c r="I646" s="7">
        <f t="shared" si="58"/>
        <v>0</v>
      </c>
      <c r="J646" s="7">
        <f>IFERROR(VLOOKUP(D646,Event_Master!B:E,4,FALSE),1)</f>
        <v>1</v>
      </c>
      <c r="K646" s="7">
        <f t="shared" si="59"/>
        <v>0</v>
      </c>
      <c r="L646" s="19">
        <f t="shared" si="60"/>
        <v>10</v>
      </c>
    </row>
    <row r="647" spans="1:12">
      <c r="A647" s="20">
        <v>46029</v>
      </c>
      <c r="B647" s="6">
        <v>434518</v>
      </c>
      <c r="C647" s="7" t="s">
        <v>137</v>
      </c>
      <c r="D647" s="7" t="s">
        <v>293</v>
      </c>
      <c r="E647" s="7" t="s">
        <v>231</v>
      </c>
      <c r="F647" s="7" t="s">
        <v>231</v>
      </c>
      <c r="G647" s="7"/>
      <c r="H647" s="19">
        <v>10</v>
      </c>
      <c r="I647" s="7">
        <f t="shared" si="58"/>
        <v>0</v>
      </c>
      <c r="J647" s="7">
        <f>IFERROR(VLOOKUP(D647,Event_Master!B:E,4,FALSE),1)</f>
        <v>1</v>
      </c>
      <c r="K647" s="7">
        <f t="shared" si="59"/>
        <v>0</v>
      </c>
      <c r="L647" s="19">
        <f t="shared" si="60"/>
        <v>10</v>
      </c>
    </row>
    <row r="648" spans="1:12">
      <c r="A648" s="20">
        <v>46029</v>
      </c>
      <c r="B648" s="6">
        <v>450030</v>
      </c>
      <c r="C648" s="7" t="s">
        <v>102</v>
      </c>
      <c r="D648" s="7" t="s">
        <v>293</v>
      </c>
      <c r="E648" s="7" t="s">
        <v>231</v>
      </c>
      <c r="F648" s="7" t="s">
        <v>231</v>
      </c>
      <c r="G648" s="7"/>
      <c r="H648" s="19">
        <v>10</v>
      </c>
      <c r="I648" s="7">
        <f t="shared" si="58"/>
        <v>0</v>
      </c>
      <c r="J648" s="7">
        <f>IFERROR(VLOOKUP(D648,Event_Master!B:E,4,FALSE),1)</f>
        <v>1</v>
      </c>
      <c r="K648" s="7">
        <f t="shared" si="59"/>
        <v>0</v>
      </c>
      <c r="L648" s="19">
        <f t="shared" si="60"/>
        <v>10</v>
      </c>
    </row>
    <row r="649" spans="1:12">
      <c r="A649" s="20">
        <v>46029</v>
      </c>
      <c r="B649" s="6">
        <v>487107</v>
      </c>
      <c r="C649" s="7" t="s">
        <v>155</v>
      </c>
      <c r="D649" s="7" t="s">
        <v>293</v>
      </c>
      <c r="E649" s="7" t="s">
        <v>231</v>
      </c>
      <c r="F649" s="7" t="s">
        <v>231</v>
      </c>
      <c r="G649" s="7"/>
      <c r="H649" s="19">
        <v>10</v>
      </c>
      <c r="I649" s="7">
        <f t="shared" si="58"/>
        <v>0</v>
      </c>
      <c r="J649" s="7">
        <f>IFERROR(VLOOKUP(D649,Event_Master!B:E,4,FALSE),1)</f>
        <v>1</v>
      </c>
      <c r="K649" s="7">
        <f t="shared" si="59"/>
        <v>0</v>
      </c>
      <c r="L649" s="19">
        <f t="shared" si="60"/>
        <v>10</v>
      </c>
    </row>
    <row r="650" spans="1:12">
      <c r="A650" s="20">
        <v>46029</v>
      </c>
      <c r="B650" s="6">
        <v>452056</v>
      </c>
      <c r="C650" s="7" t="s">
        <v>110</v>
      </c>
      <c r="D650" s="7" t="s">
        <v>293</v>
      </c>
      <c r="E650" s="7" t="s">
        <v>231</v>
      </c>
      <c r="F650" s="7" t="s">
        <v>231</v>
      </c>
      <c r="G650" s="7"/>
      <c r="H650" s="19">
        <v>10</v>
      </c>
      <c r="I650" s="7">
        <f t="shared" si="58"/>
        <v>0</v>
      </c>
      <c r="J650" s="7">
        <f>IFERROR(VLOOKUP(D650,Event_Master!B:E,4,FALSE),1)</f>
        <v>1</v>
      </c>
      <c r="K650" s="7">
        <f t="shared" si="59"/>
        <v>0</v>
      </c>
      <c r="L650" s="19">
        <f t="shared" si="60"/>
        <v>10</v>
      </c>
    </row>
    <row r="651" spans="1:12">
      <c r="A651" s="20">
        <v>46029</v>
      </c>
      <c r="B651" s="6">
        <v>708792</v>
      </c>
      <c r="C651" s="7" t="s">
        <v>75</v>
      </c>
      <c r="D651" s="7" t="s">
        <v>293</v>
      </c>
      <c r="E651" s="7" t="s">
        <v>231</v>
      </c>
      <c r="F651" s="7" t="s">
        <v>231</v>
      </c>
      <c r="G651" s="7"/>
      <c r="H651" s="19">
        <v>10</v>
      </c>
      <c r="I651" s="7">
        <f t="shared" si="58"/>
        <v>0</v>
      </c>
      <c r="J651" s="7">
        <f>IFERROR(VLOOKUP(D651,Event_Master!B:E,4,FALSE),1)</f>
        <v>1</v>
      </c>
      <c r="K651" s="7">
        <f t="shared" si="59"/>
        <v>0</v>
      </c>
      <c r="L651" s="19">
        <f t="shared" si="60"/>
        <v>10</v>
      </c>
    </row>
    <row r="652" spans="1:12">
      <c r="A652" s="20">
        <v>46029</v>
      </c>
      <c r="B652" s="6">
        <v>450437</v>
      </c>
      <c r="C652" s="7" t="s">
        <v>150</v>
      </c>
      <c r="D652" s="7" t="s">
        <v>293</v>
      </c>
      <c r="E652" s="7" t="s">
        <v>231</v>
      </c>
      <c r="F652" s="7" t="s">
        <v>231</v>
      </c>
      <c r="G652" s="7" t="s">
        <v>219</v>
      </c>
      <c r="H652" s="19">
        <v>10</v>
      </c>
      <c r="I652" s="7">
        <f t="shared" si="58"/>
        <v>50</v>
      </c>
      <c r="J652" s="7">
        <f>IFERROR(VLOOKUP(D652,Event_Master!B:E,4,FALSE),1)</f>
        <v>1</v>
      </c>
      <c r="K652" s="7">
        <f t="shared" si="59"/>
        <v>50</v>
      </c>
      <c r="L652" s="19">
        <f t="shared" si="60"/>
        <v>60</v>
      </c>
    </row>
    <row r="653" spans="1:12">
      <c r="A653" s="20">
        <v>46029</v>
      </c>
      <c r="B653" s="6">
        <v>426232</v>
      </c>
      <c r="C653" s="7" t="s">
        <v>118</v>
      </c>
      <c r="D653" s="7" t="s">
        <v>293</v>
      </c>
      <c r="E653" s="7" t="s">
        <v>231</v>
      </c>
      <c r="F653" s="7" t="s">
        <v>231</v>
      </c>
      <c r="G653" s="7"/>
      <c r="H653" s="19">
        <v>10</v>
      </c>
      <c r="I653" s="7">
        <f t="shared" si="58"/>
        <v>0</v>
      </c>
      <c r="J653" s="7">
        <f>IFERROR(VLOOKUP(D653,Event_Master!B:E,4,FALSE),1)</f>
        <v>1</v>
      </c>
      <c r="K653" s="7">
        <f t="shared" si="59"/>
        <v>0</v>
      </c>
      <c r="L653" s="19">
        <f t="shared" si="60"/>
        <v>10</v>
      </c>
    </row>
    <row r="654" spans="1:12">
      <c r="A654" s="20">
        <v>46029</v>
      </c>
      <c r="B654" s="6">
        <v>458702</v>
      </c>
      <c r="C654" s="7" t="s">
        <v>132</v>
      </c>
      <c r="D654" s="7" t="s">
        <v>293</v>
      </c>
      <c r="E654" s="7" t="s">
        <v>231</v>
      </c>
      <c r="F654" s="7" t="s">
        <v>231</v>
      </c>
      <c r="G654" s="7"/>
      <c r="H654" s="19">
        <v>10</v>
      </c>
      <c r="I654" s="7">
        <f t="shared" si="58"/>
        <v>0</v>
      </c>
      <c r="J654" s="7">
        <f>IFERROR(VLOOKUP(D654,Event_Master!B:E,4,FALSE),1)</f>
        <v>1</v>
      </c>
      <c r="K654" s="7">
        <f t="shared" si="59"/>
        <v>0</v>
      </c>
      <c r="L654" s="19">
        <f t="shared" si="60"/>
        <v>10</v>
      </c>
    </row>
    <row r="655" spans="1:12">
      <c r="A655" s="20">
        <v>46029</v>
      </c>
      <c r="B655" s="6">
        <v>440620</v>
      </c>
      <c r="C655" s="7" t="s">
        <v>25</v>
      </c>
      <c r="D655" s="7" t="s">
        <v>293</v>
      </c>
      <c r="E655" s="7" t="s">
        <v>231</v>
      </c>
      <c r="F655" s="7" t="s">
        <v>231</v>
      </c>
      <c r="G655" s="7"/>
      <c r="H655" s="19">
        <v>10</v>
      </c>
      <c r="I655" s="7">
        <f t="shared" si="58"/>
        <v>0</v>
      </c>
      <c r="J655" s="7">
        <f>IFERROR(VLOOKUP(D655,Event_Master!B:E,4,FALSE),1)</f>
        <v>1</v>
      </c>
      <c r="K655" s="7">
        <f t="shared" si="59"/>
        <v>0</v>
      </c>
      <c r="L655" s="19">
        <f t="shared" si="60"/>
        <v>10</v>
      </c>
    </row>
    <row r="656" spans="1:12">
      <c r="A656" s="20">
        <v>46029</v>
      </c>
      <c r="B656" s="6">
        <v>712428</v>
      </c>
      <c r="C656" s="7" t="s">
        <v>50</v>
      </c>
      <c r="D656" s="7" t="s">
        <v>293</v>
      </c>
      <c r="E656" s="7" t="s">
        <v>231</v>
      </c>
      <c r="F656" s="7" t="s">
        <v>231</v>
      </c>
      <c r="G656" s="7"/>
      <c r="H656" s="19">
        <v>10</v>
      </c>
      <c r="I656" s="7">
        <f t="shared" si="58"/>
        <v>0</v>
      </c>
      <c r="J656" s="7">
        <f>IFERROR(VLOOKUP(D656,Event_Master!B:E,4,FALSE),1)</f>
        <v>1</v>
      </c>
      <c r="K656" s="7">
        <f t="shared" si="59"/>
        <v>0</v>
      </c>
      <c r="L656" s="19">
        <f t="shared" si="60"/>
        <v>10</v>
      </c>
    </row>
    <row r="657" spans="1:12">
      <c r="A657" s="20">
        <v>46029</v>
      </c>
      <c r="B657" s="6">
        <v>438679</v>
      </c>
      <c r="C657" s="7" t="s">
        <v>146</v>
      </c>
      <c r="D657" s="7" t="s">
        <v>293</v>
      </c>
      <c r="E657" s="7" t="s">
        <v>231</v>
      </c>
      <c r="F657" s="7" t="s">
        <v>231</v>
      </c>
      <c r="G657" s="7"/>
      <c r="H657" s="19">
        <v>10</v>
      </c>
      <c r="I657" s="7">
        <f t="shared" si="58"/>
        <v>0</v>
      </c>
      <c r="J657" s="7">
        <f>IFERROR(VLOOKUP(D657,Event_Master!B:E,4,FALSE),1)</f>
        <v>1</v>
      </c>
      <c r="K657" s="7">
        <f t="shared" si="59"/>
        <v>0</v>
      </c>
      <c r="L657" s="19">
        <f t="shared" si="60"/>
        <v>10</v>
      </c>
    </row>
    <row r="658" spans="1:12">
      <c r="A658" s="20">
        <v>46029</v>
      </c>
      <c r="B658" s="6">
        <v>722183</v>
      </c>
      <c r="C658" s="7" t="s">
        <v>94</v>
      </c>
      <c r="D658" s="7" t="s">
        <v>293</v>
      </c>
      <c r="E658" s="7" t="s">
        <v>231</v>
      </c>
      <c r="F658" s="7" t="s">
        <v>231</v>
      </c>
      <c r="G658" s="7" t="s">
        <v>219</v>
      </c>
      <c r="H658" s="19">
        <v>10</v>
      </c>
      <c r="I658" s="7">
        <f t="shared" si="58"/>
        <v>50</v>
      </c>
      <c r="J658" s="7">
        <f>IFERROR(VLOOKUP(D658,Event_Master!B:E,4,FALSE),1)</f>
        <v>1</v>
      </c>
      <c r="K658" s="7">
        <f t="shared" si="59"/>
        <v>50</v>
      </c>
      <c r="L658" s="19">
        <f t="shared" si="60"/>
        <v>60</v>
      </c>
    </row>
    <row r="659" spans="1:12">
      <c r="A659" s="20">
        <v>46029</v>
      </c>
      <c r="B659" s="6">
        <v>365114</v>
      </c>
      <c r="C659" s="7" t="str">
        <f>VLOOKUP(B659,Employee_Master!A:B,2,)</f>
        <v>Bhanu Sirohi</v>
      </c>
      <c r="D659" s="7" t="s">
        <v>206</v>
      </c>
      <c r="E659" s="7" t="s">
        <v>231</v>
      </c>
      <c r="F659" s="7" t="s">
        <v>231</v>
      </c>
      <c r="G659" s="7"/>
      <c r="H659" s="19">
        <v>62.820999999999998</v>
      </c>
      <c r="I659" s="7">
        <f t="shared" ref="I659:I722" si="61">IF(G659="Winner",100,IF(G659="Runner-up",70,IF(G659="2nd Runner-up",50,IF(G659="Semi",30,IF(G659="Quarter",20,0)))))</f>
        <v>0</v>
      </c>
      <c r="J659" s="7">
        <f>IFERROR(VLOOKUP(D659,Event_Master!B:E,4,FALSE),1)</f>
        <v>1</v>
      </c>
      <c r="K659" s="7">
        <f t="shared" ref="K659:K722" si="62">(I659*J659)</f>
        <v>0</v>
      </c>
      <c r="L659" s="19">
        <f t="shared" ref="L659:L722" si="63">K659+H659</f>
        <v>62.820999999999998</v>
      </c>
    </row>
    <row r="660" spans="1:12">
      <c r="A660" s="20">
        <v>46029</v>
      </c>
      <c r="B660" s="6">
        <v>396485</v>
      </c>
      <c r="C660" s="7" t="str">
        <f>VLOOKUP(B660,Employee_Master!A:B,2,)</f>
        <v>Khushbir Singh</v>
      </c>
      <c r="D660" s="7" t="s">
        <v>206</v>
      </c>
      <c r="E660" s="7" t="s">
        <v>231</v>
      </c>
      <c r="F660" s="7" t="s">
        <v>231</v>
      </c>
      <c r="G660" s="7"/>
      <c r="H660" s="19">
        <v>49.595100000000002</v>
      </c>
      <c r="I660" s="7">
        <f t="shared" si="61"/>
        <v>0</v>
      </c>
      <c r="J660" s="7">
        <f>IFERROR(VLOOKUP(D660,Event_Master!B:E,4,FALSE),1)</f>
        <v>1</v>
      </c>
      <c r="K660" s="7">
        <f t="shared" si="62"/>
        <v>0</v>
      </c>
      <c r="L660" s="19">
        <f t="shared" si="63"/>
        <v>49.595100000000002</v>
      </c>
    </row>
    <row r="661" spans="1:12">
      <c r="A661" s="20">
        <v>46029</v>
      </c>
      <c r="B661" s="6">
        <v>407302</v>
      </c>
      <c r="C661" s="7" t="str">
        <f>VLOOKUP(B661,Employee_Master!A:B,2,)</f>
        <v>Sanjaya Sahoo</v>
      </c>
      <c r="D661" s="7" t="s">
        <v>206</v>
      </c>
      <c r="E661" s="7" t="s">
        <v>231</v>
      </c>
      <c r="F661" s="7" t="s">
        <v>231</v>
      </c>
      <c r="G661" s="7"/>
      <c r="H661" s="19">
        <v>36.067700000000002</v>
      </c>
      <c r="I661" s="7">
        <f t="shared" si="61"/>
        <v>0</v>
      </c>
      <c r="J661" s="7">
        <f>IFERROR(VLOOKUP(D661,Event_Master!B:E,4,FALSE),1)</f>
        <v>1</v>
      </c>
      <c r="K661" s="7">
        <f t="shared" si="62"/>
        <v>0</v>
      </c>
      <c r="L661" s="19">
        <f t="shared" si="63"/>
        <v>36.067700000000002</v>
      </c>
    </row>
    <row r="662" spans="1:12">
      <c r="A662" s="20">
        <v>46029</v>
      </c>
      <c r="B662" s="6">
        <v>408627</v>
      </c>
      <c r="C662" s="7" t="str">
        <f>VLOOKUP(B662,Employee_Master!A:B,2,)</f>
        <v>Govind Rai</v>
      </c>
      <c r="D662" s="7" t="s">
        <v>206</v>
      </c>
      <c r="E662" s="7" t="s">
        <v>231</v>
      </c>
      <c r="F662" s="7" t="s">
        <v>231</v>
      </c>
      <c r="G662" s="7"/>
      <c r="H662" s="19">
        <v>25.245100000000001</v>
      </c>
      <c r="I662" s="7">
        <f t="shared" si="61"/>
        <v>0</v>
      </c>
      <c r="J662" s="7">
        <f>IFERROR(VLOOKUP(D662,Event_Master!B:E,4,FALSE),1)</f>
        <v>1</v>
      </c>
      <c r="K662" s="7">
        <f t="shared" si="62"/>
        <v>0</v>
      </c>
      <c r="L662" s="19">
        <f t="shared" si="63"/>
        <v>25.245100000000001</v>
      </c>
    </row>
    <row r="663" spans="1:12">
      <c r="A663" s="20">
        <v>46029</v>
      </c>
      <c r="B663" s="6">
        <v>412273</v>
      </c>
      <c r="C663" s="7" t="str">
        <f>VLOOKUP(B663,Employee_Master!A:B,2,)</f>
        <v>Sandeep Sengar</v>
      </c>
      <c r="D663" s="7" t="s">
        <v>206</v>
      </c>
      <c r="E663" s="7" t="s">
        <v>231</v>
      </c>
      <c r="F663" s="7" t="s">
        <v>231</v>
      </c>
      <c r="G663" s="7"/>
      <c r="H663" s="19">
        <v>9.7662999999999993</v>
      </c>
      <c r="I663" s="7">
        <f t="shared" si="61"/>
        <v>0</v>
      </c>
      <c r="J663" s="7">
        <f>IFERROR(VLOOKUP(D663,Event_Master!B:E,4,FALSE),1)</f>
        <v>1</v>
      </c>
      <c r="K663" s="7">
        <f t="shared" si="62"/>
        <v>0</v>
      </c>
      <c r="L663" s="19">
        <f t="shared" si="63"/>
        <v>9.7662999999999993</v>
      </c>
    </row>
    <row r="664" spans="1:12">
      <c r="A664" s="20">
        <v>46029</v>
      </c>
      <c r="B664" s="6">
        <v>420533</v>
      </c>
      <c r="C664" s="7" t="str">
        <f>VLOOKUP(B664,Employee_Master!A:B,2,)</f>
        <v>Gaurav Saxena</v>
      </c>
      <c r="D664" s="7" t="s">
        <v>206</v>
      </c>
      <c r="E664" s="7" t="s">
        <v>231</v>
      </c>
      <c r="F664" s="7" t="s">
        <v>231</v>
      </c>
      <c r="G664" s="7"/>
      <c r="H664" s="19">
        <v>20.558</v>
      </c>
      <c r="I664" s="7">
        <f t="shared" si="61"/>
        <v>0</v>
      </c>
      <c r="J664" s="7">
        <f>IFERROR(VLOOKUP(D664,Event_Master!B:E,4,FALSE),1)</f>
        <v>1</v>
      </c>
      <c r="K664" s="7">
        <f t="shared" si="62"/>
        <v>0</v>
      </c>
      <c r="L664" s="19">
        <f t="shared" si="63"/>
        <v>20.558</v>
      </c>
    </row>
    <row r="665" spans="1:12">
      <c r="A665" s="20">
        <v>46029</v>
      </c>
      <c r="B665" s="6">
        <v>427568</v>
      </c>
      <c r="C665" s="7" t="str">
        <f>VLOOKUP(B665,Employee_Master!A:B,2,)</f>
        <v>Anjali Sundrani</v>
      </c>
      <c r="D665" s="7" t="s">
        <v>206</v>
      </c>
      <c r="E665" s="7" t="s">
        <v>231</v>
      </c>
      <c r="F665" s="7" t="s">
        <v>231</v>
      </c>
      <c r="G665" s="7"/>
      <c r="H665" s="19">
        <v>22.8108</v>
      </c>
      <c r="I665" s="7">
        <f t="shared" si="61"/>
        <v>0</v>
      </c>
      <c r="J665" s="7">
        <f>IFERROR(VLOOKUP(D665,Event_Master!B:E,4,FALSE),1)</f>
        <v>1</v>
      </c>
      <c r="K665" s="7">
        <f t="shared" si="62"/>
        <v>0</v>
      </c>
      <c r="L665" s="19">
        <f t="shared" si="63"/>
        <v>22.8108</v>
      </c>
    </row>
    <row r="666" spans="1:12">
      <c r="A666" s="20">
        <v>46029</v>
      </c>
      <c r="B666" s="6">
        <v>428544</v>
      </c>
      <c r="C666" s="7" t="str">
        <f>VLOOKUP(B666,Employee_Master!A:B,2,)</f>
        <v>Harjot Singh</v>
      </c>
      <c r="D666" s="7" t="s">
        <v>206</v>
      </c>
      <c r="E666" s="7" t="s">
        <v>231</v>
      </c>
      <c r="F666" s="7" t="s">
        <v>231</v>
      </c>
      <c r="G666" s="7"/>
      <c r="H666" s="19">
        <v>44.092100000000002</v>
      </c>
      <c r="I666" s="7">
        <f t="shared" si="61"/>
        <v>0</v>
      </c>
      <c r="J666" s="7">
        <f>IFERROR(VLOOKUP(D666,Event_Master!B:E,4,FALSE),1)</f>
        <v>1</v>
      </c>
      <c r="K666" s="7">
        <f t="shared" si="62"/>
        <v>0</v>
      </c>
      <c r="L666" s="19">
        <f t="shared" si="63"/>
        <v>44.092100000000002</v>
      </c>
    </row>
    <row r="667" spans="1:12">
      <c r="A667" s="20">
        <v>46029</v>
      </c>
      <c r="B667" s="6">
        <v>434518</v>
      </c>
      <c r="C667" s="7" t="str">
        <f>VLOOKUP(B667,Employee_Master!A:B,2,)</f>
        <v>Maneesh Mohan</v>
      </c>
      <c r="D667" s="7" t="s">
        <v>206</v>
      </c>
      <c r="E667" s="7" t="s">
        <v>231</v>
      </c>
      <c r="F667" s="7" t="s">
        <v>231</v>
      </c>
      <c r="G667" s="7"/>
      <c r="H667" s="19">
        <v>21.3552</v>
      </c>
      <c r="I667" s="7">
        <f t="shared" si="61"/>
        <v>0</v>
      </c>
      <c r="J667" s="7">
        <f>IFERROR(VLOOKUP(D667,Event_Master!B:E,4,FALSE),1)</f>
        <v>1</v>
      </c>
      <c r="K667" s="7">
        <f t="shared" si="62"/>
        <v>0</v>
      </c>
      <c r="L667" s="19">
        <f t="shared" si="63"/>
        <v>21.3552</v>
      </c>
    </row>
    <row r="668" spans="1:12">
      <c r="A668" s="20">
        <v>46029</v>
      </c>
      <c r="B668" s="6">
        <v>435877</v>
      </c>
      <c r="C668" s="7" t="str">
        <f>VLOOKUP(B668,Employee_Master!A:B,2,)</f>
        <v>Pardeep Kumar</v>
      </c>
      <c r="D668" s="7" t="s">
        <v>206</v>
      </c>
      <c r="E668" s="7" t="s">
        <v>231</v>
      </c>
      <c r="F668" s="7" t="s">
        <v>231</v>
      </c>
      <c r="G668" s="7"/>
      <c r="H668" s="19">
        <v>12.7736</v>
      </c>
      <c r="I668" s="7">
        <f t="shared" si="61"/>
        <v>0</v>
      </c>
      <c r="J668" s="7">
        <f>IFERROR(VLOOKUP(D668,Event_Master!B:E,4,FALSE),1)</f>
        <v>1</v>
      </c>
      <c r="K668" s="7">
        <f t="shared" si="62"/>
        <v>0</v>
      </c>
      <c r="L668" s="19">
        <f t="shared" si="63"/>
        <v>12.7736</v>
      </c>
    </row>
    <row r="669" spans="1:12">
      <c r="A669" s="20">
        <v>46029</v>
      </c>
      <c r="B669" s="6">
        <v>437534</v>
      </c>
      <c r="C669" s="7" t="str">
        <f>VLOOKUP(B669,Employee_Master!A:B,2,)</f>
        <v>Himanshu Sangar</v>
      </c>
      <c r="D669" s="7" t="s">
        <v>206</v>
      </c>
      <c r="E669" s="7" t="s">
        <v>231</v>
      </c>
      <c r="F669" s="7" t="s">
        <v>231</v>
      </c>
      <c r="G669" s="7"/>
      <c r="H669" s="19">
        <v>66.193799999999996</v>
      </c>
      <c r="I669" s="7">
        <f t="shared" si="61"/>
        <v>0</v>
      </c>
      <c r="J669" s="7">
        <f>IFERROR(VLOOKUP(D669,Event_Master!B:E,4,FALSE),1)</f>
        <v>1</v>
      </c>
      <c r="K669" s="7">
        <f t="shared" si="62"/>
        <v>0</v>
      </c>
      <c r="L669" s="19">
        <f t="shared" si="63"/>
        <v>66.193799999999996</v>
      </c>
    </row>
    <row r="670" spans="1:12">
      <c r="A670" s="20">
        <v>46029</v>
      </c>
      <c r="B670" s="6">
        <v>438263</v>
      </c>
      <c r="C670" s="7" t="str">
        <f>VLOOKUP(B670,Employee_Master!A:B,2,)</f>
        <v>Vikash Kumar</v>
      </c>
      <c r="D670" s="7" t="s">
        <v>206</v>
      </c>
      <c r="E670" s="7" t="s">
        <v>231</v>
      </c>
      <c r="F670" s="7" t="s">
        <v>231</v>
      </c>
      <c r="G670" s="7"/>
      <c r="H670" s="19">
        <v>41.345300000000002</v>
      </c>
      <c r="I670" s="7">
        <f t="shared" si="61"/>
        <v>0</v>
      </c>
      <c r="J670" s="7">
        <f>IFERROR(VLOOKUP(D670,Event_Master!B:E,4,FALSE),1)</f>
        <v>1</v>
      </c>
      <c r="K670" s="7">
        <f t="shared" si="62"/>
        <v>0</v>
      </c>
      <c r="L670" s="19">
        <f t="shared" si="63"/>
        <v>41.345300000000002</v>
      </c>
    </row>
    <row r="671" spans="1:12">
      <c r="A671" s="20">
        <v>46029</v>
      </c>
      <c r="B671" s="6">
        <v>438679</v>
      </c>
      <c r="C671" s="7" t="str">
        <f>VLOOKUP(B671,Employee_Master!A:B,2,)</f>
        <v>Saurabh Kumar</v>
      </c>
      <c r="D671" s="7" t="s">
        <v>206</v>
      </c>
      <c r="E671" s="7" t="s">
        <v>231</v>
      </c>
      <c r="F671" s="7" t="s">
        <v>231</v>
      </c>
      <c r="G671" s="7"/>
      <c r="H671" s="19">
        <v>27.458500000000001</v>
      </c>
      <c r="I671" s="7">
        <f t="shared" si="61"/>
        <v>0</v>
      </c>
      <c r="J671" s="7">
        <f>IFERROR(VLOOKUP(D671,Event_Master!B:E,4,FALSE),1)</f>
        <v>1</v>
      </c>
      <c r="K671" s="7">
        <f t="shared" si="62"/>
        <v>0</v>
      </c>
      <c r="L671" s="19">
        <f t="shared" si="63"/>
        <v>27.458500000000001</v>
      </c>
    </row>
    <row r="672" spans="1:12">
      <c r="A672" s="20">
        <v>46029</v>
      </c>
      <c r="B672" s="6">
        <v>438864</v>
      </c>
      <c r="C672" s="7" t="str">
        <f>VLOOKUP(B672,Employee_Master!A:B,2,)</f>
        <v>Rajan Gupta</v>
      </c>
      <c r="D672" s="7" t="s">
        <v>206</v>
      </c>
      <c r="E672" s="7" t="s">
        <v>231</v>
      </c>
      <c r="F672" s="7" t="s">
        <v>231</v>
      </c>
      <c r="G672" s="7"/>
      <c r="H672" s="19">
        <v>15.579499999999999</v>
      </c>
      <c r="I672" s="7">
        <f t="shared" si="61"/>
        <v>0</v>
      </c>
      <c r="J672" s="7">
        <f>IFERROR(VLOOKUP(D672,Event_Master!B:E,4,FALSE),1)</f>
        <v>1</v>
      </c>
      <c r="K672" s="7">
        <f t="shared" si="62"/>
        <v>0</v>
      </c>
      <c r="L672" s="19">
        <f t="shared" si="63"/>
        <v>15.579499999999999</v>
      </c>
    </row>
    <row r="673" spans="1:12">
      <c r="A673" s="20">
        <v>46029</v>
      </c>
      <c r="B673" s="6">
        <v>440317</v>
      </c>
      <c r="C673" s="7" t="str">
        <f>VLOOKUP(B673,Employee_Master!A:B,2,)</f>
        <v>Praveen Chandel</v>
      </c>
      <c r="D673" s="7" t="s">
        <v>206</v>
      </c>
      <c r="E673" s="7" t="s">
        <v>231</v>
      </c>
      <c r="F673" s="7" t="s">
        <v>231</v>
      </c>
      <c r="G673" s="7"/>
      <c r="H673" s="19">
        <v>19.278300000000002</v>
      </c>
      <c r="I673" s="7">
        <f t="shared" si="61"/>
        <v>0</v>
      </c>
      <c r="J673" s="7">
        <f>IFERROR(VLOOKUP(D673,Event_Master!B:E,4,FALSE),1)</f>
        <v>1</v>
      </c>
      <c r="K673" s="7">
        <f t="shared" si="62"/>
        <v>0</v>
      </c>
      <c r="L673" s="19">
        <f t="shared" si="63"/>
        <v>19.278300000000002</v>
      </c>
    </row>
    <row r="674" spans="1:12">
      <c r="A674" s="20">
        <v>46029</v>
      </c>
      <c r="B674" s="6">
        <v>440620</v>
      </c>
      <c r="C674" s="7" t="str">
        <f>VLOOKUP(B674,Employee_Master!A:B,2,)</f>
        <v>Kuldeep Singh</v>
      </c>
      <c r="D674" s="7" t="s">
        <v>206</v>
      </c>
      <c r="E674" s="7" t="s">
        <v>231</v>
      </c>
      <c r="F674" s="7" t="s">
        <v>231</v>
      </c>
      <c r="G674" s="7"/>
      <c r="H674" s="19">
        <v>28.7653</v>
      </c>
      <c r="I674" s="7">
        <f t="shared" si="61"/>
        <v>0</v>
      </c>
      <c r="J674" s="7">
        <f>IFERROR(VLOOKUP(D674,Event_Master!B:E,4,FALSE),1)</f>
        <v>1</v>
      </c>
      <c r="K674" s="7">
        <f t="shared" si="62"/>
        <v>0</v>
      </c>
      <c r="L674" s="19">
        <f t="shared" si="63"/>
        <v>28.7653</v>
      </c>
    </row>
    <row r="675" spans="1:12">
      <c r="A675" s="20">
        <v>46029</v>
      </c>
      <c r="B675" s="6">
        <v>440774</v>
      </c>
      <c r="C675" s="7" t="str">
        <f>VLOOKUP(B675,Employee_Master!A:B,2,)</f>
        <v>Mehnga Singh</v>
      </c>
      <c r="D675" s="7" t="s">
        <v>206</v>
      </c>
      <c r="E675" s="7" t="s">
        <v>231</v>
      </c>
      <c r="F675" s="7" t="s">
        <v>231</v>
      </c>
      <c r="G675" s="7"/>
      <c r="H675" s="19">
        <v>2.0270999999999999</v>
      </c>
      <c r="I675" s="7">
        <f t="shared" si="61"/>
        <v>0</v>
      </c>
      <c r="J675" s="7">
        <f>IFERROR(VLOOKUP(D675,Event_Master!B:E,4,FALSE),1)</f>
        <v>1</v>
      </c>
      <c r="K675" s="7">
        <f t="shared" si="62"/>
        <v>0</v>
      </c>
      <c r="L675" s="19">
        <f t="shared" si="63"/>
        <v>2.0270999999999999</v>
      </c>
    </row>
    <row r="676" spans="1:12">
      <c r="A676" s="20">
        <v>46029</v>
      </c>
      <c r="B676" s="6">
        <v>447096</v>
      </c>
      <c r="C676" s="7" t="str">
        <f>VLOOKUP(B676,Employee_Master!A:B,2,)</f>
        <v>Deepak Tiwari</v>
      </c>
      <c r="D676" s="7" t="s">
        <v>206</v>
      </c>
      <c r="E676" s="7" t="s">
        <v>231</v>
      </c>
      <c r="F676" s="7" t="s">
        <v>231</v>
      </c>
      <c r="G676" s="7"/>
      <c r="H676" s="19">
        <v>26.519200000000001</v>
      </c>
      <c r="I676" s="7">
        <f t="shared" si="61"/>
        <v>0</v>
      </c>
      <c r="J676" s="7">
        <f>IFERROR(VLOOKUP(D676,Event_Master!B:E,4,FALSE),1)</f>
        <v>1</v>
      </c>
      <c r="K676" s="7">
        <f t="shared" si="62"/>
        <v>0</v>
      </c>
      <c r="L676" s="19">
        <f t="shared" si="63"/>
        <v>26.519200000000001</v>
      </c>
    </row>
    <row r="677" spans="1:12">
      <c r="A677" s="20">
        <v>46029</v>
      </c>
      <c r="B677" s="6">
        <v>449635</v>
      </c>
      <c r="C677" s="7" t="str">
        <f>VLOOKUP(B677,Employee_Master!A:B,2,)</f>
        <v>Sushma Tiwari</v>
      </c>
      <c r="D677" s="7" t="s">
        <v>206</v>
      </c>
      <c r="E677" s="7" t="s">
        <v>231</v>
      </c>
      <c r="F677" s="7" t="s">
        <v>231</v>
      </c>
      <c r="G677" s="7"/>
      <c r="H677" s="19">
        <v>19.355499999999999</v>
      </c>
      <c r="I677" s="7">
        <f t="shared" si="61"/>
        <v>0</v>
      </c>
      <c r="J677" s="7">
        <f>IFERROR(VLOOKUP(D677,Event_Master!B:E,4,FALSE),1)</f>
        <v>1</v>
      </c>
      <c r="K677" s="7">
        <f t="shared" si="62"/>
        <v>0</v>
      </c>
      <c r="L677" s="19">
        <f t="shared" si="63"/>
        <v>19.355499999999999</v>
      </c>
    </row>
    <row r="678" spans="1:12">
      <c r="A678" s="20">
        <v>46029</v>
      </c>
      <c r="B678" s="6">
        <v>449890</v>
      </c>
      <c r="C678" s="7" t="str">
        <f>VLOOKUP(B678,Employee_Master!A:B,2,)</f>
        <v xml:space="preserve">Ashish Baghel </v>
      </c>
      <c r="D678" s="7" t="s">
        <v>206</v>
      </c>
      <c r="E678" s="7" t="s">
        <v>231</v>
      </c>
      <c r="F678" s="7" t="s">
        <v>231</v>
      </c>
      <c r="G678" s="7"/>
      <c r="H678" s="19">
        <v>30.311499999999999</v>
      </c>
      <c r="I678" s="7">
        <f t="shared" si="61"/>
        <v>0</v>
      </c>
      <c r="J678" s="7">
        <f>IFERROR(VLOOKUP(D678,Event_Master!B:E,4,FALSE),1)</f>
        <v>1</v>
      </c>
      <c r="K678" s="7">
        <f t="shared" si="62"/>
        <v>0</v>
      </c>
      <c r="L678" s="19">
        <f t="shared" si="63"/>
        <v>30.311499999999999</v>
      </c>
    </row>
    <row r="679" spans="1:12">
      <c r="A679" s="20">
        <v>46029</v>
      </c>
      <c r="B679" s="6">
        <v>449891</v>
      </c>
      <c r="C679" s="7" t="str">
        <f>VLOOKUP(B679,Employee_Master!A:B,2,)</f>
        <v>Komalpreet</v>
      </c>
      <c r="D679" s="7" t="s">
        <v>206</v>
      </c>
      <c r="E679" s="7" t="s">
        <v>231</v>
      </c>
      <c r="F679" s="7" t="s">
        <v>231</v>
      </c>
      <c r="G679" s="7"/>
      <c r="H679" s="19">
        <v>39.119799999999998</v>
      </c>
      <c r="I679" s="7">
        <f t="shared" si="61"/>
        <v>0</v>
      </c>
      <c r="J679" s="7">
        <f>IFERROR(VLOOKUP(D679,Event_Master!B:E,4,FALSE),1)</f>
        <v>1</v>
      </c>
      <c r="K679" s="7">
        <f t="shared" si="62"/>
        <v>0</v>
      </c>
      <c r="L679" s="19">
        <f t="shared" si="63"/>
        <v>39.119799999999998</v>
      </c>
    </row>
    <row r="680" spans="1:12">
      <c r="A680" s="20">
        <v>46029</v>
      </c>
      <c r="B680" s="6">
        <v>450030</v>
      </c>
      <c r="C680" s="7" t="str">
        <f>VLOOKUP(B680,Employee_Master!A:B,2,)</f>
        <v xml:space="preserve">Manish bisht </v>
      </c>
      <c r="D680" s="7" t="s">
        <v>206</v>
      </c>
      <c r="E680" s="7" t="s">
        <v>231</v>
      </c>
      <c r="F680" s="7" t="s">
        <v>231</v>
      </c>
      <c r="G680" s="7"/>
      <c r="H680" s="19">
        <v>28.1235</v>
      </c>
      <c r="I680" s="7">
        <f t="shared" si="61"/>
        <v>0</v>
      </c>
      <c r="J680" s="7">
        <f>IFERROR(VLOOKUP(D680,Event_Master!B:E,4,FALSE),1)</f>
        <v>1</v>
      </c>
      <c r="K680" s="7">
        <f t="shared" si="62"/>
        <v>0</v>
      </c>
      <c r="L680" s="19">
        <f t="shared" si="63"/>
        <v>28.1235</v>
      </c>
    </row>
    <row r="681" spans="1:12">
      <c r="A681" s="20">
        <v>46029</v>
      </c>
      <c r="B681" s="6">
        <v>450171</v>
      </c>
      <c r="C681" s="7" t="str">
        <f>VLOOKUP(B681,Employee_Master!A:B,2,)</f>
        <v>Manpreet Kaur</v>
      </c>
      <c r="D681" s="7" t="s">
        <v>206</v>
      </c>
      <c r="E681" s="7" t="s">
        <v>231</v>
      </c>
      <c r="F681" s="7" t="s">
        <v>231</v>
      </c>
      <c r="G681" s="7"/>
      <c r="H681" s="19">
        <v>25.862300000000001</v>
      </c>
      <c r="I681" s="7">
        <f t="shared" si="61"/>
        <v>0</v>
      </c>
      <c r="J681" s="7">
        <f>IFERROR(VLOOKUP(D681,Event_Master!B:E,4,FALSE),1)</f>
        <v>1</v>
      </c>
      <c r="K681" s="7">
        <f t="shared" si="62"/>
        <v>0</v>
      </c>
      <c r="L681" s="19">
        <f t="shared" si="63"/>
        <v>25.862300000000001</v>
      </c>
    </row>
    <row r="682" spans="1:12">
      <c r="A682" s="20">
        <v>46029</v>
      </c>
      <c r="B682" s="6">
        <v>450224</v>
      </c>
      <c r="C682" s="7" t="str">
        <f>VLOOKUP(B682,Employee_Master!A:B,2,)</f>
        <v>Lalit Nagar</v>
      </c>
      <c r="D682" s="7" t="s">
        <v>206</v>
      </c>
      <c r="E682" s="7" t="s">
        <v>231</v>
      </c>
      <c r="F682" s="7" t="s">
        <v>231</v>
      </c>
      <c r="G682" s="7"/>
      <c r="H682" s="19">
        <v>25.574200000000001</v>
      </c>
      <c r="I682" s="7">
        <f t="shared" si="61"/>
        <v>0</v>
      </c>
      <c r="J682" s="7">
        <f>IFERROR(VLOOKUP(D682,Event_Master!B:E,4,FALSE),1)</f>
        <v>1</v>
      </c>
      <c r="K682" s="7">
        <f t="shared" si="62"/>
        <v>0</v>
      </c>
      <c r="L682" s="19">
        <f t="shared" si="63"/>
        <v>25.574200000000001</v>
      </c>
    </row>
    <row r="683" spans="1:12">
      <c r="A683" s="20">
        <v>46029</v>
      </c>
      <c r="B683" s="6">
        <v>450225</v>
      </c>
      <c r="C683" s="7" t="str">
        <f>VLOOKUP(B683,Employee_Master!A:B,2,)</f>
        <v>Nikita</v>
      </c>
      <c r="D683" s="7" t="s">
        <v>206</v>
      </c>
      <c r="E683" s="7" t="s">
        <v>231</v>
      </c>
      <c r="F683" s="7" t="s">
        <v>231</v>
      </c>
      <c r="G683" s="7"/>
      <c r="H683" s="19">
        <v>14.773899999999999</v>
      </c>
      <c r="I683" s="7">
        <f t="shared" si="61"/>
        <v>0</v>
      </c>
      <c r="J683" s="7">
        <f>IFERROR(VLOOKUP(D683,Event_Master!B:E,4,FALSE),1)</f>
        <v>1</v>
      </c>
      <c r="K683" s="7">
        <f t="shared" si="62"/>
        <v>0</v>
      </c>
      <c r="L683" s="19">
        <f t="shared" si="63"/>
        <v>14.773899999999999</v>
      </c>
    </row>
    <row r="684" spans="1:12">
      <c r="A684" s="20">
        <v>46029</v>
      </c>
      <c r="B684" s="6">
        <v>450228</v>
      </c>
      <c r="C684" s="7" t="str">
        <f>VLOOKUP(B684,Employee_Master!A:B,2,)</f>
        <v>Shubham Sharma</v>
      </c>
      <c r="D684" s="7" t="s">
        <v>206</v>
      </c>
      <c r="E684" s="7" t="s">
        <v>231</v>
      </c>
      <c r="F684" s="7" t="s">
        <v>231</v>
      </c>
      <c r="G684" s="7"/>
      <c r="H684" s="19">
        <v>24.7956</v>
      </c>
      <c r="I684" s="7">
        <f t="shared" si="61"/>
        <v>0</v>
      </c>
      <c r="J684" s="7">
        <f>IFERROR(VLOOKUP(D684,Event_Master!B:E,4,FALSE),1)</f>
        <v>1</v>
      </c>
      <c r="K684" s="7">
        <f t="shared" si="62"/>
        <v>0</v>
      </c>
      <c r="L684" s="19">
        <f t="shared" si="63"/>
        <v>24.7956</v>
      </c>
    </row>
    <row r="685" spans="1:12">
      <c r="A685" s="20">
        <v>46029</v>
      </c>
      <c r="B685" s="6">
        <v>450230</v>
      </c>
      <c r="C685" s="7" t="str">
        <f>VLOOKUP(B685,Employee_Master!A:B,2,)</f>
        <v>Aarti Gupta</v>
      </c>
      <c r="D685" s="7" t="s">
        <v>206</v>
      </c>
      <c r="E685" s="7" t="s">
        <v>231</v>
      </c>
      <c r="F685" s="7" t="s">
        <v>231</v>
      </c>
      <c r="G685" s="7"/>
      <c r="H685" s="19">
        <v>19.3127</v>
      </c>
      <c r="I685" s="7">
        <f t="shared" si="61"/>
        <v>0</v>
      </c>
      <c r="J685" s="7">
        <f>IFERROR(VLOOKUP(D685,Event_Master!B:E,4,FALSE),1)</f>
        <v>1</v>
      </c>
      <c r="K685" s="7">
        <f t="shared" si="62"/>
        <v>0</v>
      </c>
      <c r="L685" s="19">
        <f t="shared" si="63"/>
        <v>19.3127</v>
      </c>
    </row>
    <row r="686" spans="1:12">
      <c r="A686" s="20">
        <v>46029</v>
      </c>
      <c r="B686" s="6">
        <v>450256</v>
      </c>
      <c r="C686" s="7" t="str">
        <f>VLOOKUP(B686,Employee_Master!A:B,2,)</f>
        <v>Jyotish  Patar</v>
      </c>
      <c r="D686" s="7" t="s">
        <v>206</v>
      </c>
      <c r="E686" s="7" t="s">
        <v>231</v>
      </c>
      <c r="F686" s="7" t="s">
        <v>231</v>
      </c>
      <c r="G686" s="7"/>
      <c r="H686" s="19">
        <v>5.9027000000000003</v>
      </c>
      <c r="I686" s="7">
        <f t="shared" si="61"/>
        <v>0</v>
      </c>
      <c r="J686" s="7">
        <f>IFERROR(VLOOKUP(D686,Event_Master!B:E,4,FALSE),1)</f>
        <v>1</v>
      </c>
      <c r="K686" s="7">
        <f t="shared" si="62"/>
        <v>0</v>
      </c>
      <c r="L686" s="19">
        <f t="shared" si="63"/>
        <v>5.9027000000000003</v>
      </c>
    </row>
    <row r="687" spans="1:12">
      <c r="A687" s="20">
        <v>46029</v>
      </c>
      <c r="B687" s="6">
        <v>450694</v>
      </c>
      <c r="C687" s="7" t="str">
        <f>VLOOKUP(B687,Employee_Master!A:B,2,)</f>
        <v>Kawaljot Kaur</v>
      </c>
      <c r="D687" s="7" t="s">
        <v>206</v>
      </c>
      <c r="E687" s="7" t="s">
        <v>231</v>
      </c>
      <c r="F687" s="7" t="s">
        <v>231</v>
      </c>
      <c r="G687" s="7"/>
      <c r="H687" s="19">
        <v>19.248899999999999</v>
      </c>
      <c r="I687" s="7">
        <f t="shared" si="61"/>
        <v>0</v>
      </c>
      <c r="J687" s="7">
        <f>IFERROR(VLOOKUP(D687,Event_Master!B:E,4,FALSE),1)</f>
        <v>1</v>
      </c>
      <c r="K687" s="7">
        <f t="shared" si="62"/>
        <v>0</v>
      </c>
      <c r="L687" s="19">
        <f t="shared" si="63"/>
        <v>19.248899999999999</v>
      </c>
    </row>
    <row r="688" spans="1:12">
      <c r="A688" s="20">
        <v>46029</v>
      </c>
      <c r="B688" s="6">
        <v>451857</v>
      </c>
      <c r="C688" s="7" t="str">
        <f>VLOOKUP(B688,Employee_Master!A:B,2,)</f>
        <v xml:space="preserve">Amar Kumar </v>
      </c>
      <c r="D688" s="7" t="s">
        <v>206</v>
      </c>
      <c r="E688" s="7" t="s">
        <v>231</v>
      </c>
      <c r="F688" s="7" t="s">
        <v>231</v>
      </c>
      <c r="G688" s="7"/>
      <c r="H688" s="19">
        <v>24.643999999999998</v>
      </c>
      <c r="I688" s="7">
        <f t="shared" si="61"/>
        <v>0</v>
      </c>
      <c r="J688" s="7">
        <f>IFERROR(VLOOKUP(D688,Event_Master!B:E,4,FALSE),1)</f>
        <v>1</v>
      </c>
      <c r="K688" s="7">
        <f t="shared" si="62"/>
        <v>0</v>
      </c>
      <c r="L688" s="19">
        <f t="shared" si="63"/>
        <v>24.643999999999998</v>
      </c>
    </row>
    <row r="689" spans="1:12">
      <c r="A689" s="20">
        <v>46029</v>
      </c>
      <c r="B689" s="6">
        <v>451858</v>
      </c>
      <c r="C689" s="7" t="str">
        <f>VLOOKUP(B689,Employee_Master!A:B,2,)</f>
        <v>Ankit Bhardwaj</v>
      </c>
      <c r="D689" s="7" t="s">
        <v>206</v>
      </c>
      <c r="E689" s="7" t="s">
        <v>231</v>
      </c>
      <c r="F689" s="7" t="s">
        <v>231</v>
      </c>
      <c r="G689" s="7"/>
      <c r="H689" s="19">
        <v>14.0784</v>
      </c>
      <c r="I689" s="7">
        <f t="shared" si="61"/>
        <v>0</v>
      </c>
      <c r="J689" s="7">
        <f>IFERROR(VLOOKUP(D689,Event_Master!B:E,4,FALSE),1)</f>
        <v>1</v>
      </c>
      <c r="K689" s="7">
        <f t="shared" si="62"/>
        <v>0</v>
      </c>
      <c r="L689" s="19">
        <f t="shared" si="63"/>
        <v>14.0784</v>
      </c>
    </row>
    <row r="690" spans="1:12">
      <c r="A690" s="20">
        <v>46029</v>
      </c>
      <c r="B690" s="6">
        <v>452056</v>
      </c>
      <c r="C690" s="7" t="str">
        <f>VLOOKUP(B690,Employee_Master!A:B,2,)</f>
        <v xml:space="preserve">Rupesh </v>
      </c>
      <c r="D690" s="7" t="s">
        <v>206</v>
      </c>
      <c r="E690" s="7" t="s">
        <v>231</v>
      </c>
      <c r="F690" s="7" t="s">
        <v>231</v>
      </c>
      <c r="G690" s="7"/>
      <c r="H690" s="19">
        <v>22.259</v>
      </c>
      <c r="I690" s="7">
        <f t="shared" si="61"/>
        <v>0</v>
      </c>
      <c r="J690" s="7">
        <f>IFERROR(VLOOKUP(D690,Event_Master!B:E,4,FALSE),1)</f>
        <v>1</v>
      </c>
      <c r="K690" s="7">
        <f t="shared" si="62"/>
        <v>0</v>
      </c>
      <c r="L690" s="19">
        <f t="shared" si="63"/>
        <v>22.259</v>
      </c>
    </row>
    <row r="691" spans="1:12">
      <c r="A691" s="20">
        <v>46029</v>
      </c>
      <c r="B691" s="6">
        <v>452058</v>
      </c>
      <c r="C691" s="7" t="str">
        <f>VLOOKUP(B691,Employee_Master!A:B,2,)</f>
        <v>Bhavya Gupta</v>
      </c>
      <c r="D691" s="7" t="s">
        <v>206</v>
      </c>
      <c r="E691" s="7" t="s">
        <v>231</v>
      </c>
      <c r="F691" s="7" t="s">
        <v>231</v>
      </c>
      <c r="G691" s="7"/>
      <c r="H691" s="19">
        <v>18.866299999999999</v>
      </c>
      <c r="I691" s="7">
        <f t="shared" si="61"/>
        <v>0</v>
      </c>
      <c r="J691" s="7">
        <f>IFERROR(VLOOKUP(D691,Event_Master!B:E,4,FALSE),1)</f>
        <v>1</v>
      </c>
      <c r="K691" s="7">
        <f t="shared" si="62"/>
        <v>0</v>
      </c>
      <c r="L691" s="19">
        <f t="shared" si="63"/>
        <v>18.866299999999999</v>
      </c>
    </row>
    <row r="692" spans="1:12">
      <c r="A692" s="20">
        <v>46029</v>
      </c>
      <c r="B692" s="6">
        <v>452076</v>
      </c>
      <c r="C692" s="7" t="str">
        <f>VLOOKUP(B692,Employee_Master!A:B,2,)</f>
        <v>Shraddha Singh</v>
      </c>
      <c r="D692" s="7" t="s">
        <v>206</v>
      </c>
      <c r="E692" s="7" t="s">
        <v>231</v>
      </c>
      <c r="F692" s="7" t="s">
        <v>231</v>
      </c>
      <c r="G692" s="7"/>
      <c r="H692" s="19">
        <v>23.175999999999998</v>
      </c>
      <c r="I692" s="7">
        <f t="shared" si="61"/>
        <v>0</v>
      </c>
      <c r="J692" s="7">
        <f>IFERROR(VLOOKUP(D692,Event_Master!B:E,4,FALSE),1)</f>
        <v>1</v>
      </c>
      <c r="K692" s="7">
        <f t="shared" si="62"/>
        <v>0</v>
      </c>
      <c r="L692" s="19">
        <f t="shared" si="63"/>
        <v>23.175999999999998</v>
      </c>
    </row>
    <row r="693" spans="1:12">
      <c r="A693" s="20">
        <v>46029</v>
      </c>
      <c r="B693" s="6">
        <v>452119</v>
      </c>
      <c r="C693" s="7" t="str">
        <f>VLOOKUP(B693,Employee_Master!A:B,2,)</f>
        <v>Akhil Tiwari</v>
      </c>
      <c r="D693" s="7" t="s">
        <v>206</v>
      </c>
      <c r="E693" s="7" t="s">
        <v>231</v>
      </c>
      <c r="F693" s="7" t="s">
        <v>231</v>
      </c>
      <c r="G693" s="7"/>
      <c r="H693" s="19">
        <v>25.3201</v>
      </c>
      <c r="I693" s="7">
        <f t="shared" si="61"/>
        <v>0</v>
      </c>
      <c r="J693" s="7">
        <f>IFERROR(VLOOKUP(D693,Event_Master!B:E,4,FALSE),1)</f>
        <v>1</v>
      </c>
      <c r="K693" s="7">
        <f t="shared" si="62"/>
        <v>0</v>
      </c>
      <c r="L693" s="19">
        <f t="shared" si="63"/>
        <v>25.3201</v>
      </c>
    </row>
    <row r="694" spans="1:12">
      <c r="A694" s="20">
        <v>46029</v>
      </c>
      <c r="B694" s="6">
        <v>452121</v>
      </c>
      <c r="C694" s="7" t="str">
        <f>VLOOKUP(B694,Employee_Master!A:B,2,)</f>
        <v>Nishi Singh</v>
      </c>
      <c r="D694" s="7" t="s">
        <v>206</v>
      </c>
      <c r="E694" s="7" t="s">
        <v>231</v>
      </c>
      <c r="F694" s="7" t="s">
        <v>231</v>
      </c>
      <c r="G694" s="7"/>
      <c r="H694" s="19">
        <v>24.264199999999999</v>
      </c>
      <c r="I694" s="7">
        <f t="shared" si="61"/>
        <v>0</v>
      </c>
      <c r="J694" s="7">
        <f>IFERROR(VLOOKUP(D694,Event_Master!B:E,4,FALSE),1)</f>
        <v>1</v>
      </c>
      <c r="K694" s="7">
        <f t="shared" si="62"/>
        <v>0</v>
      </c>
      <c r="L694" s="19">
        <f t="shared" si="63"/>
        <v>24.264199999999999</v>
      </c>
    </row>
    <row r="695" spans="1:12">
      <c r="A695" s="20">
        <v>46029</v>
      </c>
      <c r="B695" s="6">
        <v>452799</v>
      </c>
      <c r="C695" s="7" t="str">
        <f>VLOOKUP(B695,Employee_Master!A:B,2,)</f>
        <v>Manish Kukreti</v>
      </c>
      <c r="D695" s="7" t="s">
        <v>206</v>
      </c>
      <c r="E695" s="7" t="s">
        <v>231</v>
      </c>
      <c r="F695" s="7" t="s">
        <v>231</v>
      </c>
      <c r="G695" s="7"/>
      <c r="H695" s="19">
        <v>27.67</v>
      </c>
      <c r="I695" s="7">
        <f t="shared" si="61"/>
        <v>0</v>
      </c>
      <c r="J695" s="7">
        <f>IFERROR(VLOOKUP(D695,Event_Master!B:E,4,FALSE),1)</f>
        <v>1</v>
      </c>
      <c r="K695" s="7">
        <f t="shared" si="62"/>
        <v>0</v>
      </c>
      <c r="L695" s="19">
        <f t="shared" si="63"/>
        <v>27.67</v>
      </c>
    </row>
    <row r="696" spans="1:12">
      <c r="A696" s="20">
        <v>46029</v>
      </c>
      <c r="B696" s="6">
        <v>454456</v>
      </c>
      <c r="C696" s="7" t="str">
        <f>VLOOKUP(B696,Employee_Master!A:B,2,)</f>
        <v>Akash Deshmukh</v>
      </c>
      <c r="D696" s="7" t="s">
        <v>206</v>
      </c>
      <c r="E696" s="7" t="s">
        <v>231</v>
      </c>
      <c r="F696" s="7" t="s">
        <v>231</v>
      </c>
      <c r="G696" s="7"/>
      <c r="H696" s="19">
        <v>36.484499999999997</v>
      </c>
      <c r="I696" s="7">
        <f t="shared" si="61"/>
        <v>0</v>
      </c>
      <c r="J696" s="7">
        <f>IFERROR(VLOOKUP(D696,Event_Master!B:E,4,FALSE),1)</f>
        <v>1</v>
      </c>
      <c r="K696" s="7">
        <f t="shared" si="62"/>
        <v>0</v>
      </c>
      <c r="L696" s="19">
        <f t="shared" si="63"/>
        <v>36.484499999999997</v>
      </c>
    </row>
    <row r="697" spans="1:12">
      <c r="A697" s="20">
        <v>46029</v>
      </c>
      <c r="B697" s="6">
        <v>455024</v>
      </c>
      <c r="C697" s="7" t="str">
        <f>VLOOKUP(B697,Employee_Master!A:B,2,)</f>
        <v>Dileep Kumar</v>
      </c>
      <c r="D697" s="7" t="s">
        <v>206</v>
      </c>
      <c r="E697" s="7" t="s">
        <v>231</v>
      </c>
      <c r="F697" s="7" t="s">
        <v>231</v>
      </c>
      <c r="G697" s="7"/>
      <c r="H697" s="19">
        <v>24.7334</v>
      </c>
      <c r="I697" s="7">
        <f t="shared" si="61"/>
        <v>0</v>
      </c>
      <c r="J697" s="7">
        <f>IFERROR(VLOOKUP(D697,Event_Master!B:E,4,FALSE),1)</f>
        <v>1</v>
      </c>
      <c r="K697" s="7">
        <f t="shared" si="62"/>
        <v>0</v>
      </c>
      <c r="L697" s="19">
        <f t="shared" si="63"/>
        <v>24.7334</v>
      </c>
    </row>
    <row r="698" spans="1:12">
      <c r="A698" s="20">
        <v>46029</v>
      </c>
      <c r="B698" s="6">
        <v>457157</v>
      </c>
      <c r="C698" s="7" t="str">
        <f>VLOOKUP(B698,Employee_Master!A:B,2,)</f>
        <v>Sachin Kashyap</v>
      </c>
      <c r="D698" s="7" t="s">
        <v>206</v>
      </c>
      <c r="E698" s="7" t="s">
        <v>231</v>
      </c>
      <c r="F698" s="7" t="s">
        <v>231</v>
      </c>
      <c r="G698" s="7"/>
      <c r="H698" s="19">
        <v>48.467599999999997</v>
      </c>
      <c r="I698" s="7">
        <f t="shared" si="61"/>
        <v>0</v>
      </c>
      <c r="J698" s="7">
        <f>IFERROR(VLOOKUP(D698,Event_Master!B:E,4,FALSE),1)</f>
        <v>1</v>
      </c>
      <c r="K698" s="7">
        <f t="shared" si="62"/>
        <v>0</v>
      </c>
      <c r="L698" s="19">
        <f t="shared" si="63"/>
        <v>48.467599999999997</v>
      </c>
    </row>
    <row r="699" spans="1:12">
      <c r="A699" s="20">
        <v>46029</v>
      </c>
      <c r="B699" s="6">
        <v>458702</v>
      </c>
      <c r="C699" s="7" t="str">
        <f>VLOOKUP(B699,Employee_Master!A:B,2,)</f>
        <v>Jasbeer Singh</v>
      </c>
      <c r="D699" s="7" t="s">
        <v>206</v>
      </c>
      <c r="E699" s="7" t="s">
        <v>231</v>
      </c>
      <c r="F699" s="7" t="s">
        <v>231</v>
      </c>
      <c r="G699" s="7"/>
      <c r="H699" s="19">
        <v>29.6736</v>
      </c>
      <c r="I699" s="7">
        <f t="shared" si="61"/>
        <v>0</v>
      </c>
      <c r="J699" s="7">
        <f>IFERROR(VLOOKUP(D699,Event_Master!B:E,4,FALSE),1)</f>
        <v>1</v>
      </c>
      <c r="K699" s="7">
        <f t="shared" si="62"/>
        <v>0</v>
      </c>
      <c r="L699" s="19">
        <f t="shared" si="63"/>
        <v>29.6736</v>
      </c>
    </row>
    <row r="700" spans="1:12">
      <c r="A700" s="20">
        <v>46029</v>
      </c>
      <c r="B700" s="6">
        <v>459464</v>
      </c>
      <c r="C700" s="7" t="str">
        <f>VLOOKUP(B700,Employee_Master!A:B,2,)</f>
        <v>Manish Kumar Maury</v>
      </c>
      <c r="D700" s="7" t="s">
        <v>206</v>
      </c>
      <c r="E700" s="7" t="s">
        <v>231</v>
      </c>
      <c r="F700" s="7" t="s">
        <v>231</v>
      </c>
      <c r="G700" s="7"/>
      <c r="H700" s="19">
        <v>19.915099999999999</v>
      </c>
      <c r="I700" s="7">
        <f t="shared" si="61"/>
        <v>0</v>
      </c>
      <c r="J700" s="7">
        <f>IFERROR(VLOOKUP(D700,Event_Master!B:E,4,FALSE),1)</f>
        <v>1</v>
      </c>
      <c r="K700" s="7">
        <f t="shared" si="62"/>
        <v>0</v>
      </c>
      <c r="L700" s="19">
        <f t="shared" si="63"/>
        <v>19.915099999999999</v>
      </c>
    </row>
    <row r="701" spans="1:12">
      <c r="A701" s="20">
        <v>46029</v>
      </c>
      <c r="B701" s="6">
        <v>463059</v>
      </c>
      <c r="C701" s="7" t="str">
        <f>VLOOKUP(B701,Employee_Master!A:B,2,)</f>
        <v>Parvinder</v>
      </c>
      <c r="D701" s="7" t="s">
        <v>206</v>
      </c>
      <c r="E701" s="7" t="s">
        <v>231</v>
      </c>
      <c r="F701" s="7" t="s">
        <v>231</v>
      </c>
      <c r="G701" s="7"/>
      <c r="H701" s="19">
        <v>31.249700000000001</v>
      </c>
      <c r="I701" s="7">
        <f t="shared" si="61"/>
        <v>0</v>
      </c>
      <c r="J701" s="7">
        <f>IFERROR(VLOOKUP(D701,Event_Master!B:E,4,FALSE),1)</f>
        <v>1</v>
      </c>
      <c r="K701" s="7">
        <f t="shared" si="62"/>
        <v>0</v>
      </c>
      <c r="L701" s="19">
        <f t="shared" si="63"/>
        <v>31.249700000000001</v>
      </c>
    </row>
    <row r="702" spans="1:12">
      <c r="A702" s="20">
        <v>46029</v>
      </c>
      <c r="B702" s="6">
        <v>463833</v>
      </c>
      <c r="C702" s="7" t="str">
        <f>VLOOKUP(B702,Employee_Master!A:B,2,)</f>
        <v>Kartik Shakya</v>
      </c>
      <c r="D702" s="7" t="s">
        <v>206</v>
      </c>
      <c r="E702" s="7" t="s">
        <v>231</v>
      </c>
      <c r="F702" s="7" t="s">
        <v>231</v>
      </c>
      <c r="G702" s="7"/>
      <c r="H702" s="19">
        <v>35.211500000000001</v>
      </c>
      <c r="I702" s="7">
        <f t="shared" si="61"/>
        <v>0</v>
      </c>
      <c r="J702" s="7">
        <f>IFERROR(VLOOKUP(D702,Event_Master!B:E,4,FALSE),1)</f>
        <v>1</v>
      </c>
      <c r="K702" s="7">
        <f t="shared" si="62"/>
        <v>0</v>
      </c>
      <c r="L702" s="19">
        <f t="shared" si="63"/>
        <v>35.211500000000001</v>
      </c>
    </row>
    <row r="703" spans="1:12">
      <c r="A703" s="20">
        <v>46029</v>
      </c>
      <c r="B703" s="6">
        <v>464188</v>
      </c>
      <c r="C703" s="7" t="str">
        <f>VLOOKUP(B703,Employee_Master!A:B,2,)</f>
        <v>Himanshu Saini</v>
      </c>
      <c r="D703" s="7" t="s">
        <v>206</v>
      </c>
      <c r="E703" s="7" t="s">
        <v>231</v>
      </c>
      <c r="F703" s="7" t="s">
        <v>231</v>
      </c>
      <c r="G703" s="7"/>
      <c r="H703" s="19">
        <v>36.302799999999998</v>
      </c>
      <c r="I703" s="7">
        <f t="shared" si="61"/>
        <v>0</v>
      </c>
      <c r="J703" s="7">
        <f>IFERROR(VLOOKUP(D703,Event_Master!B:E,4,FALSE),1)</f>
        <v>1</v>
      </c>
      <c r="K703" s="7">
        <f t="shared" si="62"/>
        <v>0</v>
      </c>
      <c r="L703" s="19">
        <f t="shared" si="63"/>
        <v>36.302799999999998</v>
      </c>
    </row>
    <row r="704" spans="1:12">
      <c r="A704" s="20">
        <v>46029</v>
      </c>
      <c r="B704" s="6">
        <v>465254</v>
      </c>
      <c r="C704" s="7" t="str">
        <f>VLOOKUP(B704,Employee_Master!A:B,2,)</f>
        <v>Narender Kumar</v>
      </c>
      <c r="D704" s="7" t="s">
        <v>206</v>
      </c>
      <c r="E704" s="7" t="s">
        <v>231</v>
      </c>
      <c r="F704" s="7" t="s">
        <v>231</v>
      </c>
      <c r="G704" s="7"/>
      <c r="H704" s="19">
        <v>29.127400000000002</v>
      </c>
      <c r="I704" s="7">
        <f t="shared" si="61"/>
        <v>0</v>
      </c>
      <c r="J704" s="7">
        <f>IFERROR(VLOOKUP(D704,Event_Master!B:E,4,FALSE),1)</f>
        <v>1</v>
      </c>
      <c r="K704" s="7">
        <f t="shared" si="62"/>
        <v>0</v>
      </c>
      <c r="L704" s="19">
        <f t="shared" si="63"/>
        <v>29.127400000000002</v>
      </c>
    </row>
    <row r="705" spans="1:12">
      <c r="A705" s="20">
        <v>46029</v>
      </c>
      <c r="B705" s="6">
        <v>465255</v>
      </c>
      <c r="C705" s="7" t="str">
        <f>VLOOKUP(B705,Employee_Master!A:B,2,)</f>
        <v>Mukul Suman</v>
      </c>
      <c r="D705" s="7" t="s">
        <v>206</v>
      </c>
      <c r="E705" s="7" t="s">
        <v>231</v>
      </c>
      <c r="F705" s="7" t="s">
        <v>231</v>
      </c>
      <c r="G705" s="7"/>
      <c r="H705" s="19">
        <v>33.815300000000001</v>
      </c>
      <c r="I705" s="7">
        <f t="shared" si="61"/>
        <v>0</v>
      </c>
      <c r="J705" s="7">
        <f>IFERROR(VLOOKUP(D705,Event_Master!B:E,4,FALSE),1)</f>
        <v>1</v>
      </c>
      <c r="K705" s="7">
        <f t="shared" si="62"/>
        <v>0</v>
      </c>
      <c r="L705" s="19">
        <f t="shared" si="63"/>
        <v>33.815300000000001</v>
      </c>
    </row>
    <row r="706" spans="1:12">
      <c r="A706" s="20">
        <v>46029</v>
      </c>
      <c r="B706" s="6">
        <v>466167</v>
      </c>
      <c r="C706" s="7" t="str">
        <f>VLOOKUP(B706,Employee_Master!A:B,2,)</f>
        <v>Aishwarya Sharma</v>
      </c>
      <c r="D706" s="7" t="s">
        <v>206</v>
      </c>
      <c r="E706" s="7" t="s">
        <v>231</v>
      </c>
      <c r="F706" s="7" t="s">
        <v>231</v>
      </c>
      <c r="G706" s="7"/>
      <c r="H706" s="19">
        <v>38.441600000000001</v>
      </c>
      <c r="I706" s="7">
        <f t="shared" si="61"/>
        <v>0</v>
      </c>
      <c r="J706" s="7">
        <f>IFERROR(VLOOKUP(D706,Event_Master!B:E,4,FALSE),1)</f>
        <v>1</v>
      </c>
      <c r="K706" s="7">
        <f t="shared" si="62"/>
        <v>0</v>
      </c>
      <c r="L706" s="19">
        <f t="shared" si="63"/>
        <v>38.441600000000001</v>
      </c>
    </row>
    <row r="707" spans="1:12">
      <c r="A707" s="20">
        <v>46029</v>
      </c>
      <c r="B707" s="6">
        <v>466445</v>
      </c>
      <c r="C707" s="7" t="str">
        <f>VLOOKUP(B707,Employee_Master!A:B,2,)</f>
        <v>Ayush Kumar</v>
      </c>
      <c r="D707" s="7" t="s">
        <v>206</v>
      </c>
      <c r="E707" s="7" t="s">
        <v>231</v>
      </c>
      <c r="F707" s="7" t="s">
        <v>231</v>
      </c>
      <c r="G707" s="7"/>
      <c r="H707" s="19">
        <v>35.154299999999999</v>
      </c>
      <c r="I707" s="7">
        <f t="shared" si="61"/>
        <v>0</v>
      </c>
      <c r="J707" s="7">
        <f>IFERROR(VLOOKUP(D707,Event_Master!B:E,4,FALSE),1)</f>
        <v>1</v>
      </c>
      <c r="K707" s="7">
        <f t="shared" si="62"/>
        <v>0</v>
      </c>
      <c r="L707" s="19">
        <f t="shared" si="63"/>
        <v>35.154299999999999</v>
      </c>
    </row>
    <row r="708" spans="1:12">
      <c r="A708" s="20">
        <v>46029</v>
      </c>
      <c r="B708" s="6">
        <v>467519</v>
      </c>
      <c r="C708" s="7" t="str">
        <f>VLOOKUP(B708,Employee_Master!A:B,2,)</f>
        <v>Vivek Tiwari</v>
      </c>
      <c r="D708" s="7" t="s">
        <v>206</v>
      </c>
      <c r="E708" s="7" t="s">
        <v>231</v>
      </c>
      <c r="F708" s="7" t="s">
        <v>231</v>
      </c>
      <c r="G708" s="7"/>
      <c r="H708" s="19">
        <v>32.611199999999997</v>
      </c>
      <c r="I708" s="7">
        <f t="shared" si="61"/>
        <v>0</v>
      </c>
      <c r="J708" s="7">
        <f>IFERROR(VLOOKUP(D708,Event_Master!B:E,4,FALSE),1)</f>
        <v>1</v>
      </c>
      <c r="K708" s="7">
        <f t="shared" si="62"/>
        <v>0</v>
      </c>
      <c r="L708" s="19">
        <f t="shared" si="63"/>
        <v>32.611199999999997</v>
      </c>
    </row>
    <row r="709" spans="1:12">
      <c r="A709" s="20">
        <v>46029</v>
      </c>
      <c r="B709" s="6">
        <v>468224</v>
      </c>
      <c r="C709" s="7" t="str">
        <f>VLOOKUP(B709,Employee_Master!A:B,2,)</f>
        <v>Mohit Kumar</v>
      </c>
      <c r="D709" s="7" t="s">
        <v>206</v>
      </c>
      <c r="E709" s="7" t="s">
        <v>231</v>
      </c>
      <c r="F709" s="7" t="s">
        <v>231</v>
      </c>
      <c r="G709" s="7"/>
      <c r="H709" s="19">
        <v>13.8476</v>
      </c>
      <c r="I709" s="7">
        <f t="shared" si="61"/>
        <v>0</v>
      </c>
      <c r="J709" s="7">
        <f>IFERROR(VLOOKUP(D709,Event_Master!B:E,4,FALSE),1)</f>
        <v>1</v>
      </c>
      <c r="K709" s="7">
        <f t="shared" si="62"/>
        <v>0</v>
      </c>
      <c r="L709" s="19">
        <f t="shared" si="63"/>
        <v>13.8476</v>
      </c>
    </row>
    <row r="710" spans="1:12">
      <c r="A710" s="20">
        <v>46029</v>
      </c>
      <c r="B710" s="6">
        <v>468660</v>
      </c>
      <c r="C710" s="7" t="str">
        <f>VLOOKUP(B710,Employee_Master!A:B,2,)</f>
        <v>Samay Raj</v>
      </c>
      <c r="D710" s="7" t="s">
        <v>206</v>
      </c>
      <c r="E710" s="7" t="s">
        <v>231</v>
      </c>
      <c r="F710" s="7" t="s">
        <v>231</v>
      </c>
      <c r="G710" s="7"/>
      <c r="H710" s="19">
        <v>31.725100000000001</v>
      </c>
      <c r="I710" s="7">
        <f t="shared" si="61"/>
        <v>0</v>
      </c>
      <c r="J710" s="7">
        <f>IFERROR(VLOOKUP(D710,Event_Master!B:E,4,FALSE),1)</f>
        <v>1</v>
      </c>
      <c r="K710" s="7">
        <f t="shared" si="62"/>
        <v>0</v>
      </c>
      <c r="L710" s="19">
        <f t="shared" si="63"/>
        <v>31.725100000000001</v>
      </c>
    </row>
    <row r="711" spans="1:12">
      <c r="A711" s="20">
        <v>46029</v>
      </c>
      <c r="B711" s="6">
        <v>469899</v>
      </c>
      <c r="C711" s="7" t="str">
        <f>VLOOKUP(B711,Employee_Master!A:B,2,)</f>
        <v>Ankit</v>
      </c>
      <c r="D711" s="7" t="s">
        <v>206</v>
      </c>
      <c r="E711" s="7" t="s">
        <v>231</v>
      </c>
      <c r="F711" s="7" t="s">
        <v>231</v>
      </c>
      <c r="G711" s="7"/>
      <c r="H711" s="19">
        <v>30.001100000000001</v>
      </c>
      <c r="I711" s="7">
        <f t="shared" si="61"/>
        <v>0</v>
      </c>
      <c r="J711" s="7">
        <f>IFERROR(VLOOKUP(D711,Event_Master!B:E,4,FALSE),1)</f>
        <v>1</v>
      </c>
      <c r="K711" s="7">
        <f t="shared" si="62"/>
        <v>0</v>
      </c>
      <c r="L711" s="19">
        <f t="shared" si="63"/>
        <v>30.001100000000001</v>
      </c>
    </row>
    <row r="712" spans="1:12">
      <c r="A712" s="20">
        <v>46029</v>
      </c>
      <c r="B712" s="6">
        <v>472322</v>
      </c>
      <c r="C712" s="7" t="str">
        <f>VLOOKUP(B712,Employee_Master!A:B,2,)</f>
        <v>Sanjeet Kumar</v>
      </c>
      <c r="D712" s="7" t="s">
        <v>206</v>
      </c>
      <c r="E712" s="7" t="s">
        <v>231</v>
      </c>
      <c r="F712" s="7" t="s">
        <v>231</v>
      </c>
      <c r="G712" s="7"/>
      <c r="H712" s="19">
        <v>23.467099999999999</v>
      </c>
      <c r="I712" s="7">
        <f t="shared" si="61"/>
        <v>0</v>
      </c>
      <c r="J712" s="7">
        <f>IFERROR(VLOOKUP(D712,Event_Master!B:E,4,FALSE),1)</f>
        <v>1</v>
      </c>
      <c r="K712" s="7">
        <f t="shared" si="62"/>
        <v>0</v>
      </c>
      <c r="L712" s="19">
        <f t="shared" si="63"/>
        <v>23.467099999999999</v>
      </c>
    </row>
    <row r="713" spans="1:12">
      <c r="A713" s="20">
        <v>46029</v>
      </c>
      <c r="B713" s="6">
        <v>478308</v>
      </c>
      <c r="C713" s="7" t="str">
        <f>VLOOKUP(B713,Employee_Master!A:B,2,)</f>
        <v xml:space="preserve">Abhishek savita </v>
      </c>
      <c r="D713" s="7" t="s">
        <v>206</v>
      </c>
      <c r="E713" s="7" t="s">
        <v>231</v>
      </c>
      <c r="F713" s="7" t="s">
        <v>231</v>
      </c>
      <c r="G713" s="7"/>
      <c r="H713" s="19">
        <v>8.4231999999999996</v>
      </c>
      <c r="I713" s="7">
        <f t="shared" si="61"/>
        <v>0</v>
      </c>
      <c r="J713" s="7">
        <f>IFERROR(VLOOKUP(D713,Event_Master!B:E,4,FALSE),1)</f>
        <v>1</v>
      </c>
      <c r="K713" s="7">
        <f t="shared" si="62"/>
        <v>0</v>
      </c>
      <c r="L713" s="19">
        <f t="shared" si="63"/>
        <v>8.4231999999999996</v>
      </c>
    </row>
    <row r="714" spans="1:12">
      <c r="A714" s="20">
        <v>46029</v>
      </c>
      <c r="B714" s="6">
        <v>478377</v>
      </c>
      <c r="C714" s="7" t="str">
        <f>VLOOKUP(B714,Employee_Master!A:B,2,)</f>
        <v xml:space="preserve">Ishi Verma </v>
      </c>
      <c r="D714" s="7" t="s">
        <v>206</v>
      </c>
      <c r="E714" s="7" t="s">
        <v>231</v>
      </c>
      <c r="F714" s="7" t="s">
        <v>231</v>
      </c>
      <c r="G714" s="7"/>
      <c r="H714" s="19">
        <v>28.995200000000001</v>
      </c>
      <c r="I714" s="7">
        <f t="shared" si="61"/>
        <v>0</v>
      </c>
      <c r="J714" s="7">
        <f>IFERROR(VLOOKUP(D714,Event_Master!B:E,4,FALSE),1)</f>
        <v>1</v>
      </c>
      <c r="K714" s="7">
        <f t="shared" si="62"/>
        <v>0</v>
      </c>
      <c r="L714" s="19">
        <f t="shared" si="63"/>
        <v>28.995200000000001</v>
      </c>
    </row>
    <row r="715" spans="1:12">
      <c r="A715" s="20">
        <v>46029</v>
      </c>
      <c r="B715" s="6">
        <v>484877</v>
      </c>
      <c r="C715" s="7" t="str">
        <f>VLOOKUP(B715,Employee_Master!A:B,2,)</f>
        <v>Prashant Gupta</v>
      </c>
      <c r="D715" s="7" t="s">
        <v>206</v>
      </c>
      <c r="E715" s="7" t="s">
        <v>231</v>
      </c>
      <c r="F715" s="7" t="s">
        <v>231</v>
      </c>
      <c r="G715" s="7"/>
      <c r="H715" s="19">
        <v>33.326599999999999</v>
      </c>
      <c r="I715" s="7">
        <f t="shared" si="61"/>
        <v>0</v>
      </c>
      <c r="J715" s="7">
        <f>IFERROR(VLOOKUP(D715,Event_Master!B:E,4,FALSE),1)</f>
        <v>1</v>
      </c>
      <c r="K715" s="7">
        <f t="shared" si="62"/>
        <v>0</v>
      </c>
      <c r="L715" s="19">
        <f t="shared" si="63"/>
        <v>33.326599999999999</v>
      </c>
    </row>
    <row r="716" spans="1:12">
      <c r="A716" s="20">
        <v>46029</v>
      </c>
      <c r="B716" s="6">
        <v>487107</v>
      </c>
      <c r="C716" s="7" t="str">
        <f>VLOOKUP(B716,Employee_Master!A:B,2,)</f>
        <v>Manish Kr. Singh</v>
      </c>
      <c r="D716" s="7" t="s">
        <v>206</v>
      </c>
      <c r="E716" s="7" t="s">
        <v>231</v>
      </c>
      <c r="F716" s="7" t="s">
        <v>231</v>
      </c>
      <c r="G716" s="7"/>
      <c r="H716" s="19">
        <v>27.104199999999999</v>
      </c>
      <c r="I716" s="7">
        <f t="shared" si="61"/>
        <v>0</v>
      </c>
      <c r="J716" s="7">
        <f>IFERROR(VLOOKUP(D716,Event_Master!B:E,4,FALSE),1)</f>
        <v>1</v>
      </c>
      <c r="K716" s="7">
        <f t="shared" si="62"/>
        <v>0</v>
      </c>
      <c r="L716" s="19">
        <f t="shared" si="63"/>
        <v>27.104199999999999</v>
      </c>
    </row>
    <row r="717" spans="1:12">
      <c r="A717" s="20">
        <v>46029</v>
      </c>
      <c r="B717" s="6">
        <v>492857</v>
      </c>
      <c r="C717" s="7" t="str">
        <f>VLOOKUP(B717,Employee_Master!A:B,2,)</f>
        <v>Arnima Thakur</v>
      </c>
      <c r="D717" s="7" t="s">
        <v>206</v>
      </c>
      <c r="E717" s="7" t="s">
        <v>231</v>
      </c>
      <c r="F717" s="7" t="s">
        <v>231</v>
      </c>
      <c r="G717" s="7"/>
      <c r="H717" s="19">
        <v>15.2393</v>
      </c>
      <c r="I717" s="7">
        <f t="shared" si="61"/>
        <v>0</v>
      </c>
      <c r="J717" s="7">
        <f>IFERROR(VLOOKUP(D717,Event_Master!B:E,4,FALSE),1)</f>
        <v>1</v>
      </c>
      <c r="K717" s="7">
        <f t="shared" si="62"/>
        <v>0</v>
      </c>
      <c r="L717" s="19">
        <f t="shared" si="63"/>
        <v>15.2393</v>
      </c>
    </row>
    <row r="718" spans="1:12">
      <c r="A718" s="20">
        <v>46029</v>
      </c>
      <c r="B718" s="6">
        <v>700216</v>
      </c>
      <c r="C718" s="7" t="str">
        <f>VLOOKUP(B718,Employee_Master!A:B,2,)</f>
        <v>Shivam Rani</v>
      </c>
      <c r="D718" s="7" t="s">
        <v>206</v>
      </c>
      <c r="E718" s="7" t="s">
        <v>231</v>
      </c>
      <c r="F718" s="7" t="s">
        <v>231</v>
      </c>
      <c r="G718" s="7"/>
      <c r="H718" s="19">
        <v>25.936599999999999</v>
      </c>
      <c r="I718" s="7">
        <f t="shared" si="61"/>
        <v>0</v>
      </c>
      <c r="J718" s="7">
        <f>IFERROR(VLOOKUP(D718,Event_Master!B:E,4,FALSE),1)</f>
        <v>1</v>
      </c>
      <c r="K718" s="7">
        <f t="shared" si="62"/>
        <v>0</v>
      </c>
      <c r="L718" s="19">
        <f t="shared" si="63"/>
        <v>25.936599999999999</v>
      </c>
    </row>
    <row r="719" spans="1:12">
      <c r="A719" s="20">
        <v>46029</v>
      </c>
      <c r="B719" s="6">
        <v>705995</v>
      </c>
      <c r="C719" s="7" t="str">
        <f>VLOOKUP(B719,Employee_Master!A:B,2,)</f>
        <v>Sahil.</v>
      </c>
      <c r="D719" s="7" t="s">
        <v>206</v>
      </c>
      <c r="E719" s="7" t="s">
        <v>231</v>
      </c>
      <c r="F719" s="7" t="s">
        <v>231</v>
      </c>
      <c r="G719" s="7"/>
      <c r="H719" s="19">
        <v>23.7818</v>
      </c>
      <c r="I719" s="7">
        <f t="shared" si="61"/>
        <v>0</v>
      </c>
      <c r="J719" s="7">
        <f>IFERROR(VLOOKUP(D719,Event_Master!B:E,4,FALSE),1)</f>
        <v>1</v>
      </c>
      <c r="K719" s="7">
        <f t="shared" si="62"/>
        <v>0</v>
      </c>
      <c r="L719" s="19">
        <f t="shared" si="63"/>
        <v>23.7818</v>
      </c>
    </row>
    <row r="720" spans="1:12">
      <c r="A720" s="20">
        <v>46029</v>
      </c>
      <c r="B720" s="6">
        <v>706181</v>
      </c>
      <c r="C720" s="7" t="str">
        <f>VLOOKUP(B720,Employee_Master!A:B,2,)</f>
        <v>Sonam Kachhap</v>
      </c>
      <c r="D720" s="7" t="s">
        <v>206</v>
      </c>
      <c r="E720" s="7" t="s">
        <v>231</v>
      </c>
      <c r="F720" s="7" t="s">
        <v>231</v>
      </c>
      <c r="G720" s="7"/>
      <c r="H720" s="19">
        <v>28.054200000000002</v>
      </c>
      <c r="I720" s="7">
        <f t="shared" si="61"/>
        <v>0</v>
      </c>
      <c r="J720" s="7">
        <f>IFERROR(VLOOKUP(D720,Event_Master!B:E,4,FALSE),1)</f>
        <v>1</v>
      </c>
      <c r="K720" s="7">
        <f t="shared" si="62"/>
        <v>0</v>
      </c>
      <c r="L720" s="19">
        <f t="shared" si="63"/>
        <v>28.054200000000002</v>
      </c>
    </row>
    <row r="721" spans="1:12">
      <c r="A721" s="20">
        <v>46029</v>
      </c>
      <c r="B721" s="6">
        <v>710013</v>
      </c>
      <c r="C721" s="7" t="str">
        <f>VLOOKUP(B721,Employee_Master!A:B,2,)</f>
        <v>Jyoti Saini</v>
      </c>
      <c r="D721" s="7" t="s">
        <v>206</v>
      </c>
      <c r="E721" s="7" t="s">
        <v>231</v>
      </c>
      <c r="F721" s="7" t="s">
        <v>231</v>
      </c>
      <c r="G721" s="7"/>
      <c r="H721" s="19">
        <v>30.975300000000001</v>
      </c>
      <c r="I721" s="7">
        <f t="shared" si="61"/>
        <v>0</v>
      </c>
      <c r="J721" s="7">
        <f>IFERROR(VLOOKUP(D721,Event_Master!B:E,4,FALSE),1)</f>
        <v>1</v>
      </c>
      <c r="K721" s="7">
        <f t="shared" si="62"/>
        <v>0</v>
      </c>
      <c r="L721" s="19">
        <f t="shared" si="63"/>
        <v>30.975300000000001</v>
      </c>
    </row>
    <row r="722" spans="1:12">
      <c r="A722" s="20">
        <v>46029</v>
      </c>
      <c r="B722" s="6">
        <v>712428</v>
      </c>
      <c r="C722" s="7" t="str">
        <f>VLOOKUP(B722,Employee_Master!A:B,2,)</f>
        <v>Akanksha Gangwar</v>
      </c>
      <c r="D722" s="7" t="s">
        <v>206</v>
      </c>
      <c r="E722" s="7" t="s">
        <v>231</v>
      </c>
      <c r="F722" s="7" t="s">
        <v>231</v>
      </c>
      <c r="G722" s="7"/>
      <c r="H722" s="19">
        <v>33.082900000000002</v>
      </c>
      <c r="I722" s="7">
        <f t="shared" si="61"/>
        <v>0</v>
      </c>
      <c r="J722" s="7">
        <f>IFERROR(VLOOKUP(D722,Event_Master!B:E,4,FALSE),1)</f>
        <v>1</v>
      </c>
      <c r="K722" s="7">
        <f t="shared" si="62"/>
        <v>0</v>
      </c>
      <c r="L722" s="19">
        <f t="shared" si="63"/>
        <v>33.082900000000002</v>
      </c>
    </row>
    <row r="723" spans="1:12">
      <c r="A723" s="20">
        <v>46029</v>
      </c>
      <c r="B723" s="6">
        <v>716610</v>
      </c>
      <c r="C723" s="7" t="str">
        <f>VLOOKUP(B723,Employee_Master!A:B,2,)</f>
        <v>Naval Singh</v>
      </c>
      <c r="D723" s="7" t="s">
        <v>206</v>
      </c>
      <c r="E723" s="7" t="s">
        <v>231</v>
      </c>
      <c r="F723" s="7" t="s">
        <v>231</v>
      </c>
      <c r="G723" s="7"/>
      <c r="H723" s="19">
        <v>33.228299999999997</v>
      </c>
      <c r="I723" s="7">
        <f t="shared" ref="I723:I728" si="64">IF(G723="Winner",100,IF(G723="Runner-up",70,IF(G723="2nd Runner-up",50,IF(G723="Semi",30,IF(G723="Quarter",20,0)))))</f>
        <v>0</v>
      </c>
      <c r="J723" s="7">
        <f>IFERROR(VLOOKUP(D723,Event_Master!B:E,4,FALSE),1)</f>
        <v>1</v>
      </c>
      <c r="K723" s="7">
        <f t="shared" ref="K723:K728" si="65">(I723*J723)</f>
        <v>0</v>
      </c>
      <c r="L723" s="19">
        <f t="shared" ref="L723:L728" si="66">K723+H723</f>
        <v>33.228299999999997</v>
      </c>
    </row>
    <row r="724" spans="1:12">
      <c r="A724" s="20">
        <v>46029</v>
      </c>
      <c r="B724" s="6">
        <v>722183</v>
      </c>
      <c r="C724" s="7" t="str">
        <f>VLOOKUP(B724,Employee_Master!A:B,2,)</f>
        <v>Harpreet Kaur Malik</v>
      </c>
      <c r="D724" s="7" t="s">
        <v>206</v>
      </c>
      <c r="E724" s="7" t="s">
        <v>231</v>
      </c>
      <c r="F724" s="7" t="s">
        <v>231</v>
      </c>
      <c r="G724" s="7"/>
      <c r="H724" s="19">
        <v>28.0138</v>
      </c>
      <c r="I724" s="7">
        <f t="shared" si="64"/>
        <v>0</v>
      </c>
      <c r="J724" s="7">
        <f>IFERROR(VLOOKUP(D724,Event_Master!B:E,4,FALSE),1)</f>
        <v>1</v>
      </c>
      <c r="K724" s="7">
        <f t="shared" si="65"/>
        <v>0</v>
      </c>
      <c r="L724" s="19">
        <f t="shared" si="66"/>
        <v>28.0138</v>
      </c>
    </row>
    <row r="725" spans="1:12">
      <c r="A725" s="20">
        <v>46029</v>
      </c>
      <c r="B725" s="6">
        <v>722356</v>
      </c>
      <c r="C725" s="7" t="str">
        <f>VLOOKUP(B725,Employee_Master!A:B,2,)</f>
        <v>Ashita Munjley</v>
      </c>
      <c r="D725" s="7" t="s">
        <v>206</v>
      </c>
      <c r="E725" s="7" t="s">
        <v>231</v>
      </c>
      <c r="F725" s="7" t="s">
        <v>231</v>
      </c>
      <c r="G725" s="7"/>
      <c r="H725" s="19">
        <v>16.634599999999999</v>
      </c>
      <c r="I725" s="7">
        <f t="shared" si="64"/>
        <v>0</v>
      </c>
      <c r="J725" s="7">
        <f>IFERROR(VLOOKUP(D725,Event_Master!B:E,4,FALSE),1)</f>
        <v>1</v>
      </c>
      <c r="K725" s="7">
        <f t="shared" si="65"/>
        <v>0</v>
      </c>
      <c r="L725" s="19">
        <f t="shared" si="66"/>
        <v>16.634599999999999</v>
      </c>
    </row>
    <row r="726" spans="1:12">
      <c r="A726" s="20">
        <v>46029</v>
      </c>
      <c r="B726" s="6">
        <v>725073</v>
      </c>
      <c r="C726" s="7" t="str">
        <f>VLOOKUP(B726,Employee_Master!A:B,2,)</f>
        <v>Pinki Gupta</v>
      </c>
      <c r="D726" s="7" t="s">
        <v>206</v>
      </c>
      <c r="E726" s="7" t="s">
        <v>231</v>
      </c>
      <c r="F726" s="7" t="s">
        <v>231</v>
      </c>
      <c r="G726" s="7"/>
      <c r="H726" s="19">
        <v>24.564399999999999</v>
      </c>
      <c r="I726" s="7">
        <f t="shared" si="64"/>
        <v>0</v>
      </c>
      <c r="J726" s="7">
        <f>IFERROR(VLOOKUP(D726,Event_Master!B:E,4,FALSE),1)</f>
        <v>1</v>
      </c>
      <c r="K726" s="7">
        <f t="shared" si="65"/>
        <v>0</v>
      </c>
      <c r="L726" s="19">
        <f t="shared" si="66"/>
        <v>24.564399999999999</v>
      </c>
    </row>
    <row r="727" spans="1:12">
      <c r="A727" s="20">
        <v>46029</v>
      </c>
      <c r="B727" s="6">
        <v>725373</v>
      </c>
      <c r="C727" s="7" t="str">
        <f>VLOOKUP(B727,Employee_Master!A:B,2,)</f>
        <v>Ishan Kalia</v>
      </c>
      <c r="D727" s="7" t="s">
        <v>206</v>
      </c>
      <c r="E727" s="7" t="s">
        <v>231</v>
      </c>
      <c r="F727" s="7" t="s">
        <v>231</v>
      </c>
      <c r="G727" s="7"/>
      <c r="H727" s="19">
        <v>26.049499999999998</v>
      </c>
      <c r="I727" s="7">
        <f t="shared" si="64"/>
        <v>0</v>
      </c>
      <c r="J727" s="7">
        <f>IFERROR(VLOOKUP(D727,Event_Master!B:E,4,FALSE),1)</f>
        <v>1</v>
      </c>
      <c r="K727" s="7">
        <f t="shared" si="65"/>
        <v>0</v>
      </c>
      <c r="L727" s="19">
        <f t="shared" si="66"/>
        <v>26.049499999999998</v>
      </c>
    </row>
    <row r="728" spans="1:12">
      <c r="A728" s="20">
        <v>46029</v>
      </c>
      <c r="B728" s="6">
        <v>727595</v>
      </c>
      <c r="C728" s="7" t="str">
        <f>VLOOKUP(B728,Employee_Master!A:B,2,)</f>
        <v>Vishal Jaiswal</v>
      </c>
      <c r="D728" s="7" t="s">
        <v>206</v>
      </c>
      <c r="E728" s="7" t="s">
        <v>231</v>
      </c>
      <c r="F728" s="7" t="s">
        <v>231</v>
      </c>
      <c r="G728" s="7"/>
      <c r="H728" s="19">
        <v>32.185899999999997</v>
      </c>
      <c r="I728" s="7">
        <f t="shared" si="64"/>
        <v>0</v>
      </c>
      <c r="J728" s="7">
        <f>IFERROR(VLOOKUP(D728,Event_Master!B:E,4,FALSE),1)</f>
        <v>1</v>
      </c>
      <c r="K728" s="7">
        <f t="shared" si="65"/>
        <v>0</v>
      </c>
      <c r="L728" s="19">
        <f t="shared" si="66"/>
        <v>32.185899999999997</v>
      </c>
    </row>
    <row r="729" spans="1:12">
      <c r="A729" s="20">
        <v>46029</v>
      </c>
      <c r="B729" s="6">
        <v>461161</v>
      </c>
      <c r="C729" s="7" t="str">
        <f>VLOOKUP(B729,Employee_Master!A:B,2,)</f>
        <v>Abhay Singh</v>
      </c>
      <c r="D729" s="7" t="s">
        <v>206</v>
      </c>
      <c r="E729" s="7" t="s">
        <v>231</v>
      </c>
      <c r="F729" s="7" t="s">
        <v>231</v>
      </c>
      <c r="G729" s="7"/>
      <c r="H729" s="19">
        <v>15.4481</v>
      </c>
      <c r="I729" s="7">
        <f t="shared" ref="I729:I792" si="67">IF(G729="Winner",100,IF(G729="Runner-up",70,IF(G729="2nd Runner-up",50,IF(G729="Semi",30,IF(G729="Quarter",20,0)))))</f>
        <v>0</v>
      </c>
      <c r="J729" s="7">
        <f>IFERROR(VLOOKUP(D729,Event_Master!B:E,4,FALSE),1)</f>
        <v>1</v>
      </c>
      <c r="K729" s="7">
        <f t="shared" ref="K729:K792" si="68">(I729*J729)</f>
        <v>0</v>
      </c>
      <c r="L729" s="19">
        <f t="shared" ref="L729:L792" si="69">K729+H729</f>
        <v>15.4481</v>
      </c>
    </row>
    <row r="730" spans="1:12">
      <c r="A730" s="20">
        <v>46029</v>
      </c>
      <c r="B730" s="6">
        <v>456091</v>
      </c>
      <c r="C730" s="7" t="str">
        <f>VLOOKUP(B730,Employee_Master!A:B,2,)</f>
        <v>Abhinesh Pandey</v>
      </c>
      <c r="D730" s="7" t="s">
        <v>206</v>
      </c>
      <c r="E730" s="7" t="s">
        <v>231</v>
      </c>
      <c r="F730" s="7" t="s">
        <v>231</v>
      </c>
      <c r="G730" s="7"/>
      <c r="H730" s="19">
        <v>18.806699999999999</v>
      </c>
      <c r="I730" s="7">
        <f t="shared" si="67"/>
        <v>0</v>
      </c>
      <c r="J730" s="7">
        <f>IFERROR(VLOOKUP(D730,Event_Master!B:E,4,FALSE),1)</f>
        <v>1</v>
      </c>
      <c r="K730" s="7">
        <f t="shared" si="68"/>
        <v>0</v>
      </c>
      <c r="L730" s="19">
        <f t="shared" si="69"/>
        <v>18.806699999999999</v>
      </c>
    </row>
    <row r="731" spans="1:12">
      <c r="A731" s="20">
        <v>46029</v>
      </c>
      <c r="B731" s="6">
        <v>478266</v>
      </c>
      <c r="C731" s="7" t="str">
        <f>VLOOKUP(B731,Employee_Master!A:B,2,)</f>
        <v xml:space="preserve">Abhishek Sharma </v>
      </c>
      <c r="D731" s="7" t="s">
        <v>206</v>
      </c>
      <c r="E731" s="7" t="s">
        <v>231</v>
      </c>
      <c r="F731" s="7" t="s">
        <v>231</v>
      </c>
      <c r="G731" s="7"/>
      <c r="H731" s="19">
        <v>10.2143</v>
      </c>
      <c r="I731" s="7">
        <f t="shared" si="67"/>
        <v>0</v>
      </c>
      <c r="J731" s="7">
        <f>IFERROR(VLOOKUP(D731,Event_Master!B:E,4,FALSE),1)</f>
        <v>1</v>
      </c>
      <c r="K731" s="7">
        <f t="shared" si="68"/>
        <v>0</v>
      </c>
      <c r="L731" s="19">
        <f t="shared" si="69"/>
        <v>10.2143</v>
      </c>
    </row>
    <row r="732" spans="1:12">
      <c r="A732" s="20">
        <v>46029</v>
      </c>
      <c r="B732" s="6">
        <v>724729</v>
      </c>
      <c r="C732" s="7" t="str">
        <f>VLOOKUP(B732,Employee_Master!A:B,2,)</f>
        <v>Akash Kumar</v>
      </c>
      <c r="D732" s="7" t="s">
        <v>206</v>
      </c>
      <c r="E732" s="7" t="s">
        <v>231</v>
      </c>
      <c r="F732" s="7" t="s">
        <v>231</v>
      </c>
      <c r="G732" s="7"/>
      <c r="H732" s="19">
        <v>11.8932</v>
      </c>
      <c r="I732" s="7">
        <f t="shared" si="67"/>
        <v>0</v>
      </c>
      <c r="J732" s="7">
        <f>IFERROR(VLOOKUP(D732,Event_Master!B:E,4,FALSE),1)</f>
        <v>1</v>
      </c>
      <c r="K732" s="7">
        <f t="shared" si="68"/>
        <v>0</v>
      </c>
      <c r="L732" s="19">
        <f t="shared" si="69"/>
        <v>11.8932</v>
      </c>
    </row>
    <row r="733" spans="1:12">
      <c r="A733" s="20">
        <v>46029</v>
      </c>
      <c r="B733" s="6">
        <v>430977</v>
      </c>
      <c r="C733" s="7" t="str">
        <f>VLOOKUP(B733,Employee_Master!A:B,2,)</f>
        <v>Akshit Sood</v>
      </c>
      <c r="D733" s="7" t="s">
        <v>206</v>
      </c>
      <c r="E733" s="7" t="s">
        <v>231</v>
      </c>
      <c r="F733" s="7" t="s">
        <v>231</v>
      </c>
      <c r="G733" s="7"/>
      <c r="H733" s="19">
        <v>23.433399999999999</v>
      </c>
      <c r="I733" s="7">
        <f t="shared" si="67"/>
        <v>0</v>
      </c>
      <c r="J733" s="7">
        <f>IFERROR(VLOOKUP(D733,Event_Master!B:E,4,FALSE),1)</f>
        <v>1</v>
      </c>
      <c r="K733" s="7">
        <f t="shared" si="68"/>
        <v>0</v>
      </c>
      <c r="L733" s="19">
        <f t="shared" si="69"/>
        <v>23.433399999999999</v>
      </c>
    </row>
    <row r="734" spans="1:12">
      <c r="A734" s="20">
        <v>46029</v>
      </c>
      <c r="B734" s="6">
        <v>468157</v>
      </c>
      <c r="C734" s="7" t="str">
        <f>VLOOKUP(B734,Employee_Master!A:B,2,)</f>
        <v>Ankit Tiwari</v>
      </c>
      <c r="D734" s="7" t="s">
        <v>206</v>
      </c>
      <c r="E734" s="7" t="s">
        <v>231</v>
      </c>
      <c r="F734" s="7" t="s">
        <v>231</v>
      </c>
      <c r="G734" s="7"/>
      <c r="H734" s="19">
        <v>6.7423999999999999</v>
      </c>
      <c r="I734" s="7">
        <f t="shared" si="67"/>
        <v>0</v>
      </c>
      <c r="J734" s="7">
        <f>IFERROR(VLOOKUP(D734,Event_Master!B:E,4,FALSE),1)</f>
        <v>1</v>
      </c>
      <c r="K734" s="7">
        <f t="shared" si="68"/>
        <v>0</v>
      </c>
      <c r="L734" s="19">
        <f t="shared" si="69"/>
        <v>6.7423999999999999</v>
      </c>
    </row>
    <row r="735" spans="1:12">
      <c r="A735" s="20">
        <v>46029</v>
      </c>
      <c r="B735" s="6">
        <v>486309</v>
      </c>
      <c r="C735" s="7" t="str">
        <f>VLOOKUP(B735,Employee_Master!A:B,2,)</f>
        <v>Ankit Bhatt</v>
      </c>
      <c r="D735" s="7" t="s">
        <v>206</v>
      </c>
      <c r="E735" s="7" t="s">
        <v>231</v>
      </c>
      <c r="F735" s="7" t="s">
        <v>231</v>
      </c>
      <c r="G735" s="7"/>
      <c r="H735" s="19">
        <v>26.878499999999999</v>
      </c>
      <c r="I735" s="7">
        <f t="shared" si="67"/>
        <v>0</v>
      </c>
      <c r="J735" s="7">
        <f>IFERROR(VLOOKUP(D735,Event_Master!B:E,4,FALSE),1)</f>
        <v>1</v>
      </c>
      <c r="K735" s="7">
        <f t="shared" si="68"/>
        <v>0</v>
      </c>
      <c r="L735" s="19">
        <f t="shared" si="69"/>
        <v>26.878499999999999</v>
      </c>
    </row>
    <row r="736" spans="1:12">
      <c r="A736" s="20">
        <v>46029</v>
      </c>
      <c r="B736" s="6">
        <v>467068</v>
      </c>
      <c r="C736" s="7" t="str">
        <f>VLOOKUP(B736,Employee_Master!A:B,2,)</f>
        <v>Anuj Kumar</v>
      </c>
      <c r="D736" s="7" t="s">
        <v>206</v>
      </c>
      <c r="E736" s="7" t="s">
        <v>231</v>
      </c>
      <c r="F736" s="7" t="s">
        <v>231</v>
      </c>
      <c r="G736" s="7"/>
      <c r="H736" s="19">
        <v>16.091699999999999</v>
      </c>
      <c r="I736" s="7">
        <f t="shared" si="67"/>
        <v>0</v>
      </c>
      <c r="J736" s="7">
        <f>IFERROR(VLOOKUP(D736,Event_Master!B:E,4,FALSE),1)</f>
        <v>1</v>
      </c>
      <c r="K736" s="7">
        <f t="shared" si="68"/>
        <v>0</v>
      </c>
      <c r="L736" s="19">
        <f t="shared" si="69"/>
        <v>16.091699999999999</v>
      </c>
    </row>
    <row r="737" spans="1:12">
      <c r="A737" s="20">
        <v>46029</v>
      </c>
      <c r="B737" s="6">
        <v>453948</v>
      </c>
      <c r="C737" s="7" t="str">
        <f>VLOOKUP(B737,Employee_Master!A:B,2,)</f>
        <v>Ashish Bhardwaj</v>
      </c>
      <c r="D737" s="7" t="s">
        <v>206</v>
      </c>
      <c r="E737" s="7" t="s">
        <v>231</v>
      </c>
      <c r="F737" s="7" t="s">
        <v>231</v>
      </c>
      <c r="G737" s="7"/>
      <c r="H737" s="19">
        <v>17.602599999999999</v>
      </c>
      <c r="I737" s="7">
        <f t="shared" si="67"/>
        <v>0</v>
      </c>
      <c r="J737" s="7">
        <f>IFERROR(VLOOKUP(D737,Event_Master!B:E,4,FALSE),1)</f>
        <v>1</v>
      </c>
      <c r="K737" s="7">
        <f t="shared" si="68"/>
        <v>0</v>
      </c>
      <c r="L737" s="19">
        <f t="shared" si="69"/>
        <v>17.602599999999999</v>
      </c>
    </row>
    <row r="738" spans="1:12">
      <c r="A738" s="20">
        <v>46029</v>
      </c>
      <c r="B738" s="6">
        <v>721766</v>
      </c>
      <c r="C738" s="7" t="str">
        <f>VLOOKUP(B738,Employee_Master!A:B,2,)</f>
        <v>BHAWNA SHARMA</v>
      </c>
      <c r="D738" s="7" t="s">
        <v>206</v>
      </c>
      <c r="E738" s="7" t="s">
        <v>231</v>
      </c>
      <c r="F738" s="7" t="s">
        <v>231</v>
      </c>
      <c r="G738" s="7"/>
      <c r="H738" s="19">
        <v>22.3658</v>
      </c>
      <c r="I738" s="7">
        <f t="shared" si="67"/>
        <v>0</v>
      </c>
      <c r="J738" s="7">
        <f>IFERROR(VLOOKUP(D738,Event_Master!B:E,4,FALSE),1)</f>
        <v>1</v>
      </c>
      <c r="K738" s="7">
        <f t="shared" si="68"/>
        <v>0</v>
      </c>
      <c r="L738" s="19">
        <f t="shared" si="69"/>
        <v>22.3658</v>
      </c>
    </row>
    <row r="739" spans="1:12">
      <c r="A739" s="20">
        <v>46029</v>
      </c>
      <c r="B739" s="6">
        <v>420109</v>
      </c>
      <c r="C739" s="7" t="str">
        <f>VLOOKUP(B739,Employee_Master!A:B,2,)</f>
        <v>Chandraprakash Nandwana</v>
      </c>
      <c r="D739" s="7" t="s">
        <v>206</v>
      </c>
      <c r="E739" s="7" t="s">
        <v>231</v>
      </c>
      <c r="F739" s="7" t="s">
        <v>231</v>
      </c>
      <c r="G739" s="7"/>
      <c r="H739" s="19">
        <v>19.943100000000001</v>
      </c>
      <c r="I739" s="7">
        <f t="shared" si="67"/>
        <v>0</v>
      </c>
      <c r="J739" s="7">
        <f>IFERROR(VLOOKUP(D739,Event_Master!B:E,4,FALSE),1)</f>
        <v>1</v>
      </c>
      <c r="K739" s="7">
        <f t="shared" si="68"/>
        <v>0</v>
      </c>
      <c r="L739" s="19">
        <f t="shared" si="69"/>
        <v>19.943100000000001</v>
      </c>
    </row>
    <row r="740" spans="1:12">
      <c r="A740" s="20">
        <v>46029</v>
      </c>
      <c r="B740" s="6">
        <v>464500</v>
      </c>
      <c r="C740" s="7" t="str">
        <f>VLOOKUP(B740,Employee_Master!A:B,2,)</f>
        <v>Dalip Sharma</v>
      </c>
      <c r="D740" s="7" t="s">
        <v>206</v>
      </c>
      <c r="E740" s="7" t="s">
        <v>231</v>
      </c>
      <c r="F740" s="7" t="s">
        <v>231</v>
      </c>
      <c r="G740" s="7"/>
      <c r="H740" s="19">
        <v>31.467700000000001</v>
      </c>
      <c r="I740" s="7">
        <f t="shared" si="67"/>
        <v>0</v>
      </c>
      <c r="J740" s="7">
        <f>IFERROR(VLOOKUP(D740,Event_Master!B:E,4,FALSE),1)</f>
        <v>1</v>
      </c>
      <c r="K740" s="7">
        <f t="shared" si="68"/>
        <v>0</v>
      </c>
      <c r="L740" s="19">
        <f t="shared" si="69"/>
        <v>31.467700000000001</v>
      </c>
    </row>
    <row r="741" spans="1:12">
      <c r="A741" s="20">
        <v>46029</v>
      </c>
      <c r="B741" s="6">
        <v>456706</v>
      </c>
      <c r="C741" s="7" t="str">
        <f>VLOOKUP(B741,Employee_Master!A:B,2,)</f>
        <v>Daljit Singh</v>
      </c>
      <c r="D741" s="7" t="s">
        <v>206</v>
      </c>
      <c r="E741" s="7" t="s">
        <v>231</v>
      </c>
      <c r="F741" s="7" t="s">
        <v>231</v>
      </c>
      <c r="G741" s="7"/>
      <c r="H741" s="19">
        <v>19.613099999999999</v>
      </c>
      <c r="I741" s="7">
        <f t="shared" si="67"/>
        <v>0</v>
      </c>
      <c r="J741" s="7">
        <f>IFERROR(VLOOKUP(D741,Event_Master!B:E,4,FALSE),1)</f>
        <v>1</v>
      </c>
      <c r="K741" s="7">
        <f t="shared" si="68"/>
        <v>0</v>
      </c>
      <c r="L741" s="19">
        <f t="shared" si="69"/>
        <v>19.613099999999999</v>
      </c>
    </row>
    <row r="742" spans="1:12">
      <c r="A742" s="20">
        <v>46029</v>
      </c>
      <c r="B742" s="6">
        <v>447096</v>
      </c>
      <c r="C742" s="7" t="str">
        <f>VLOOKUP(B742,Employee_Master!A:B,2,)</f>
        <v>Deepak Tiwari</v>
      </c>
      <c r="D742" s="7" t="s">
        <v>206</v>
      </c>
      <c r="E742" s="7" t="s">
        <v>231</v>
      </c>
      <c r="F742" s="7" t="s">
        <v>231</v>
      </c>
      <c r="G742" s="7"/>
      <c r="H742" s="19">
        <v>12.501899999999999</v>
      </c>
      <c r="I742" s="7">
        <f t="shared" si="67"/>
        <v>0</v>
      </c>
      <c r="J742" s="7">
        <f>IFERROR(VLOOKUP(D742,Event_Master!B:E,4,FALSE),1)</f>
        <v>1</v>
      </c>
      <c r="K742" s="7">
        <f t="shared" si="68"/>
        <v>0</v>
      </c>
      <c r="L742" s="19">
        <f t="shared" si="69"/>
        <v>12.501899999999999</v>
      </c>
    </row>
    <row r="743" spans="1:12">
      <c r="A743" s="20">
        <v>46029</v>
      </c>
      <c r="B743" s="6">
        <v>460812</v>
      </c>
      <c r="C743" s="7" t="str">
        <f>VLOOKUP(B743,Employee_Master!A:B,2,)</f>
        <v>Deepak Sharma</v>
      </c>
      <c r="D743" s="7" t="s">
        <v>206</v>
      </c>
      <c r="E743" s="7" t="s">
        <v>231</v>
      </c>
      <c r="F743" s="7" t="s">
        <v>231</v>
      </c>
      <c r="G743" s="7"/>
      <c r="H743" s="19">
        <v>16.449200000000001</v>
      </c>
      <c r="I743" s="7">
        <f t="shared" si="67"/>
        <v>0</v>
      </c>
      <c r="J743" s="7">
        <f>IFERROR(VLOOKUP(D743,Event_Master!B:E,4,FALSE),1)</f>
        <v>1</v>
      </c>
      <c r="K743" s="7">
        <f t="shared" si="68"/>
        <v>0</v>
      </c>
      <c r="L743" s="19">
        <f t="shared" si="69"/>
        <v>16.449200000000001</v>
      </c>
    </row>
    <row r="744" spans="1:12">
      <c r="A744" s="20">
        <v>46029</v>
      </c>
      <c r="B744" s="6">
        <v>460513</v>
      </c>
      <c r="C744" s="7" t="str">
        <f>VLOOKUP(B744,Employee_Master!A:B,2,)</f>
        <v>Dinesh Kumar</v>
      </c>
      <c r="D744" s="7" t="s">
        <v>206</v>
      </c>
      <c r="E744" s="7" t="s">
        <v>231</v>
      </c>
      <c r="F744" s="7" t="s">
        <v>231</v>
      </c>
      <c r="G744" s="7"/>
      <c r="H744" s="19">
        <v>27.432099999999998</v>
      </c>
      <c r="I744" s="7">
        <f t="shared" si="67"/>
        <v>0</v>
      </c>
      <c r="J744" s="7">
        <f>IFERROR(VLOOKUP(D744,Event_Master!B:E,4,FALSE),1)</f>
        <v>1</v>
      </c>
      <c r="K744" s="7">
        <f t="shared" si="68"/>
        <v>0</v>
      </c>
      <c r="L744" s="19">
        <f t="shared" si="69"/>
        <v>27.432099999999998</v>
      </c>
    </row>
    <row r="745" spans="1:12">
      <c r="A745" s="20">
        <v>46029</v>
      </c>
      <c r="B745" s="6">
        <v>452991</v>
      </c>
      <c r="C745" s="7" t="str">
        <f>VLOOKUP(B745,Employee_Master!A:B,2,)</f>
        <v>Gourav Rohilla</v>
      </c>
      <c r="D745" s="7" t="s">
        <v>206</v>
      </c>
      <c r="E745" s="7" t="s">
        <v>231</v>
      </c>
      <c r="F745" s="7" t="s">
        <v>231</v>
      </c>
      <c r="G745" s="7"/>
      <c r="H745" s="19">
        <v>10.7768</v>
      </c>
      <c r="I745" s="7">
        <f t="shared" si="67"/>
        <v>0</v>
      </c>
      <c r="J745" s="7">
        <f>IFERROR(VLOOKUP(D745,Event_Master!B:E,4,FALSE),1)</f>
        <v>1</v>
      </c>
      <c r="K745" s="7">
        <f t="shared" si="68"/>
        <v>0</v>
      </c>
      <c r="L745" s="19">
        <f t="shared" si="69"/>
        <v>10.7768</v>
      </c>
    </row>
    <row r="746" spans="1:12">
      <c r="A746" s="20">
        <v>46029</v>
      </c>
      <c r="B746" s="6">
        <v>435548</v>
      </c>
      <c r="C746" s="7" t="str">
        <f>VLOOKUP(B746,Employee_Master!A:B,2,)</f>
        <v>Gurwant Sran</v>
      </c>
      <c r="D746" s="7" t="s">
        <v>206</v>
      </c>
      <c r="E746" s="7" t="s">
        <v>231</v>
      </c>
      <c r="F746" s="7" t="s">
        <v>231</v>
      </c>
      <c r="G746" s="7"/>
      <c r="H746" s="19">
        <v>41.522300000000001</v>
      </c>
      <c r="I746" s="7">
        <f t="shared" si="67"/>
        <v>0</v>
      </c>
      <c r="J746" s="7">
        <f>IFERROR(VLOOKUP(D746,Event_Master!B:E,4,FALSE),1)</f>
        <v>1</v>
      </c>
      <c r="K746" s="7">
        <f t="shared" si="68"/>
        <v>0</v>
      </c>
      <c r="L746" s="19">
        <f t="shared" si="69"/>
        <v>41.522300000000001</v>
      </c>
    </row>
    <row r="747" spans="1:12">
      <c r="A747" s="20">
        <v>46029</v>
      </c>
      <c r="B747" s="6">
        <v>448882</v>
      </c>
      <c r="C747" s="7" t="str">
        <f>VLOOKUP(B747,Employee_Master!A:B,2,)</f>
        <v>Gurwinder Singh</v>
      </c>
      <c r="D747" s="7" t="s">
        <v>206</v>
      </c>
      <c r="E747" s="7" t="s">
        <v>231</v>
      </c>
      <c r="F747" s="7" t="s">
        <v>231</v>
      </c>
      <c r="G747" s="7"/>
      <c r="H747" s="19">
        <v>33.550899999999999</v>
      </c>
      <c r="I747" s="7">
        <f t="shared" si="67"/>
        <v>0</v>
      </c>
      <c r="J747" s="7">
        <f>IFERROR(VLOOKUP(D747,Event_Master!B:E,4,FALSE),1)</f>
        <v>1</v>
      </c>
      <c r="K747" s="7">
        <f t="shared" si="68"/>
        <v>0</v>
      </c>
      <c r="L747" s="19">
        <f t="shared" si="69"/>
        <v>33.550899999999999</v>
      </c>
    </row>
    <row r="748" spans="1:12">
      <c r="A748" s="20">
        <v>46029</v>
      </c>
      <c r="B748" s="6">
        <v>479348</v>
      </c>
      <c r="C748" s="7" t="str">
        <f>VLOOKUP(B748,Employee_Master!A:B,2,)</f>
        <v>Harmandeep</v>
      </c>
      <c r="D748" s="7" t="s">
        <v>206</v>
      </c>
      <c r="E748" s="7" t="s">
        <v>231</v>
      </c>
      <c r="F748" s="7" t="s">
        <v>231</v>
      </c>
      <c r="G748" s="7"/>
      <c r="H748" s="19">
        <v>12.143800000000001</v>
      </c>
      <c r="I748" s="7">
        <f t="shared" si="67"/>
        <v>0</v>
      </c>
      <c r="J748" s="7">
        <f>IFERROR(VLOOKUP(D748,Event_Master!B:E,4,FALSE),1)</f>
        <v>1</v>
      </c>
      <c r="K748" s="7">
        <f t="shared" si="68"/>
        <v>0</v>
      </c>
      <c r="L748" s="19">
        <f t="shared" si="69"/>
        <v>12.143800000000001</v>
      </c>
    </row>
    <row r="749" spans="1:12">
      <c r="A749" s="20">
        <v>46029</v>
      </c>
      <c r="B749" s="6">
        <v>464193</v>
      </c>
      <c r="C749" s="7" t="str">
        <f>VLOOKUP(B749,Employee_Master!A:B,2,)</f>
        <v>Hemant Singh</v>
      </c>
      <c r="D749" s="7" t="s">
        <v>206</v>
      </c>
      <c r="E749" s="7" t="s">
        <v>231</v>
      </c>
      <c r="F749" s="7" t="s">
        <v>231</v>
      </c>
      <c r="G749" s="7"/>
      <c r="H749" s="19">
        <v>12.6401</v>
      </c>
      <c r="I749" s="7">
        <f t="shared" si="67"/>
        <v>0</v>
      </c>
      <c r="J749" s="7">
        <f>IFERROR(VLOOKUP(D749,Event_Master!B:E,4,FALSE),1)</f>
        <v>1</v>
      </c>
      <c r="K749" s="7">
        <f t="shared" si="68"/>
        <v>0</v>
      </c>
      <c r="L749" s="19">
        <f t="shared" si="69"/>
        <v>12.6401</v>
      </c>
    </row>
    <row r="750" spans="1:12">
      <c r="A750" s="20">
        <v>46029</v>
      </c>
      <c r="B750" s="6">
        <v>479724</v>
      </c>
      <c r="C750" s="7" t="str">
        <f>VLOOKUP(B750,Employee_Master!A:B,2,)</f>
        <v>Honey</v>
      </c>
      <c r="D750" s="7" t="s">
        <v>206</v>
      </c>
      <c r="E750" s="7" t="s">
        <v>231</v>
      </c>
      <c r="F750" s="7" t="s">
        <v>231</v>
      </c>
      <c r="G750" s="7"/>
      <c r="H750" s="19">
        <v>50.667400000000001</v>
      </c>
      <c r="I750" s="7">
        <f t="shared" si="67"/>
        <v>0</v>
      </c>
      <c r="J750" s="7">
        <f>IFERROR(VLOOKUP(D750,Event_Master!B:E,4,FALSE),1)</f>
        <v>1</v>
      </c>
      <c r="K750" s="7">
        <f t="shared" si="68"/>
        <v>0</v>
      </c>
      <c r="L750" s="19">
        <f t="shared" si="69"/>
        <v>50.667400000000001</v>
      </c>
    </row>
    <row r="751" spans="1:12">
      <c r="A751" s="20">
        <v>46029</v>
      </c>
      <c r="B751" s="6">
        <v>726234</v>
      </c>
      <c r="C751" s="7" t="str">
        <f>VLOOKUP(B751,Employee_Master!A:B,2,)</f>
        <v>Jaspal Singh</v>
      </c>
      <c r="D751" s="7" t="s">
        <v>206</v>
      </c>
      <c r="E751" s="7" t="s">
        <v>231</v>
      </c>
      <c r="F751" s="7" t="s">
        <v>231</v>
      </c>
      <c r="G751" s="7"/>
      <c r="H751" s="19">
        <v>6.8240999999999996</v>
      </c>
      <c r="I751" s="7">
        <f t="shared" si="67"/>
        <v>0</v>
      </c>
      <c r="J751" s="7">
        <f>IFERROR(VLOOKUP(D751,Event_Master!B:E,4,FALSE),1)</f>
        <v>1</v>
      </c>
      <c r="K751" s="7">
        <f t="shared" si="68"/>
        <v>0</v>
      </c>
      <c r="L751" s="19">
        <f t="shared" si="69"/>
        <v>6.8240999999999996</v>
      </c>
    </row>
    <row r="752" spans="1:12">
      <c r="A752" s="20">
        <v>46029</v>
      </c>
      <c r="B752" s="6">
        <v>473266</v>
      </c>
      <c r="C752" s="7" t="str">
        <f>VLOOKUP(B752,Employee_Master!A:B,2,)</f>
        <v>Jitender Yadav</v>
      </c>
      <c r="D752" s="7" t="s">
        <v>206</v>
      </c>
      <c r="E752" s="7" t="s">
        <v>231</v>
      </c>
      <c r="F752" s="7" t="s">
        <v>231</v>
      </c>
      <c r="G752" s="7"/>
      <c r="H752" s="19">
        <v>33.926000000000002</v>
      </c>
      <c r="I752" s="7">
        <f t="shared" si="67"/>
        <v>0</v>
      </c>
      <c r="J752" s="7">
        <f>IFERROR(VLOOKUP(D752,Event_Master!B:E,4,FALSE),1)</f>
        <v>1</v>
      </c>
      <c r="K752" s="7">
        <f t="shared" si="68"/>
        <v>0</v>
      </c>
      <c r="L752" s="19">
        <f t="shared" si="69"/>
        <v>33.926000000000002</v>
      </c>
    </row>
    <row r="753" spans="1:12">
      <c r="A753" s="20">
        <v>46029</v>
      </c>
      <c r="B753" s="6">
        <v>710555</v>
      </c>
      <c r="C753" s="7" t="str">
        <f>VLOOKUP(B753,Employee_Master!A:B,2,)</f>
        <v>Jyoti Chauhan</v>
      </c>
      <c r="D753" s="7" t="s">
        <v>206</v>
      </c>
      <c r="E753" s="7" t="s">
        <v>231</v>
      </c>
      <c r="F753" s="7" t="s">
        <v>231</v>
      </c>
      <c r="G753" s="7"/>
      <c r="H753" s="19">
        <v>23.021799999999999</v>
      </c>
      <c r="I753" s="7">
        <f t="shared" si="67"/>
        <v>0</v>
      </c>
      <c r="J753" s="7">
        <f>IFERROR(VLOOKUP(D753,Event_Master!B:E,4,FALSE),1)</f>
        <v>1</v>
      </c>
      <c r="K753" s="7">
        <f t="shared" si="68"/>
        <v>0</v>
      </c>
      <c r="L753" s="19">
        <f t="shared" si="69"/>
        <v>23.021799999999999</v>
      </c>
    </row>
    <row r="754" spans="1:12">
      <c r="A754" s="20">
        <v>46029</v>
      </c>
      <c r="B754" s="6">
        <v>709664</v>
      </c>
      <c r="C754" s="7" t="str">
        <f>VLOOKUP(B754,Employee_Master!A:B,2,)</f>
        <v>Kavita Rathore</v>
      </c>
      <c r="D754" s="7" t="s">
        <v>206</v>
      </c>
      <c r="E754" s="7" t="s">
        <v>231</v>
      </c>
      <c r="F754" s="7" t="s">
        <v>231</v>
      </c>
      <c r="G754" s="7"/>
      <c r="H754" s="19">
        <v>24.5898</v>
      </c>
      <c r="I754" s="7">
        <f t="shared" si="67"/>
        <v>0</v>
      </c>
      <c r="J754" s="7">
        <f>IFERROR(VLOOKUP(D754,Event_Master!B:E,4,FALSE),1)</f>
        <v>1</v>
      </c>
      <c r="K754" s="7">
        <f t="shared" si="68"/>
        <v>0</v>
      </c>
      <c r="L754" s="19">
        <f t="shared" si="69"/>
        <v>24.5898</v>
      </c>
    </row>
    <row r="755" spans="1:12">
      <c r="A755" s="20">
        <v>46029</v>
      </c>
      <c r="B755" s="6">
        <v>416828</v>
      </c>
      <c r="C755" s="7" t="str">
        <f>VLOOKUP(B755,Employee_Master!A:B,2,)</f>
        <v>Keshav Dev</v>
      </c>
      <c r="D755" s="7" t="s">
        <v>206</v>
      </c>
      <c r="E755" s="7" t="s">
        <v>231</v>
      </c>
      <c r="F755" s="7" t="s">
        <v>231</v>
      </c>
      <c r="G755" s="7"/>
      <c r="H755" s="19">
        <v>24.9054</v>
      </c>
      <c r="I755" s="7">
        <f t="shared" si="67"/>
        <v>0</v>
      </c>
      <c r="J755" s="7">
        <f>IFERROR(VLOOKUP(D755,Event_Master!B:E,4,FALSE),1)</f>
        <v>1</v>
      </c>
      <c r="K755" s="7">
        <f t="shared" si="68"/>
        <v>0</v>
      </c>
      <c r="L755" s="19">
        <f t="shared" si="69"/>
        <v>24.9054</v>
      </c>
    </row>
    <row r="756" spans="1:12">
      <c r="A756" s="20">
        <v>46029</v>
      </c>
      <c r="B756" s="6">
        <v>721899</v>
      </c>
      <c r="C756" s="7" t="str">
        <f>VLOOKUP(B756,Employee_Master!A:B,2,)</f>
        <v>Khushboo Yadav</v>
      </c>
      <c r="D756" s="7" t="s">
        <v>206</v>
      </c>
      <c r="E756" s="7" t="s">
        <v>231</v>
      </c>
      <c r="F756" s="7" t="s">
        <v>231</v>
      </c>
      <c r="G756" s="7"/>
      <c r="H756" s="19">
        <v>21.151</v>
      </c>
      <c r="I756" s="7">
        <f t="shared" si="67"/>
        <v>0</v>
      </c>
      <c r="J756" s="7">
        <f>IFERROR(VLOOKUP(D756,Event_Master!B:E,4,FALSE),1)</f>
        <v>1</v>
      </c>
      <c r="K756" s="7">
        <f t="shared" si="68"/>
        <v>0</v>
      </c>
      <c r="L756" s="19">
        <f t="shared" si="69"/>
        <v>21.151</v>
      </c>
    </row>
    <row r="757" spans="1:12">
      <c r="A757" s="20">
        <v>46029</v>
      </c>
      <c r="B757" s="6">
        <v>722393</v>
      </c>
      <c r="C757" s="7" t="str">
        <f>VLOOKUP(B757,Employee_Master!A:B,2,)</f>
        <v>Koteswara Devireddy</v>
      </c>
      <c r="D757" s="7" t="s">
        <v>206</v>
      </c>
      <c r="E757" s="7" t="s">
        <v>231</v>
      </c>
      <c r="F757" s="7" t="s">
        <v>231</v>
      </c>
      <c r="G757" s="7"/>
      <c r="H757" s="19">
        <v>23.5107</v>
      </c>
      <c r="I757" s="7">
        <f t="shared" si="67"/>
        <v>0</v>
      </c>
      <c r="J757" s="7">
        <f>IFERROR(VLOOKUP(D757,Event_Master!B:E,4,FALSE),1)</f>
        <v>1</v>
      </c>
      <c r="K757" s="7">
        <f t="shared" si="68"/>
        <v>0</v>
      </c>
      <c r="L757" s="19">
        <f t="shared" si="69"/>
        <v>23.5107</v>
      </c>
    </row>
    <row r="758" spans="1:12">
      <c r="A758" s="20">
        <v>46029</v>
      </c>
      <c r="B758" s="6">
        <v>722782</v>
      </c>
      <c r="C758" s="7" t="str">
        <f>VLOOKUP(B758,Employee_Master!A:B,2,)</f>
        <v>Kriti</v>
      </c>
      <c r="D758" s="7" t="s">
        <v>206</v>
      </c>
      <c r="E758" s="7" t="s">
        <v>231</v>
      </c>
      <c r="F758" s="7" t="s">
        <v>231</v>
      </c>
      <c r="G758" s="7"/>
      <c r="H758" s="19">
        <v>22.469799999999999</v>
      </c>
      <c r="I758" s="7">
        <f t="shared" si="67"/>
        <v>0</v>
      </c>
      <c r="J758" s="7">
        <f>IFERROR(VLOOKUP(D758,Event_Master!B:E,4,FALSE),1)</f>
        <v>1</v>
      </c>
      <c r="K758" s="7">
        <f t="shared" si="68"/>
        <v>0</v>
      </c>
      <c r="L758" s="19">
        <f t="shared" si="69"/>
        <v>22.469799999999999</v>
      </c>
    </row>
    <row r="759" spans="1:12">
      <c r="A759" s="20">
        <v>46029</v>
      </c>
      <c r="B759" s="6">
        <v>476372</v>
      </c>
      <c r="C759" s="7" t="str">
        <f>VLOOKUP(B759,Employee_Master!A:B,2,)</f>
        <v>Laksh</v>
      </c>
      <c r="D759" s="7" t="s">
        <v>206</v>
      </c>
      <c r="E759" s="7" t="s">
        <v>231</v>
      </c>
      <c r="F759" s="7" t="s">
        <v>231</v>
      </c>
      <c r="G759" s="7"/>
      <c r="H759" s="19">
        <v>1.7457</v>
      </c>
      <c r="I759" s="7">
        <f t="shared" si="67"/>
        <v>0</v>
      </c>
      <c r="J759" s="7">
        <f>IFERROR(VLOOKUP(D759,Event_Master!B:E,4,FALSE),1)</f>
        <v>1</v>
      </c>
      <c r="K759" s="7">
        <f t="shared" si="68"/>
        <v>0</v>
      </c>
      <c r="L759" s="19">
        <f t="shared" si="69"/>
        <v>1.7457</v>
      </c>
    </row>
    <row r="760" spans="1:12">
      <c r="A760" s="20">
        <v>46029</v>
      </c>
      <c r="B760" s="6">
        <v>452059</v>
      </c>
      <c r="C760" s="7" t="str">
        <f>VLOOKUP(B760,Employee_Master!A:B,2,)</f>
        <v>Mahi Singh</v>
      </c>
      <c r="D760" s="7" t="s">
        <v>206</v>
      </c>
      <c r="E760" s="7" t="s">
        <v>231</v>
      </c>
      <c r="F760" s="7" t="s">
        <v>231</v>
      </c>
      <c r="G760" s="7"/>
      <c r="H760" s="19">
        <v>14.0106</v>
      </c>
      <c r="I760" s="7">
        <f t="shared" si="67"/>
        <v>0</v>
      </c>
      <c r="J760" s="7">
        <f>IFERROR(VLOOKUP(D760,Event_Master!B:E,4,FALSE),1)</f>
        <v>1</v>
      </c>
      <c r="K760" s="7">
        <f t="shared" si="68"/>
        <v>0</v>
      </c>
      <c r="L760" s="19">
        <f t="shared" si="69"/>
        <v>14.0106</v>
      </c>
    </row>
    <row r="761" spans="1:12">
      <c r="A761" s="20">
        <v>46029</v>
      </c>
      <c r="B761" s="6">
        <v>457430</v>
      </c>
      <c r="C761" s="7" t="str">
        <f>VLOOKUP(B761,Employee_Master!A:B,2,)</f>
        <v>Manish Kumar</v>
      </c>
      <c r="D761" s="7" t="s">
        <v>206</v>
      </c>
      <c r="E761" s="7" t="s">
        <v>231</v>
      </c>
      <c r="F761" s="7" t="s">
        <v>231</v>
      </c>
      <c r="G761" s="7"/>
      <c r="H761" s="19">
        <v>38.565800000000003</v>
      </c>
      <c r="I761" s="7">
        <f t="shared" si="67"/>
        <v>0</v>
      </c>
      <c r="J761" s="7">
        <f>IFERROR(VLOOKUP(D761,Event_Master!B:E,4,FALSE),1)</f>
        <v>1</v>
      </c>
      <c r="K761" s="7">
        <f t="shared" si="68"/>
        <v>0</v>
      </c>
      <c r="L761" s="19">
        <f t="shared" si="69"/>
        <v>38.565800000000003</v>
      </c>
    </row>
    <row r="762" spans="1:12">
      <c r="A762" s="20">
        <v>46029</v>
      </c>
      <c r="B762" s="6">
        <v>458749</v>
      </c>
      <c r="C762" s="7" t="str">
        <f>VLOOKUP(B762,Employee_Master!A:B,2,)</f>
        <v>Manoj Kumar Jangra</v>
      </c>
      <c r="D762" s="7" t="s">
        <v>206</v>
      </c>
      <c r="E762" s="7" t="s">
        <v>231</v>
      </c>
      <c r="F762" s="7" t="s">
        <v>231</v>
      </c>
      <c r="G762" s="7"/>
      <c r="H762" s="19">
        <v>24.282499999999999</v>
      </c>
      <c r="I762" s="7">
        <f t="shared" si="67"/>
        <v>0</v>
      </c>
      <c r="J762" s="7">
        <f>IFERROR(VLOOKUP(D762,Event_Master!B:E,4,FALSE),1)</f>
        <v>1</v>
      </c>
      <c r="K762" s="7">
        <f t="shared" si="68"/>
        <v>0</v>
      </c>
      <c r="L762" s="19">
        <f t="shared" si="69"/>
        <v>24.282499999999999</v>
      </c>
    </row>
    <row r="763" spans="1:12">
      <c r="A763" s="20">
        <v>46029</v>
      </c>
      <c r="B763" s="6">
        <v>460692</v>
      </c>
      <c r="C763" s="7" t="str">
        <f>VLOOKUP(B763,Employee_Master!A:B,2,)</f>
        <v>Mayank Arya</v>
      </c>
      <c r="D763" s="7" t="s">
        <v>206</v>
      </c>
      <c r="E763" s="7" t="s">
        <v>231</v>
      </c>
      <c r="F763" s="7" t="s">
        <v>231</v>
      </c>
      <c r="G763" s="7"/>
      <c r="H763" s="19">
        <v>27.456199999999999</v>
      </c>
      <c r="I763" s="7">
        <f t="shared" si="67"/>
        <v>0</v>
      </c>
      <c r="J763" s="7">
        <f>IFERROR(VLOOKUP(D763,Event_Master!B:E,4,FALSE),1)</f>
        <v>1</v>
      </c>
      <c r="K763" s="7">
        <f t="shared" si="68"/>
        <v>0</v>
      </c>
      <c r="L763" s="19">
        <f t="shared" si="69"/>
        <v>27.456199999999999</v>
      </c>
    </row>
    <row r="764" spans="1:12">
      <c r="A764" s="20">
        <v>46029</v>
      </c>
      <c r="B764" s="6">
        <v>464871</v>
      </c>
      <c r="C764" s="7" t="str">
        <f>VLOOKUP(B764,Employee_Master!A:B,2,)</f>
        <v>Mohit Sahu</v>
      </c>
      <c r="D764" s="7" t="s">
        <v>206</v>
      </c>
      <c r="E764" s="7" t="s">
        <v>231</v>
      </c>
      <c r="F764" s="7" t="s">
        <v>231</v>
      </c>
      <c r="G764" s="7"/>
      <c r="H764" s="19">
        <v>37.283299999999997</v>
      </c>
      <c r="I764" s="7">
        <f t="shared" si="67"/>
        <v>0</v>
      </c>
      <c r="J764" s="7">
        <f>IFERROR(VLOOKUP(D764,Event_Master!B:E,4,FALSE),1)</f>
        <v>1</v>
      </c>
      <c r="K764" s="7">
        <f t="shared" si="68"/>
        <v>0</v>
      </c>
      <c r="L764" s="19">
        <f t="shared" si="69"/>
        <v>37.283299999999997</v>
      </c>
    </row>
    <row r="765" spans="1:12">
      <c r="A765" s="20">
        <v>46029</v>
      </c>
      <c r="B765" s="6">
        <v>424332</v>
      </c>
      <c r="C765" s="7" t="str">
        <f>VLOOKUP(B765,Employee_Master!A:B,2,)</f>
        <v>Naresh Kumar</v>
      </c>
      <c r="D765" s="7" t="s">
        <v>206</v>
      </c>
      <c r="E765" s="7" t="s">
        <v>231</v>
      </c>
      <c r="F765" s="7" t="s">
        <v>231</v>
      </c>
      <c r="G765" s="7"/>
      <c r="H765" s="19">
        <v>27.6966</v>
      </c>
      <c r="I765" s="7">
        <f t="shared" si="67"/>
        <v>0</v>
      </c>
      <c r="J765" s="7">
        <f>IFERROR(VLOOKUP(D765,Event_Master!B:E,4,FALSE),1)</f>
        <v>1</v>
      </c>
      <c r="K765" s="7">
        <f t="shared" si="68"/>
        <v>0</v>
      </c>
      <c r="L765" s="19">
        <f t="shared" si="69"/>
        <v>27.6966</v>
      </c>
    </row>
    <row r="766" spans="1:12">
      <c r="A766" s="20">
        <v>46029</v>
      </c>
      <c r="B766" s="6">
        <v>453949</v>
      </c>
      <c r="C766" s="7" t="str">
        <f>VLOOKUP(B766,Employee_Master!A:B,2,)</f>
        <v>Naveen Kumar</v>
      </c>
      <c r="D766" s="7" t="s">
        <v>206</v>
      </c>
      <c r="E766" s="7" t="s">
        <v>231</v>
      </c>
      <c r="F766" s="7" t="s">
        <v>231</v>
      </c>
      <c r="G766" s="7"/>
      <c r="H766" s="19">
        <v>33.054000000000002</v>
      </c>
      <c r="I766" s="7">
        <f t="shared" si="67"/>
        <v>0</v>
      </c>
      <c r="J766" s="7">
        <f>IFERROR(VLOOKUP(D766,Event_Master!B:E,4,FALSE),1)</f>
        <v>1</v>
      </c>
      <c r="K766" s="7">
        <f t="shared" si="68"/>
        <v>0</v>
      </c>
      <c r="L766" s="19">
        <f t="shared" si="69"/>
        <v>33.054000000000002</v>
      </c>
    </row>
    <row r="767" spans="1:12">
      <c r="A767" s="20">
        <v>46029</v>
      </c>
      <c r="B767" s="6">
        <v>471387</v>
      </c>
      <c r="C767" s="7" t="str">
        <f>VLOOKUP(B767,Employee_Master!A:B,2,)</f>
        <v>Neeraj</v>
      </c>
      <c r="D767" s="7" t="s">
        <v>206</v>
      </c>
      <c r="E767" s="7" t="s">
        <v>231</v>
      </c>
      <c r="F767" s="7" t="s">
        <v>231</v>
      </c>
      <c r="G767" s="7"/>
      <c r="H767" s="19">
        <v>12.0946</v>
      </c>
      <c r="I767" s="7">
        <f t="shared" si="67"/>
        <v>0</v>
      </c>
      <c r="J767" s="7">
        <f>IFERROR(VLOOKUP(D767,Event_Master!B:E,4,FALSE),1)</f>
        <v>1</v>
      </c>
      <c r="K767" s="7">
        <f t="shared" si="68"/>
        <v>0</v>
      </c>
      <c r="L767" s="19">
        <f t="shared" si="69"/>
        <v>12.0946</v>
      </c>
    </row>
    <row r="768" spans="1:12">
      <c r="A768" s="20">
        <v>46029</v>
      </c>
      <c r="B768" s="6">
        <v>488518</v>
      </c>
      <c r="C768" s="7" t="str">
        <f>VLOOKUP(B768,Employee_Master!A:B,2,)</f>
        <v>Neha Chaturvedi</v>
      </c>
      <c r="D768" s="7" t="s">
        <v>206</v>
      </c>
      <c r="E768" s="7" t="s">
        <v>231</v>
      </c>
      <c r="F768" s="7" t="s">
        <v>231</v>
      </c>
      <c r="G768" s="7"/>
      <c r="H768" s="19">
        <v>10.122199999999999</v>
      </c>
      <c r="I768" s="7">
        <f t="shared" si="67"/>
        <v>0</v>
      </c>
      <c r="J768" s="7">
        <f>IFERROR(VLOOKUP(D768,Event_Master!B:E,4,FALSE),1)</f>
        <v>1</v>
      </c>
      <c r="K768" s="7">
        <f t="shared" si="68"/>
        <v>0</v>
      </c>
      <c r="L768" s="19">
        <f t="shared" si="69"/>
        <v>10.122199999999999</v>
      </c>
    </row>
    <row r="769" spans="1:12">
      <c r="A769" s="20">
        <v>46029</v>
      </c>
      <c r="B769" s="6">
        <v>722751</v>
      </c>
      <c r="C769" s="7" t="str">
        <f>VLOOKUP(B769,Employee_Master!A:B,2,)</f>
        <v>Palak</v>
      </c>
      <c r="D769" s="7" t="s">
        <v>206</v>
      </c>
      <c r="E769" s="7" t="s">
        <v>231</v>
      </c>
      <c r="F769" s="7" t="s">
        <v>231</v>
      </c>
      <c r="G769" s="7"/>
      <c r="H769" s="19">
        <v>27.6999</v>
      </c>
      <c r="I769" s="7">
        <f t="shared" si="67"/>
        <v>0</v>
      </c>
      <c r="J769" s="7">
        <f>IFERROR(VLOOKUP(D769,Event_Master!B:E,4,FALSE),1)</f>
        <v>1</v>
      </c>
      <c r="K769" s="7">
        <f t="shared" si="68"/>
        <v>0</v>
      </c>
      <c r="L769" s="19">
        <f t="shared" si="69"/>
        <v>27.6999</v>
      </c>
    </row>
    <row r="770" spans="1:12">
      <c r="A770" s="20">
        <v>46029</v>
      </c>
      <c r="B770" s="6">
        <v>473015</v>
      </c>
      <c r="C770" s="7" t="str">
        <f>VLOOKUP(B770,Employee_Master!A:B,2,)</f>
        <v>Partap</v>
      </c>
      <c r="D770" s="7" t="s">
        <v>206</v>
      </c>
      <c r="E770" s="7" t="s">
        <v>231</v>
      </c>
      <c r="F770" s="7" t="s">
        <v>231</v>
      </c>
      <c r="G770" s="7"/>
      <c r="H770" s="19">
        <v>23.8551</v>
      </c>
      <c r="I770" s="7">
        <f t="shared" si="67"/>
        <v>0</v>
      </c>
      <c r="J770" s="7">
        <f>IFERROR(VLOOKUP(D770,Event_Master!B:E,4,FALSE),1)</f>
        <v>1</v>
      </c>
      <c r="K770" s="7">
        <f t="shared" si="68"/>
        <v>0</v>
      </c>
      <c r="L770" s="19">
        <f t="shared" si="69"/>
        <v>23.8551</v>
      </c>
    </row>
    <row r="771" spans="1:12">
      <c r="A771" s="20">
        <v>46029</v>
      </c>
      <c r="B771" s="6">
        <v>707131</v>
      </c>
      <c r="C771" s="7" t="str">
        <f>VLOOKUP(B771,Employee_Master!A:B,2,)</f>
        <v>Puja Bhalotia</v>
      </c>
      <c r="D771" s="7" t="s">
        <v>206</v>
      </c>
      <c r="E771" s="7" t="s">
        <v>231</v>
      </c>
      <c r="F771" s="7" t="s">
        <v>231</v>
      </c>
      <c r="G771" s="7"/>
      <c r="H771" s="19">
        <v>20.251200000000001</v>
      </c>
      <c r="I771" s="7">
        <f t="shared" si="67"/>
        <v>0</v>
      </c>
      <c r="J771" s="7">
        <f>IFERROR(VLOOKUP(D771,Event_Master!B:E,4,FALSE),1)</f>
        <v>1</v>
      </c>
      <c r="K771" s="7">
        <f t="shared" si="68"/>
        <v>0</v>
      </c>
      <c r="L771" s="19">
        <f t="shared" si="69"/>
        <v>20.251200000000001</v>
      </c>
    </row>
    <row r="772" spans="1:12">
      <c r="A772" s="20">
        <v>46029</v>
      </c>
      <c r="B772" s="6">
        <v>449551</v>
      </c>
      <c r="C772" s="7" t="str">
        <f>VLOOKUP(B772,Employee_Master!A:B,2,)</f>
        <v>Ramesh Kumar</v>
      </c>
      <c r="D772" s="7" t="s">
        <v>206</v>
      </c>
      <c r="E772" s="7" t="s">
        <v>231</v>
      </c>
      <c r="F772" s="7" t="s">
        <v>231</v>
      </c>
      <c r="G772" s="7"/>
      <c r="H772" s="19">
        <v>23.636399999999998</v>
      </c>
      <c r="I772" s="7">
        <f t="shared" si="67"/>
        <v>0</v>
      </c>
      <c r="J772" s="7">
        <f>IFERROR(VLOOKUP(D772,Event_Master!B:E,4,FALSE),1)</f>
        <v>1</v>
      </c>
      <c r="K772" s="7">
        <f t="shared" si="68"/>
        <v>0</v>
      </c>
      <c r="L772" s="19">
        <f t="shared" si="69"/>
        <v>23.636399999999998</v>
      </c>
    </row>
    <row r="773" spans="1:12">
      <c r="A773" s="20">
        <v>46029</v>
      </c>
      <c r="B773" s="6">
        <v>467075</v>
      </c>
      <c r="C773" s="7" t="str">
        <f>VLOOKUP(B773,Employee_Master!A:B,2,)</f>
        <v>Ritish</v>
      </c>
      <c r="D773" s="7" t="s">
        <v>206</v>
      </c>
      <c r="E773" s="7" t="s">
        <v>231</v>
      </c>
      <c r="F773" s="7" t="s">
        <v>231</v>
      </c>
      <c r="G773" s="7"/>
      <c r="H773" s="19">
        <v>18.411799999999999</v>
      </c>
      <c r="I773" s="7">
        <f t="shared" si="67"/>
        <v>0</v>
      </c>
      <c r="J773" s="7">
        <f>IFERROR(VLOOKUP(D773,Event_Master!B:E,4,FALSE),1)</f>
        <v>1</v>
      </c>
      <c r="K773" s="7">
        <f t="shared" si="68"/>
        <v>0</v>
      </c>
      <c r="L773" s="19">
        <f t="shared" si="69"/>
        <v>18.411799999999999</v>
      </c>
    </row>
    <row r="774" spans="1:12">
      <c r="A774" s="20">
        <v>46029</v>
      </c>
      <c r="B774" s="6">
        <v>452118</v>
      </c>
      <c r="C774" s="7" t="str">
        <f>VLOOKUP(B774,Employee_Master!A:B,2,)</f>
        <v>Riya Kumari</v>
      </c>
      <c r="D774" s="7" t="s">
        <v>206</v>
      </c>
      <c r="E774" s="7" t="s">
        <v>231</v>
      </c>
      <c r="F774" s="7" t="s">
        <v>231</v>
      </c>
      <c r="G774" s="7"/>
      <c r="H774" s="19">
        <v>2.8845999999999998</v>
      </c>
      <c r="I774" s="7">
        <f t="shared" si="67"/>
        <v>0</v>
      </c>
      <c r="J774" s="7">
        <f>IFERROR(VLOOKUP(D774,Event_Master!B:E,4,FALSE),1)</f>
        <v>1</v>
      </c>
      <c r="K774" s="7">
        <f t="shared" si="68"/>
        <v>0</v>
      </c>
      <c r="L774" s="19">
        <f t="shared" si="69"/>
        <v>2.8845999999999998</v>
      </c>
    </row>
    <row r="775" spans="1:12">
      <c r="A775" s="20">
        <v>46029</v>
      </c>
      <c r="B775" s="6">
        <v>427154</v>
      </c>
      <c r="C775" s="7" t="str">
        <f>VLOOKUP(B775,Employee_Master!A:B,2,)</f>
        <v>Rohan Mehra</v>
      </c>
      <c r="D775" s="7" t="s">
        <v>206</v>
      </c>
      <c r="E775" s="7" t="s">
        <v>231</v>
      </c>
      <c r="F775" s="7" t="s">
        <v>231</v>
      </c>
      <c r="G775" s="7"/>
      <c r="H775" s="19">
        <v>18.046800000000001</v>
      </c>
      <c r="I775" s="7">
        <f t="shared" si="67"/>
        <v>0</v>
      </c>
      <c r="J775" s="7">
        <f>IFERROR(VLOOKUP(D775,Event_Master!B:E,4,FALSE),1)</f>
        <v>1</v>
      </c>
      <c r="K775" s="7">
        <f t="shared" si="68"/>
        <v>0</v>
      </c>
      <c r="L775" s="19">
        <f t="shared" si="69"/>
        <v>18.046800000000001</v>
      </c>
    </row>
    <row r="776" spans="1:12">
      <c r="A776" s="20">
        <v>46029</v>
      </c>
      <c r="B776" s="6">
        <v>474194</v>
      </c>
      <c r="C776" s="7" t="str">
        <f>VLOOKUP(B776,Employee_Master!A:B,2,)</f>
        <v>Rohit Yadav</v>
      </c>
      <c r="D776" s="7" t="s">
        <v>206</v>
      </c>
      <c r="E776" s="7" t="s">
        <v>231</v>
      </c>
      <c r="F776" s="7" t="s">
        <v>231</v>
      </c>
      <c r="G776" s="7"/>
      <c r="H776" s="19">
        <v>23.896100000000001</v>
      </c>
      <c r="I776" s="7">
        <f t="shared" si="67"/>
        <v>0</v>
      </c>
      <c r="J776" s="7">
        <f>IFERROR(VLOOKUP(D776,Event_Master!B:E,4,FALSE),1)</f>
        <v>1</v>
      </c>
      <c r="K776" s="7">
        <f t="shared" si="68"/>
        <v>0</v>
      </c>
      <c r="L776" s="19">
        <f t="shared" si="69"/>
        <v>23.896100000000001</v>
      </c>
    </row>
    <row r="777" spans="1:12">
      <c r="A777" s="20">
        <v>46029</v>
      </c>
      <c r="B777" s="6">
        <v>463660</v>
      </c>
      <c r="C777" s="7" t="str">
        <f>VLOOKUP(B777,Employee_Master!A:B,2,)</f>
        <v>Rohit Sharma</v>
      </c>
      <c r="D777" s="7" t="s">
        <v>206</v>
      </c>
      <c r="E777" s="7" t="s">
        <v>231</v>
      </c>
      <c r="F777" s="7" t="s">
        <v>231</v>
      </c>
      <c r="G777" s="7"/>
      <c r="H777" s="19">
        <v>31.387499999999999</v>
      </c>
      <c r="I777" s="7">
        <f t="shared" si="67"/>
        <v>0</v>
      </c>
      <c r="J777" s="7">
        <f>IFERROR(VLOOKUP(D777,Event_Master!B:E,4,FALSE),1)</f>
        <v>1</v>
      </c>
      <c r="K777" s="7">
        <f t="shared" si="68"/>
        <v>0</v>
      </c>
      <c r="L777" s="19">
        <f t="shared" si="69"/>
        <v>31.387499999999999</v>
      </c>
    </row>
    <row r="778" spans="1:12">
      <c r="A778" s="20">
        <v>46029</v>
      </c>
      <c r="B778" s="6">
        <v>450693</v>
      </c>
      <c r="C778" s="7" t="str">
        <f>VLOOKUP(B778,Employee_Master!A:B,2,)</f>
        <v>Sagar rana</v>
      </c>
      <c r="D778" s="7" t="s">
        <v>206</v>
      </c>
      <c r="E778" s="7" t="s">
        <v>231</v>
      </c>
      <c r="F778" s="7" t="s">
        <v>231</v>
      </c>
      <c r="G778" s="7"/>
      <c r="H778" s="19">
        <v>4.9561999999999999</v>
      </c>
      <c r="I778" s="7">
        <f t="shared" si="67"/>
        <v>0</v>
      </c>
      <c r="J778" s="7">
        <f>IFERROR(VLOOKUP(D778,Event_Master!B:E,4,FALSE),1)</f>
        <v>1</v>
      </c>
      <c r="K778" s="7">
        <f t="shared" si="68"/>
        <v>0</v>
      </c>
      <c r="L778" s="19">
        <f t="shared" si="69"/>
        <v>4.9561999999999999</v>
      </c>
    </row>
    <row r="779" spans="1:12">
      <c r="A779" s="20">
        <v>46029</v>
      </c>
      <c r="B779" s="6">
        <v>478269</v>
      </c>
      <c r="C779" s="7" t="str">
        <f>VLOOKUP(B779,Employee_Master!A:B,2,)</f>
        <v xml:space="preserve">Saurabh kumar </v>
      </c>
      <c r="D779" s="7" t="s">
        <v>206</v>
      </c>
      <c r="E779" s="7" t="s">
        <v>231</v>
      </c>
      <c r="F779" s="7" t="s">
        <v>231</v>
      </c>
      <c r="G779" s="7"/>
      <c r="H779" s="19">
        <v>21.773</v>
      </c>
      <c r="I779" s="7">
        <f t="shared" si="67"/>
        <v>0</v>
      </c>
      <c r="J779" s="7">
        <f>IFERROR(VLOOKUP(D779,Event_Master!B:E,4,FALSE),1)</f>
        <v>1</v>
      </c>
      <c r="K779" s="7">
        <f t="shared" si="68"/>
        <v>0</v>
      </c>
      <c r="L779" s="19">
        <f t="shared" si="69"/>
        <v>21.773</v>
      </c>
    </row>
    <row r="780" spans="1:12">
      <c r="A780" s="20">
        <v>46029</v>
      </c>
      <c r="B780" s="6">
        <v>708792</v>
      </c>
      <c r="C780" s="7" t="str">
        <f>VLOOKUP(B780,Employee_Master!A:B,2,)</f>
        <v>Shubhanshu Pandey</v>
      </c>
      <c r="D780" s="7" t="s">
        <v>206</v>
      </c>
      <c r="E780" s="7" t="s">
        <v>231</v>
      </c>
      <c r="F780" s="7" t="s">
        <v>231</v>
      </c>
      <c r="G780" s="7"/>
      <c r="H780" s="19">
        <v>8.3735999999999997</v>
      </c>
      <c r="I780" s="7">
        <f t="shared" si="67"/>
        <v>0</v>
      </c>
      <c r="J780" s="7">
        <f>IFERROR(VLOOKUP(D780,Event_Master!B:E,4,FALSE),1)</f>
        <v>1</v>
      </c>
      <c r="K780" s="7">
        <f t="shared" si="68"/>
        <v>0</v>
      </c>
      <c r="L780" s="19">
        <f t="shared" si="69"/>
        <v>8.3735999999999997</v>
      </c>
    </row>
    <row r="781" spans="1:12">
      <c r="A781" s="20">
        <v>46029</v>
      </c>
      <c r="B781" s="6">
        <v>446300</v>
      </c>
      <c r="C781" s="7" t="str">
        <f>VLOOKUP(B781,Employee_Master!A:B,2,)</f>
        <v>Simranjit Singh</v>
      </c>
      <c r="D781" s="7" t="s">
        <v>206</v>
      </c>
      <c r="E781" s="7" t="s">
        <v>231</v>
      </c>
      <c r="F781" s="7" t="s">
        <v>231</v>
      </c>
      <c r="G781" s="7"/>
      <c r="H781" s="19">
        <v>36.644399999999997</v>
      </c>
      <c r="I781" s="7">
        <f t="shared" si="67"/>
        <v>0</v>
      </c>
      <c r="J781" s="7">
        <f>IFERROR(VLOOKUP(D781,Event_Master!B:E,4,FALSE),1)</f>
        <v>1</v>
      </c>
      <c r="K781" s="7">
        <f t="shared" si="68"/>
        <v>0</v>
      </c>
      <c r="L781" s="19">
        <f t="shared" si="69"/>
        <v>36.644399999999997</v>
      </c>
    </row>
    <row r="782" spans="1:12">
      <c r="A782" s="20">
        <v>46029</v>
      </c>
      <c r="B782" s="6">
        <v>450325</v>
      </c>
      <c r="C782" s="7" t="str">
        <f>VLOOKUP(B782,Employee_Master!A:B,2,)</f>
        <v>Simratpal Singh</v>
      </c>
      <c r="D782" s="7" t="s">
        <v>206</v>
      </c>
      <c r="E782" s="7" t="s">
        <v>231</v>
      </c>
      <c r="F782" s="7" t="s">
        <v>231</v>
      </c>
      <c r="G782" s="7"/>
      <c r="H782" s="19">
        <v>50.3217</v>
      </c>
      <c r="I782" s="7">
        <f t="shared" si="67"/>
        <v>0</v>
      </c>
      <c r="J782" s="7">
        <f>IFERROR(VLOOKUP(D782,Event_Master!B:E,4,FALSE),1)</f>
        <v>1</v>
      </c>
      <c r="K782" s="7">
        <f t="shared" si="68"/>
        <v>0</v>
      </c>
      <c r="L782" s="19">
        <f t="shared" si="69"/>
        <v>50.3217</v>
      </c>
    </row>
    <row r="783" spans="1:12">
      <c r="A783" s="20">
        <v>46029</v>
      </c>
      <c r="B783" s="6">
        <v>720995</v>
      </c>
      <c r="C783" s="7" t="str">
        <f>VLOOKUP(B783,Employee_Master!A:B,2,)</f>
        <v>Sinjan Bhar</v>
      </c>
      <c r="D783" s="7" t="s">
        <v>206</v>
      </c>
      <c r="E783" s="7" t="s">
        <v>231</v>
      </c>
      <c r="F783" s="7" t="s">
        <v>231</v>
      </c>
      <c r="G783" s="7"/>
      <c r="H783" s="19">
        <v>17.0945</v>
      </c>
      <c r="I783" s="7">
        <f t="shared" si="67"/>
        <v>0</v>
      </c>
      <c r="J783" s="7">
        <f>IFERROR(VLOOKUP(D783,Event_Master!B:E,4,FALSE),1)</f>
        <v>1</v>
      </c>
      <c r="K783" s="7">
        <f t="shared" si="68"/>
        <v>0</v>
      </c>
      <c r="L783" s="19">
        <f t="shared" si="69"/>
        <v>17.0945</v>
      </c>
    </row>
    <row r="784" spans="1:12">
      <c r="A784" s="20">
        <v>46029</v>
      </c>
      <c r="B784" s="6">
        <v>721765</v>
      </c>
      <c r="C784" s="7" t="str">
        <f>VLOOKUP(B784,Employee_Master!A:B,2,)</f>
        <v>Sneha .</v>
      </c>
      <c r="D784" s="7" t="s">
        <v>206</v>
      </c>
      <c r="E784" s="7" t="s">
        <v>231</v>
      </c>
      <c r="F784" s="7" t="s">
        <v>231</v>
      </c>
      <c r="G784" s="7"/>
      <c r="H784" s="19">
        <v>2.7736000000000001</v>
      </c>
      <c r="I784" s="7">
        <f t="shared" si="67"/>
        <v>0</v>
      </c>
      <c r="J784" s="7">
        <f>IFERROR(VLOOKUP(D784,Event_Master!B:E,4,FALSE),1)</f>
        <v>1</v>
      </c>
      <c r="K784" s="7">
        <f t="shared" si="68"/>
        <v>0</v>
      </c>
      <c r="L784" s="19">
        <f t="shared" si="69"/>
        <v>2.7736000000000001</v>
      </c>
    </row>
    <row r="785" spans="1:12">
      <c r="A785" s="20">
        <v>46029</v>
      </c>
      <c r="B785" s="6">
        <v>706306</v>
      </c>
      <c r="C785" s="7" t="str">
        <f>VLOOKUP(B785,Employee_Master!A:B,2,)</f>
        <v>Subhashree Nayak</v>
      </c>
      <c r="D785" s="7" t="s">
        <v>206</v>
      </c>
      <c r="E785" s="7" t="s">
        <v>231</v>
      </c>
      <c r="F785" s="7" t="s">
        <v>231</v>
      </c>
      <c r="G785" s="7"/>
      <c r="H785" s="19">
        <v>16.4343</v>
      </c>
      <c r="I785" s="7">
        <f t="shared" si="67"/>
        <v>0</v>
      </c>
      <c r="J785" s="7">
        <f>IFERROR(VLOOKUP(D785,Event_Master!B:E,4,FALSE),1)</f>
        <v>1</v>
      </c>
      <c r="K785" s="7">
        <f t="shared" si="68"/>
        <v>0</v>
      </c>
      <c r="L785" s="19">
        <f t="shared" si="69"/>
        <v>16.4343</v>
      </c>
    </row>
    <row r="786" spans="1:12">
      <c r="A786" s="20">
        <v>46029</v>
      </c>
      <c r="B786" s="6">
        <v>479827</v>
      </c>
      <c r="C786" s="7" t="str">
        <f>VLOOKUP(B786,Employee_Master!A:B,2,)</f>
        <v>Sunil Kr. Singh</v>
      </c>
      <c r="D786" s="7" t="s">
        <v>206</v>
      </c>
      <c r="E786" s="7" t="s">
        <v>231</v>
      </c>
      <c r="F786" s="7" t="s">
        <v>231</v>
      </c>
      <c r="G786" s="7"/>
      <c r="H786" s="19">
        <v>37.4146</v>
      </c>
      <c r="I786" s="7">
        <f t="shared" si="67"/>
        <v>0</v>
      </c>
      <c r="J786" s="7">
        <f>IFERROR(VLOOKUP(D786,Event_Master!B:E,4,FALSE),1)</f>
        <v>1</v>
      </c>
      <c r="K786" s="7">
        <f t="shared" si="68"/>
        <v>0</v>
      </c>
      <c r="L786" s="19">
        <f t="shared" si="69"/>
        <v>37.4146</v>
      </c>
    </row>
    <row r="787" spans="1:12">
      <c r="A787" s="20">
        <v>46029</v>
      </c>
      <c r="B787" s="6">
        <v>472840</v>
      </c>
      <c r="C787" s="7" t="str">
        <f>VLOOKUP(B787,Employee_Master!A:B,2,)</f>
        <v>Supravat Adhikary</v>
      </c>
      <c r="D787" s="7" t="s">
        <v>206</v>
      </c>
      <c r="E787" s="7" t="s">
        <v>231</v>
      </c>
      <c r="F787" s="7" t="s">
        <v>231</v>
      </c>
      <c r="G787" s="7"/>
      <c r="H787" s="19">
        <v>24.3476</v>
      </c>
      <c r="I787" s="7">
        <f t="shared" si="67"/>
        <v>0</v>
      </c>
      <c r="J787" s="7">
        <f>IFERROR(VLOOKUP(D787,Event_Master!B:E,4,FALSE),1)</f>
        <v>1</v>
      </c>
      <c r="K787" s="7">
        <f t="shared" si="68"/>
        <v>0</v>
      </c>
      <c r="L787" s="19">
        <f t="shared" si="69"/>
        <v>24.3476</v>
      </c>
    </row>
    <row r="788" spans="1:12">
      <c r="A788" s="20">
        <v>46029</v>
      </c>
      <c r="B788" s="6">
        <v>426232</v>
      </c>
      <c r="C788" s="7" t="str">
        <f>VLOOKUP(B788,Employee_Master!A:B,2,)</f>
        <v>Varish Hussain</v>
      </c>
      <c r="D788" s="7" t="s">
        <v>206</v>
      </c>
      <c r="E788" s="7" t="s">
        <v>231</v>
      </c>
      <c r="F788" s="7" t="s">
        <v>231</v>
      </c>
      <c r="G788" s="7"/>
      <c r="H788" s="19">
        <v>11.5854</v>
      </c>
      <c r="I788" s="7">
        <f t="shared" si="67"/>
        <v>0</v>
      </c>
      <c r="J788" s="7">
        <f>IFERROR(VLOOKUP(D788,Event_Master!B:E,4,FALSE),1)</f>
        <v>1</v>
      </c>
      <c r="K788" s="7">
        <f t="shared" si="68"/>
        <v>0</v>
      </c>
      <c r="L788" s="19">
        <f t="shared" si="69"/>
        <v>11.5854</v>
      </c>
    </row>
    <row r="789" spans="1:12">
      <c r="A789" s="20">
        <v>46029</v>
      </c>
      <c r="B789" s="6">
        <v>467544</v>
      </c>
      <c r="C789" s="7" t="str">
        <f>VLOOKUP(B789,Employee_Master!A:B,2,)</f>
        <v>Vinay Kumar</v>
      </c>
      <c r="D789" s="7" t="s">
        <v>206</v>
      </c>
      <c r="E789" s="7" t="s">
        <v>231</v>
      </c>
      <c r="F789" s="7" t="s">
        <v>231</v>
      </c>
      <c r="G789" s="7"/>
      <c r="H789" s="19">
        <v>24.5092</v>
      </c>
      <c r="I789" s="7">
        <f t="shared" si="67"/>
        <v>0</v>
      </c>
      <c r="J789" s="7">
        <f>IFERROR(VLOOKUP(D789,Event_Master!B:E,4,FALSE),1)</f>
        <v>1</v>
      </c>
      <c r="K789" s="7">
        <f t="shared" si="68"/>
        <v>0</v>
      </c>
      <c r="L789" s="19">
        <f t="shared" si="69"/>
        <v>24.5092</v>
      </c>
    </row>
    <row r="790" spans="1:12">
      <c r="A790" s="20">
        <v>46029</v>
      </c>
      <c r="B790" s="6">
        <v>468536</v>
      </c>
      <c r="C790" s="7" t="str">
        <f>VLOOKUP(B790,Employee_Master!A:B,2,)</f>
        <v>Vinod Kumar</v>
      </c>
      <c r="D790" s="7" t="s">
        <v>206</v>
      </c>
      <c r="E790" s="7" t="s">
        <v>231</v>
      </c>
      <c r="F790" s="7" t="s">
        <v>231</v>
      </c>
      <c r="G790" s="7"/>
      <c r="H790" s="19">
        <v>21.620100000000001</v>
      </c>
      <c r="I790" s="7">
        <f t="shared" si="67"/>
        <v>0</v>
      </c>
      <c r="J790" s="7">
        <f>IFERROR(VLOOKUP(D790,Event_Master!B:E,4,FALSE),1)</f>
        <v>1</v>
      </c>
      <c r="K790" s="7">
        <f t="shared" si="68"/>
        <v>0</v>
      </c>
      <c r="L790" s="19">
        <f t="shared" si="69"/>
        <v>21.620100000000001</v>
      </c>
    </row>
    <row r="791" spans="1:12">
      <c r="A791" s="31">
        <v>46029</v>
      </c>
      <c r="B791" s="6">
        <v>451609</v>
      </c>
      <c r="C791" s="6" t="str">
        <f>VLOOKUP(B791,Employee_Master!A:B,2,)</f>
        <v>Vivek Kumar Yadav</v>
      </c>
      <c r="D791" s="6" t="s">
        <v>206</v>
      </c>
      <c r="E791" s="6" t="s">
        <v>231</v>
      </c>
      <c r="F791" s="6" t="s">
        <v>231</v>
      </c>
      <c r="G791" s="6"/>
      <c r="H791" s="32">
        <v>39.1922</v>
      </c>
      <c r="I791" s="6">
        <f t="shared" si="67"/>
        <v>0</v>
      </c>
      <c r="J791" s="6">
        <f>IFERROR(VLOOKUP(D791,Event_Master!B:E,4,FALSE),1)</f>
        <v>1</v>
      </c>
      <c r="K791" s="6">
        <f t="shared" si="68"/>
        <v>0</v>
      </c>
      <c r="L791" s="32">
        <f t="shared" si="69"/>
        <v>39.1922</v>
      </c>
    </row>
    <row r="792" spans="1:12">
      <c r="A792" s="33">
        <v>46265</v>
      </c>
      <c r="B792" s="6">
        <f>_xlfn.XLOOKUP(C792,Employee_Master!B2:B185,Employee_Master!A2:A185,0)</f>
        <v>712428</v>
      </c>
      <c r="C792" s="34" t="s">
        <v>50</v>
      </c>
      <c r="D792" s="6" t="s">
        <v>206</v>
      </c>
      <c r="E792" s="6" t="s">
        <v>231</v>
      </c>
      <c r="F792" s="6" t="s">
        <v>231</v>
      </c>
      <c r="G792" s="6"/>
      <c r="H792" s="32">
        <v>21.227699999999999</v>
      </c>
      <c r="I792" s="6">
        <f t="shared" si="67"/>
        <v>0</v>
      </c>
      <c r="J792" s="6">
        <f>IFERROR(VLOOKUP(D792,Event_Master!B:E,4,FALSE),1)</f>
        <v>1</v>
      </c>
      <c r="K792" s="6">
        <f t="shared" si="68"/>
        <v>0</v>
      </c>
      <c r="L792" s="32">
        <f t="shared" si="69"/>
        <v>21.227699999999999</v>
      </c>
    </row>
    <row r="793" spans="1:12">
      <c r="A793" s="33">
        <v>46265</v>
      </c>
      <c r="B793" s="6">
        <v>450230</v>
      </c>
      <c r="C793" s="34" t="s">
        <v>4</v>
      </c>
      <c r="D793" s="6" t="s">
        <v>206</v>
      </c>
      <c r="E793" s="6" t="s">
        <v>231</v>
      </c>
      <c r="F793" s="6" t="s">
        <v>231</v>
      </c>
      <c r="G793" s="6"/>
      <c r="H793" s="32">
        <v>14.59</v>
      </c>
      <c r="I793" s="6">
        <f t="shared" ref="I793:I856" si="70">IF(G793="Winner",100,IF(G793="Runner-up",70,IF(G793="2nd Runner-up",50,IF(G793="Semi",30,IF(G793="Quarter",20,0)))))</f>
        <v>0</v>
      </c>
      <c r="J793" s="6">
        <f>IFERROR(VLOOKUP(D793,Event_Master!B:E,4,FALSE),1)</f>
        <v>1</v>
      </c>
      <c r="K793" s="6">
        <f t="shared" ref="K793:K856" si="71">(I793*J793)</f>
        <v>0</v>
      </c>
      <c r="L793" s="32">
        <f t="shared" ref="L793:L856" si="72">K793+H793</f>
        <v>14.59</v>
      </c>
    </row>
    <row r="794" spans="1:12">
      <c r="A794" s="33">
        <v>46265</v>
      </c>
      <c r="B794" s="6">
        <f>_xlfn.XLOOKUP(C794,Employee_Master!B4:B187,Employee_Master!A4:A187,0)</f>
        <v>461161</v>
      </c>
      <c r="C794" s="34" t="s">
        <v>159</v>
      </c>
      <c r="D794" s="6" t="s">
        <v>206</v>
      </c>
      <c r="E794" s="6" t="s">
        <v>231</v>
      </c>
      <c r="F794" s="6" t="s">
        <v>231</v>
      </c>
      <c r="G794" s="6"/>
      <c r="H794" s="32">
        <v>6.7424999999999997</v>
      </c>
      <c r="I794" s="6">
        <f t="shared" si="70"/>
        <v>0</v>
      </c>
      <c r="J794" s="6">
        <f>IFERROR(VLOOKUP(D794,Event_Master!B:E,4,FALSE),1)</f>
        <v>1</v>
      </c>
      <c r="K794" s="6">
        <f t="shared" si="71"/>
        <v>0</v>
      </c>
      <c r="L794" s="32">
        <f t="shared" si="72"/>
        <v>6.7424999999999997</v>
      </c>
    </row>
    <row r="795" spans="1:12">
      <c r="A795" s="33">
        <v>46265</v>
      </c>
      <c r="B795" s="6">
        <f>_xlfn.XLOOKUP(C795,Employee_Master!B5:B188,Employee_Master!A5:A188,0)</f>
        <v>456091</v>
      </c>
      <c r="C795" s="34" t="s">
        <v>7</v>
      </c>
      <c r="D795" s="6" t="s">
        <v>206</v>
      </c>
      <c r="E795" s="6" t="s">
        <v>231</v>
      </c>
      <c r="F795" s="6" t="s">
        <v>231</v>
      </c>
      <c r="G795" s="6"/>
      <c r="H795" s="32">
        <v>16.1479</v>
      </c>
      <c r="I795" s="6">
        <f t="shared" si="70"/>
        <v>0</v>
      </c>
      <c r="J795" s="6">
        <f>IFERROR(VLOOKUP(D795,Event_Master!B:E,4,FALSE),1)</f>
        <v>1</v>
      </c>
      <c r="K795" s="6">
        <f t="shared" si="71"/>
        <v>0</v>
      </c>
      <c r="L795" s="32">
        <f t="shared" si="72"/>
        <v>16.1479</v>
      </c>
    </row>
    <row r="796" spans="1:12">
      <c r="A796" s="33">
        <v>46265</v>
      </c>
      <c r="B796" s="6">
        <f>_xlfn.XLOOKUP(C796,Employee_Master!B6:B189,Employee_Master!A6:A189,0)</f>
        <v>466167</v>
      </c>
      <c r="C796" s="34" t="s">
        <v>161</v>
      </c>
      <c r="D796" s="6" t="s">
        <v>206</v>
      </c>
      <c r="E796" s="6" t="s">
        <v>231</v>
      </c>
      <c r="F796" s="6" t="s">
        <v>231</v>
      </c>
      <c r="G796" s="6"/>
      <c r="H796" s="32">
        <v>35.785200000000003</v>
      </c>
      <c r="I796" s="6">
        <f t="shared" si="70"/>
        <v>0</v>
      </c>
      <c r="J796" s="6">
        <f>IFERROR(VLOOKUP(D796,Event_Master!B:E,4,FALSE),1)</f>
        <v>1</v>
      </c>
      <c r="K796" s="6">
        <f t="shared" si="71"/>
        <v>0</v>
      </c>
      <c r="L796" s="32">
        <f t="shared" si="72"/>
        <v>35.785200000000003</v>
      </c>
    </row>
    <row r="797" spans="1:12">
      <c r="A797" s="33">
        <v>46265</v>
      </c>
      <c r="B797" s="6">
        <f>_xlfn.XLOOKUP(C797,Employee_Master!B7:B190,Employee_Master!A7:A190,0)</f>
        <v>454456</v>
      </c>
      <c r="C797" s="34" t="s">
        <v>162</v>
      </c>
      <c r="D797" s="6" t="s">
        <v>206</v>
      </c>
      <c r="E797" s="6" t="s">
        <v>231</v>
      </c>
      <c r="F797" s="6" t="s">
        <v>231</v>
      </c>
      <c r="G797" s="6"/>
      <c r="H797" s="32">
        <v>34.093800000000002</v>
      </c>
      <c r="I797" s="6">
        <f t="shared" si="70"/>
        <v>0</v>
      </c>
      <c r="J797" s="6">
        <f>IFERROR(VLOOKUP(D797,Event_Master!B:E,4,FALSE),1)</f>
        <v>1</v>
      </c>
      <c r="K797" s="6">
        <f t="shared" si="71"/>
        <v>0</v>
      </c>
      <c r="L797" s="32">
        <f t="shared" si="72"/>
        <v>34.093800000000002</v>
      </c>
    </row>
    <row r="798" spans="1:12">
      <c r="A798" s="33">
        <v>46265</v>
      </c>
      <c r="B798" s="6">
        <f>_xlfn.XLOOKUP(C798,Employee_Master!B8:B191,Employee_Master!A8:A191,0)</f>
        <v>724729</v>
      </c>
      <c r="C798" s="34" t="s">
        <v>152</v>
      </c>
      <c r="D798" s="6" t="s">
        <v>206</v>
      </c>
      <c r="E798" s="6" t="s">
        <v>231</v>
      </c>
      <c r="F798" s="6" t="s">
        <v>231</v>
      </c>
      <c r="G798" s="6"/>
      <c r="H798" s="32">
        <v>38.595599999999997</v>
      </c>
      <c r="I798" s="6">
        <f t="shared" si="70"/>
        <v>0</v>
      </c>
      <c r="J798" s="6">
        <f>IFERROR(VLOOKUP(D798,Event_Master!B:E,4,FALSE),1)</f>
        <v>1</v>
      </c>
      <c r="K798" s="6">
        <f t="shared" si="71"/>
        <v>0</v>
      </c>
      <c r="L798" s="32">
        <f t="shared" si="72"/>
        <v>38.595599999999997</v>
      </c>
    </row>
    <row r="799" spans="1:12">
      <c r="A799" s="33">
        <v>46265</v>
      </c>
      <c r="B799" s="6">
        <f>_xlfn.XLOOKUP(C799,Employee_Master!B9:B192,Employee_Master!A9:A192,0)</f>
        <v>452119</v>
      </c>
      <c r="C799" s="34" t="s">
        <v>153</v>
      </c>
      <c r="D799" s="6" t="s">
        <v>206</v>
      </c>
      <c r="E799" s="6" t="s">
        <v>231</v>
      </c>
      <c r="F799" s="6" t="s">
        <v>231</v>
      </c>
      <c r="G799" s="6"/>
      <c r="H799" s="32">
        <v>25.573399999999999</v>
      </c>
      <c r="I799" s="6">
        <f t="shared" si="70"/>
        <v>0</v>
      </c>
      <c r="J799" s="6">
        <f>IFERROR(VLOOKUP(D799,Event_Master!B:E,4,FALSE),1)</f>
        <v>1</v>
      </c>
      <c r="K799" s="6">
        <f t="shared" si="71"/>
        <v>0</v>
      </c>
      <c r="L799" s="32">
        <f t="shared" si="72"/>
        <v>25.573399999999999</v>
      </c>
    </row>
    <row r="800" spans="1:12">
      <c r="A800" s="33">
        <v>46265</v>
      </c>
      <c r="B800" s="6">
        <f>_xlfn.XLOOKUP(C800,Employee_Master!B10:B193,Employee_Master!A10:A193,0)</f>
        <v>430977</v>
      </c>
      <c r="C800" s="34" t="s">
        <v>85</v>
      </c>
      <c r="D800" s="6" t="s">
        <v>206</v>
      </c>
      <c r="E800" s="6" t="s">
        <v>231</v>
      </c>
      <c r="F800" s="6" t="s">
        <v>231</v>
      </c>
      <c r="G800" s="6"/>
      <c r="H800" s="32">
        <v>16.7286</v>
      </c>
      <c r="I800" s="6">
        <f t="shared" si="70"/>
        <v>0</v>
      </c>
      <c r="J800" s="6">
        <f>IFERROR(VLOOKUP(D800,Event_Master!B:E,4,FALSE),1)</f>
        <v>1</v>
      </c>
      <c r="K800" s="6">
        <f t="shared" si="71"/>
        <v>0</v>
      </c>
      <c r="L800" s="32">
        <f t="shared" si="72"/>
        <v>16.7286</v>
      </c>
    </row>
    <row r="801" spans="1:12">
      <c r="A801" s="33">
        <v>46265</v>
      </c>
      <c r="B801" s="6">
        <v>451857</v>
      </c>
      <c r="C801" s="34" t="s">
        <v>379</v>
      </c>
      <c r="D801" s="6" t="s">
        <v>206</v>
      </c>
      <c r="E801" s="6" t="s">
        <v>231</v>
      </c>
      <c r="F801" s="6" t="s">
        <v>231</v>
      </c>
      <c r="G801" s="6"/>
      <c r="H801" s="32">
        <v>26.386399999999998</v>
      </c>
      <c r="I801" s="6">
        <f t="shared" si="70"/>
        <v>0</v>
      </c>
      <c r="J801" s="6">
        <f>IFERROR(VLOOKUP(D801,Event_Master!B:E,4,FALSE),1)</f>
        <v>1</v>
      </c>
      <c r="K801" s="6">
        <f t="shared" si="71"/>
        <v>0</v>
      </c>
      <c r="L801" s="32">
        <f t="shared" si="72"/>
        <v>26.386399999999998</v>
      </c>
    </row>
    <row r="802" spans="1:12">
      <c r="A802" s="33">
        <v>46265</v>
      </c>
      <c r="B802" s="6">
        <f>_xlfn.XLOOKUP(C802,Employee_Master!B12:B195,Employee_Master!A12:A195,0)</f>
        <v>427568</v>
      </c>
      <c r="C802" s="34" t="s">
        <v>122</v>
      </c>
      <c r="D802" s="6" t="s">
        <v>206</v>
      </c>
      <c r="E802" s="6" t="s">
        <v>231</v>
      </c>
      <c r="F802" s="6" t="s">
        <v>231</v>
      </c>
      <c r="G802" s="6"/>
      <c r="H802" s="32">
        <v>12.994199999999999</v>
      </c>
      <c r="I802" s="6">
        <f t="shared" si="70"/>
        <v>0</v>
      </c>
      <c r="J802" s="6">
        <f>IFERROR(VLOOKUP(D802,Event_Master!B:E,4,FALSE),1)</f>
        <v>1</v>
      </c>
      <c r="K802" s="6">
        <f t="shared" si="71"/>
        <v>0</v>
      </c>
      <c r="L802" s="32">
        <f t="shared" si="72"/>
        <v>12.994199999999999</v>
      </c>
    </row>
    <row r="803" spans="1:12">
      <c r="A803" s="33">
        <v>46265</v>
      </c>
      <c r="B803" s="6">
        <f>_xlfn.XLOOKUP(C803,Employee_Master!B13:B196,Employee_Master!A13:A196,0)</f>
        <v>486309</v>
      </c>
      <c r="C803" s="34" t="s">
        <v>87</v>
      </c>
      <c r="D803" s="6" t="s">
        <v>206</v>
      </c>
      <c r="E803" s="6" t="s">
        <v>231</v>
      </c>
      <c r="F803" s="6" t="s">
        <v>231</v>
      </c>
      <c r="G803" s="6"/>
      <c r="H803" s="32">
        <v>22.772500000000001</v>
      </c>
      <c r="I803" s="6">
        <f t="shared" si="70"/>
        <v>0</v>
      </c>
      <c r="J803" s="6">
        <f>IFERROR(VLOOKUP(D803,Event_Master!B:E,4,FALSE),1)</f>
        <v>1</v>
      </c>
      <c r="K803" s="6">
        <f t="shared" si="71"/>
        <v>0</v>
      </c>
      <c r="L803" s="32">
        <f t="shared" si="72"/>
        <v>22.772500000000001</v>
      </c>
    </row>
    <row r="804" spans="1:12">
      <c r="A804" s="33">
        <v>46265</v>
      </c>
      <c r="B804" s="6">
        <f>_xlfn.XLOOKUP(C804,Employee_Master!B14:B197,Employee_Master!A14:A197,0)</f>
        <v>470301</v>
      </c>
      <c r="C804" s="34" t="s">
        <v>9</v>
      </c>
      <c r="D804" s="6" t="s">
        <v>206</v>
      </c>
      <c r="E804" s="6" t="s">
        <v>231</v>
      </c>
      <c r="F804" s="6" t="s">
        <v>231</v>
      </c>
      <c r="G804" s="6"/>
      <c r="H804" s="32">
        <v>28.751999999999999</v>
      </c>
      <c r="I804" s="6">
        <f t="shared" si="70"/>
        <v>0</v>
      </c>
      <c r="J804" s="6">
        <f>IFERROR(VLOOKUP(D804,Event_Master!B:E,4,FALSE),1)</f>
        <v>1</v>
      </c>
      <c r="K804" s="6">
        <f t="shared" si="71"/>
        <v>0</v>
      </c>
      <c r="L804" s="32">
        <f t="shared" si="72"/>
        <v>28.751999999999999</v>
      </c>
    </row>
    <row r="805" spans="1:12">
      <c r="A805" s="33">
        <v>46265</v>
      </c>
      <c r="B805" s="6">
        <f>_xlfn.XLOOKUP(C805,Employee_Master!B15:B198,Employee_Master!A15:A198,0)</f>
        <v>468157</v>
      </c>
      <c r="C805" s="34" t="s">
        <v>124</v>
      </c>
      <c r="D805" s="6" t="s">
        <v>206</v>
      </c>
      <c r="E805" s="6" t="s">
        <v>231</v>
      </c>
      <c r="F805" s="6" t="s">
        <v>231</v>
      </c>
      <c r="G805" s="6"/>
      <c r="H805" s="32">
        <v>0.88319999999999999</v>
      </c>
      <c r="I805" s="6">
        <f t="shared" si="70"/>
        <v>0</v>
      </c>
      <c r="J805" s="6">
        <f>IFERROR(VLOOKUP(D805,Event_Master!B:E,4,FALSE),1)</f>
        <v>1</v>
      </c>
      <c r="K805" s="6">
        <f t="shared" si="71"/>
        <v>0</v>
      </c>
      <c r="L805" s="32">
        <f t="shared" si="72"/>
        <v>0.88319999999999999</v>
      </c>
    </row>
    <row r="806" spans="1:12">
      <c r="A806" s="33">
        <v>46265</v>
      </c>
      <c r="B806" s="6">
        <f>_xlfn.XLOOKUP(C806,Employee_Master!B16:B199,Employee_Master!A16:A199,0)</f>
        <v>467068</v>
      </c>
      <c r="C806" s="34" t="s">
        <v>89</v>
      </c>
      <c r="D806" s="6" t="s">
        <v>206</v>
      </c>
      <c r="E806" s="6" t="s">
        <v>231</v>
      </c>
      <c r="F806" s="6" t="s">
        <v>231</v>
      </c>
      <c r="G806" s="6"/>
      <c r="H806" s="32">
        <v>30.213899999999999</v>
      </c>
      <c r="I806" s="6">
        <f t="shared" si="70"/>
        <v>0</v>
      </c>
      <c r="J806" s="6">
        <f>IFERROR(VLOOKUP(D806,Event_Master!B:E,4,FALSE),1)</f>
        <v>1</v>
      </c>
      <c r="K806" s="6">
        <f t="shared" si="71"/>
        <v>0</v>
      </c>
      <c r="L806" s="32">
        <f t="shared" si="72"/>
        <v>30.213899999999999</v>
      </c>
    </row>
    <row r="807" spans="1:12">
      <c r="A807" s="33">
        <v>46265</v>
      </c>
      <c r="B807" s="6">
        <f>_xlfn.XLOOKUP(C807,Employee_Master!B17:B200,Employee_Master!A17:A200,0)</f>
        <v>722751</v>
      </c>
      <c r="C807" s="34" t="s">
        <v>46</v>
      </c>
      <c r="D807" s="6" t="s">
        <v>206</v>
      </c>
      <c r="E807" s="6" t="s">
        <v>231</v>
      </c>
      <c r="F807" s="6" t="s">
        <v>231</v>
      </c>
      <c r="G807" s="6"/>
      <c r="H807" s="32">
        <v>25.468299999999999</v>
      </c>
      <c r="I807" s="6">
        <f t="shared" si="70"/>
        <v>0</v>
      </c>
      <c r="J807" s="6">
        <f>IFERROR(VLOOKUP(D807,Event_Master!B:E,4,FALSE),1)</f>
        <v>1</v>
      </c>
      <c r="K807" s="6">
        <f t="shared" si="71"/>
        <v>0</v>
      </c>
      <c r="L807" s="32">
        <f t="shared" si="72"/>
        <v>25.468299999999999</v>
      </c>
    </row>
    <row r="808" spans="1:12">
      <c r="A808" s="33">
        <v>46265</v>
      </c>
      <c r="B808" s="6">
        <f>_xlfn.XLOOKUP(C808,Employee_Master!B18:B201,Employee_Master!A18:A201,0)</f>
        <v>492857</v>
      </c>
      <c r="C808" s="34" t="s">
        <v>164</v>
      </c>
      <c r="D808" s="6" t="s">
        <v>206</v>
      </c>
      <c r="E808" s="6" t="s">
        <v>231</v>
      </c>
      <c r="F808" s="6" t="s">
        <v>231</v>
      </c>
      <c r="G808" s="6"/>
      <c r="H808" s="32">
        <v>12.541499999999999</v>
      </c>
      <c r="I808" s="6">
        <f t="shared" si="70"/>
        <v>0</v>
      </c>
      <c r="J808" s="6">
        <f>IFERROR(VLOOKUP(D808,Event_Master!B:E,4,FALSE),1)</f>
        <v>1</v>
      </c>
      <c r="K808" s="6">
        <f t="shared" si="71"/>
        <v>0</v>
      </c>
      <c r="L808" s="32">
        <f t="shared" si="72"/>
        <v>12.541499999999999</v>
      </c>
    </row>
    <row r="809" spans="1:12">
      <c r="A809" s="33">
        <v>46265</v>
      </c>
      <c r="B809" s="6">
        <v>452073</v>
      </c>
      <c r="C809" s="34" t="s">
        <v>380</v>
      </c>
      <c r="D809" s="6" t="s">
        <v>206</v>
      </c>
      <c r="E809" s="6" t="s">
        <v>231</v>
      </c>
      <c r="F809" s="6" t="s">
        <v>231</v>
      </c>
      <c r="G809" s="6"/>
      <c r="H809" s="32">
        <v>25.337900000000001</v>
      </c>
      <c r="I809" s="6">
        <f t="shared" si="70"/>
        <v>0</v>
      </c>
      <c r="J809" s="6">
        <f>IFERROR(VLOOKUP(D809,Event_Master!B:E,4,FALSE),1)</f>
        <v>1</v>
      </c>
      <c r="K809" s="6">
        <f t="shared" si="71"/>
        <v>0</v>
      </c>
      <c r="L809" s="32">
        <f t="shared" si="72"/>
        <v>25.337900000000001</v>
      </c>
    </row>
    <row r="810" spans="1:12">
      <c r="A810" s="33">
        <v>46265</v>
      </c>
      <c r="B810" s="6">
        <f>_xlfn.XLOOKUP(C810,Employee_Master!B20:B203,Employee_Master!A20:A203,0)</f>
        <v>453948</v>
      </c>
      <c r="C810" s="34" t="s">
        <v>126</v>
      </c>
      <c r="D810" s="6" t="s">
        <v>206</v>
      </c>
      <c r="E810" s="6" t="s">
        <v>231</v>
      </c>
      <c r="F810" s="6" t="s">
        <v>231</v>
      </c>
      <c r="G810" s="6"/>
      <c r="H810" s="32">
        <v>32.607799999999997</v>
      </c>
      <c r="I810" s="6">
        <f t="shared" si="70"/>
        <v>0</v>
      </c>
      <c r="J810" s="6">
        <f>IFERROR(VLOOKUP(D810,Event_Master!B:E,4,FALSE),1)</f>
        <v>1</v>
      </c>
      <c r="K810" s="6">
        <f t="shared" si="71"/>
        <v>0</v>
      </c>
      <c r="L810" s="32">
        <f t="shared" si="72"/>
        <v>32.607799999999997</v>
      </c>
    </row>
    <row r="811" spans="1:12">
      <c r="A811" s="33">
        <v>46265</v>
      </c>
      <c r="B811" s="6">
        <f>_xlfn.XLOOKUP(C811,Employee_Master!B22:B205,Employee_Master!A22:A205,0)</f>
        <v>365114</v>
      </c>
      <c r="C811" s="34" t="s">
        <v>54</v>
      </c>
      <c r="D811" s="6" t="s">
        <v>206</v>
      </c>
      <c r="E811" s="6" t="s">
        <v>231</v>
      </c>
      <c r="F811" s="6" t="s">
        <v>231</v>
      </c>
      <c r="G811" s="6"/>
      <c r="H811" s="32">
        <v>63.430300000000003</v>
      </c>
      <c r="I811" s="6">
        <f t="shared" si="70"/>
        <v>0</v>
      </c>
      <c r="J811" s="6">
        <f>IFERROR(VLOOKUP(D811,Event_Master!B:E,4,FALSE),1)</f>
        <v>1</v>
      </c>
      <c r="K811" s="6">
        <f t="shared" si="71"/>
        <v>0</v>
      </c>
      <c r="L811" s="32">
        <f t="shared" si="72"/>
        <v>63.430300000000003</v>
      </c>
    </row>
    <row r="812" spans="1:12">
      <c r="A812" s="33">
        <v>46265</v>
      </c>
      <c r="B812" s="6">
        <f>_xlfn.XLOOKUP(C812,Employee_Master!B23:B206,Employee_Master!A23:A206,0)</f>
        <v>452058</v>
      </c>
      <c r="C812" s="34" t="s">
        <v>14</v>
      </c>
      <c r="D812" s="6" t="s">
        <v>206</v>
      </c>
      <c r="E812" s="6" t="s">
        <v>231</v>
      </c>
      <c r="F812" s="6" t="s">
        <v>231</v>
      </c>
      <c r="G812" s="6"/>
      <c r="H812" s="32">
        <v>14.925800000000001</v>
      </c>
      <c r="I812" s="6">
        <f t="shared" si="70"/>
        <v>0</v>
      </c>
      <c r="J812" s="6">
        <f>IFERROR(VLOOKUP(D812,Event_Master!B:E,4,FALSE),1)</f>
        <v>1</v>
      </c>
      <c r="K812" s="6">
        <f t="shared" si="71"/>
        <v>0</v>
      </c>
      <c r="L812" s="32">
        <f t="shared" si="72"/>
        <v>14.925800000000001</v>
      </c>
    </row>
    <row r="813" spans="1:12">
      <c r="A813" s="33">
        <v>46265</v>
      </c>
      <c r="B813" s="6">
        <f>_xlfn.XLOOKUP(C813,Employee_Master!B24:B207,Employee_Master!A24:A207,0)</f>
        <v>420109</v>
      </c>
      <c r="C813" s="34" t="s">
        <v>129</v>
      </c>
      <c r="D813" s="6" t="s">
        <v>206</v>
      </c>
      <c r="E813" s="6" t="s">
        <v>231</v>
      </c>
      <c r="F813" s="6" t="s">
        <v>231</v>
      </c>
      <c r="G813" s="6"/>
      <c r="H813" s="32">
        <v>21.209399999999999</v>
      </c>
      <c r="I813" s="6">
        <f t="shared" si="70"/>
        <v>0</v>
      </c>
      <c r="J813" s="6">
        <f>IFERROR(VLOOKUP(D813,Event_Master!B:E,4,FALSE),1)</f>
        <v>1</v>
      </c>
      <c r="K813" s="6">
        <f t="shared" si="71"/>
        <v>0</v>
      </c>
      <c r="L813" s="32">
        <f t="shared" si="72"/>
        <v>21.209399999999999</v>
      </c>
    </row>
    <row r="814" spans="1:12">
      <c r="A814" s="33">
        <v>46265</v>
      </c>
      <c r="B814" s="6">
        <f>_xlfn.XLOOKUP(C814,Employee_Master!B25:B208,Employee_Master!A25:A208,0)</f>
        <v>465255</v>
      </c>
      <c r="C814" s="34" t="s">
        <v>28</v>
      </c>
      <c r="D814" s="6" t="s">
        <v>206</v>
      </c>
      <c r="E814" s="6" t="s">
        <v>231</v>
      </c>
      <c r="F814" s="6" t="s">
        <v>231</v>
      </c>
      <c r="G814" s="6"/>
      <c r="H814" s="32">
        <v>29.166599999999999</v>
      </c>
      <c r="I814" s="6">
        <f t="shared" si="70"/>
        <v>0</v>
      </c>
      <c r="J814" s="6">
        <f>IFERROR(VLOOKUP(D814,Event_Master!B:E,4,FALSE),1)</f>
        <v>1</v>
      </c>
      <c r="K814" s="6">
        <f t="shared" si="71"/>
        <v>0</v>
      </c>
      <c r="L814" s="32">
        <f t="shared" si="72"/>
        <v>29.166599999999999</v>
      </c>
    </row>
    <row r="815" spans="1:12">
      <c r="A815" s="33">
        <v>46265</v>
      </c>
      <c r="B815" s="6">
        <f>_xlfn.XLOOKUP(C815,Employee_Master!B26:B209,Employee_Master!A26:A209,0)</f>
        <v>464500</v>
      </c>
      <c r="C815" s="34" t="s">
        <v>165</v>
      </c>
      <c r="D815" s="6" t="s">
        <v>206</v>
      </c>
      <c r="E815" s="6" t="s">
        <v>231</v>
      </c>
      <c r="F815" s="6" t="s">
        <v>231</v>
      </c>
      <c r="G815" s="6"/>
      <c r="H815" s="32">
        <v>27.664300000000001</v>
      </c>
      <c r="I815" s="6">
        <f t="shared" si="70"/>
        <v>0</v>
      </c>
      <c r="J815" s="6">
        <f>IFERROR(VLOOKUP(D815,Event_Master!B:E,4,FALSE),1)</f>
        <v>1</v>
      </c>
      <c r="K815" s="6">
        <f t="shared" si="71"/>
        <v>0</v>
      </c>
      <c r="L815" s="32">
        <f t="shared" si="72"/>
        <v>27.664300000000001</v>
      </c>
    </row>
    <row r="816" spans="1:12">
      <c r="A816" s="33">
        <v>46265</v>
      </c>
      <c r="B816" s="6">
        <f>_xlfn.XLOOKUP(C816,Employee_Master!B27:B210,Employee_Master!A27:A210,0)</f>
        <v>456706</v>
      </c>
      <c r="C816" s="34" t="s">
        <v>130</v>
      </c>
      <c r="D816" s="6" t="s">
        <v>206</v>
      </c>
      <c r="E816" s="6" t="s">
        <v>231</v>
      </c>
      <c r="F816" s="6" t="s">
        <v>231</v>
      </c>
      <c r="G816" s="6"/>
      <c r="H816" s="32">
        <v>22.450700000000001</v>
      </c>
      <c r="I816" s="6">
        <f t="shared" si="70"/>
        <v>0</v>
      </c>
      <c r="J816" s="6">
        <f>IFERROR(VLOOKUP(D816,Event_Master!B:E,4,FALSE),1)</f>
        <v>1</v>
      </c>
      <c r="K816" s="6">
        <f t="shared" si="71"/>
        <v>0</v>
      </c>
      <c r="L816" s="32">
        <f t="shared" si="72"/>
        <v>22.450700000000001</v>
      </c>
    </row>
    <row r="817" spans="1:12">
      <c r="A817" s="33">
        <v>46265</v>
      </c>
      <c r="B817" s="6">
        <f>_xlfn.XLOOKUP(C817,Employee_Master!B28:B211,Employee_Master!A28:A211,0)</f>
        <v>460812</v>
      </c>
      <c r="C817" s="34" t="s">
        <v>166</v>
      </c>
      <c r="D817" s="6" t="s">
        <v>206</v>
      </c>
      <c r="E817" s="6" t="s">
        <v>231</v>
      </c>
      <c r="F817" s="6" t="s">
        <v>231</v>
      </c>
      <c r="G817" s="6"/>
      <c r="H817" s="32">
        <v>26.359500000000001</v>
      </c>
      <c r="I817" s="6">
        <f t="shared" si="70"/>
        <v>0</v>
      </c>
      <c r="J817" s="6">
        <f>IFERROR(VLOOKUP(D817,Event_Master!B:E,4,FALSE),1)</f>
        <v>1</v>
      </c>
      <c r="K817" s="6">
        <f t="shared" si="71"/>
        <v>0</v>
      </c>
      <c r="L817" s="32">
        <f t="shared" si="72"/>
        <v>26.359500000000001</v>
      </c>
    </row>
    <row r="818" spans="1:12">
      <c r="A818" s="33">
        <v>46265</v>
      </c>
      <c r="B818" s="6">
        <f>_xlfn.XLOOKUP(C818,Employee_Master!B30:B213,Employee_Master!A30:A213,0)</f>
        <v>447096</v>
      </c>
      <c r="C818" s="34" t="s">
        <v>81</v>
      </c>
      <c r="D818" s="6" t="s">
        <v>206</v>
      </c>
      <c r="E818" s="6" t="s">
        <v>231</v>
      </c>
      <c r="F818" s="6" t="s">
        <v>231</v>
      </c>
      <c r="G818" s="6"/>
      <c r="H818" s="32">
        <v>25.474599999999999</v>
      </c>
      <c r="I818" s="6">
        <f t="shared" si="70"/>
        <v>0</v>
      </c>
      <c r="J818" s="6">
        <f>IFERROR(VLOOKUP(D818,Event_Master!B:E,4,FALSE),1)</f>
        <v>1</v>
      </c>
      <c r="K818" s="6">
        <f t="shared" si="71"/>
        <v>0</v>
      </c>
      <c r="L818" s="32">
        <f t="shared" si="72"/>
        <v>25.474599999999999</v>
      </c>
    </row>
    <row r="819" spans="1:12">
      <c r="A819" s="33">
        <v>46265</v>
      </c>
      <c r="B819" s="6">
        <f>_xlfn.XLOOKUP(C819,Employee_Master!B31:B214,Employee_Master!A31:A214,0)</f>
        <v>455024</v>
      </c>
      <c r="C819" s="34" t="s">
        <v>167</v>
      </c>
      <c r="D819" s="6" t="s">
        <v>206</v>
      </c>
      <c r="E819" s="6" t="s">
        <v>231</v>
      </c>
      <c r="F819" s="6" t="s">
        <v>231</v>
      </c>
      <c r="G819" s="6"/>
      <c r="H819" s="32">
        <v>22.3474</v>
      </c>
      <c r="I819" s="6">
        <f t="shared" si="70"/>
        <v>0</v>
      </c>
      <c r="J819" s="6">
        <f>IFERROR(VLOOKUP(D819,Event_Master!B:E,4,FALSE),1)</f>
        <v>1</v>
      </c>
      <c r="K819" s="6">
        <f t="shared" si="71"/>
        <v>0</v>
      </c>
      <c r="L819" s="32">
        <f t="shared" si="72"/>
        <v>22.3474</v>
      </c>
    </row>
    <row r="820" spans="1:12">
      <c r="A820" s="33">
        <v>46265</v>
      </c>
      <c r="B820" s="6">
        <f>_xlfn.XLOOKUP(C820,Employee_Master!B32:B215,Employee_Master!A32:A215,0)</f>
        <v>460513</v>
      </c>
      <c r="C820" s="34" t="s">
        <v>91</v>
      </c>
      <c r="D820" s="6" t="s">
        <v>206</v>
      </c>
      <c r="E820" s="6" t="s">
        <v>231</v>
      </c>
      <c r="F820" s="6" t="s">
        <v>231</v>
      </c>
      <c r="G820" s="6"/>
      <c r="H820" s="32">
        <v>26.000599999999999</v>
      </c>
      <c r="I820" s="6">
        <f t="shared" si="70"/>
        <v>0</v>
      </c>
      <c r="J820" s="6">
        <f>IFERROR(VLOOKUP(D820,Event_Master!B:E,4,FALSE),1)</f>
        <v>1</v>
      </c>
      <c r="K820" s="6">
        <f t="shared" si="71"/>
        <v>0</v>
      </c>
      <c r="L820" s="32">
        <f t="shared" si="72"/>
        <v>26.000599999999999</v>
      </c>
    </row>
    <row r="821" spans="1:12">
      <c r="A821" s="33">
        <v>46265</v>
      </c>
      <c r="B821" s="6">
        <v>722356</v>
      </c>
      <c r="C821" s="34" t="s">
        <v>53</v>
      </c>
      <c r="D821" s="6" t="s">
        <v>206</v>
      </c>
      <c r="E821" s="6" t="s">
        <v>231</v>
      </c>
      <c r="F821" s="6" t="s">
        <v>231</v>
      </c>
      <c r="G821" s="6"/>
      <c r="H821" s="32">
        <v>16.406600000000001</v>
      </c>
      <c r="I821" s="6">
        <f t="shared" si="70"/>
        <v>0</v>
      </c>
      <c r="J821" s="6">
        <f>IFERROR(VLOOKUP(D821,Event_Master!B:E,4,FALSE),1)</f>
        <v>1</v>
      </c>
      <c r="K821" s="6">
        <f t="shared" si="71"/>
        <v>0</v>
      </c>
      <c r="L821" s="32">
        <f t="shared" si="72"/>
        <v>16.406600000000001</v>
      </c>
    </row>
    <row r="822" spans="1:12">
      <c r="A822" s="33">
        <v>46265</v>
      </c>
      <c r="B822" s="6">
        <f>_xlfn.XLOOKUP(C822,Employee_Master!B34:B217,Employee_Master!A34:A217,0)</f>
        <v>420533</v>
      </c>
      <c r="C822" s="34" t="s">
        <v>131</v>
      </c>
      <c r="D822" s="6" t="s">
        <v>206</v>
      </c>
      <c r="E822" s="6" t="s">
        <v>231</v>
      </c>
      <c r="F822" s="6" t="s">
        <v>231</v>
      </c>
      <c r="G822" s="6"/>
      <c r="H822" s="32">
        <v>28.525700000000001</v>
      </c>
      <c r="I822" s="6">
        <f t="shared" si="70"/>
        <v>0</v>
      </c>
      <c r="J822" s="6">
        <f>IFERROR(VLOOKUP(D822,Event_Master!B:E,4,FALSE),1)</f>
        <v>1</v>
      </c>
      <c r="K822" s="6">
        <f t="shared" si="71"/>
        <v>0</v>
      </c>
      <c r="L822" s="32">
        <f t="shared" si="72"/>
        <v>28.525700000000001</v>
      </c>
    </row>
    <row r="823" spans="1:12">
      <c r="A823" s="33">
        <v>46265</v>
      </c>
      <c r="B823" s="6">
        <f>_xlfn.XLOOKUP(C823,Employee_Master!B35:B218,Employee_Master!A35:A218,0)</f>
        <v>408627</v>
      </c>
      <c r="C823" s="34" t="s">
        <v>92</v>
      </c>
      <c r="D823" s="6" t="s">
        <v>206</v>
      </c>
      <c r="E823" s="6" t="s">
        <v>231</v>
      </c>
      <c r="F823" s="6" t="s">
        <v>231</v>
      </c>
      <c r="G823" s="6"/>
      <c r="H823" s="32">
        <v>19.676100000000002</v>
      </c>
      <c r="I823" s="6">
        <f t="shared" si="70"/>
        <v>0</v>
      </c>
      <c r="J823" s="6">
        <f>IFERROR(VLOOKUP(D823,Event_Master!B:E,4,FALSE),1)</f>
        <v>1</v>
      </c>
      <c r="K823" s="6">
        <f t="shared" si="71"/>
        <v>0</v>
      </c>
      <c r="L823" s="32">
        <f t="shared" si="72"/>
        <v>19.676100000000002</v>
      </c>
    </row>
    <row r="824" spans="1:12">
      <c r="A824" s="33">
        <v>46265</v>
      </c>
      <c r="B824" s="6">
        <f>_xlfn.XLOOKUP(C824,Employee_Master!B36:B219,Employee_Master!A36:A219,0)</f>
        <v>435548</v>
      </c>
      <c r="C824" s="34" t="s">
        <v>56</v>
      </c>
      <c r="D824" s="6" t="s">
        <v>206</v>
      </c>
      <c r="E824" s="6" t="s">
        <v>231</v>
      </c>
      <c r="F824" s="6" t="s">
        <v>231</v>
      </c>
      <c r="G824" s="6"/>
      <c r="H824" s="32">
        <v>37.277099999999997</v>
      </c>
      <c r="I824" s="6">
        <f t="shared" si="70"/>
        <v>0</v>
      </c>
      <c r="J824" s="6">
        <f>IFERROR(VLOOKUP(D824,Event_Master!B:E,4,FALSE),1)</f>
        <v>1</v>
      </c>
      <c r="K824" s="6">
        <f t="shared" si="71"/>
        <v>0</v>
      </c>
      <c r="L824" s="32">
        <f t="shared" si="72"/>
        <v>37.277099999999997</v>
      </c>
    </row>
    <row r="825" spans="1:12">
      <c r="A825" s="33">
        <v>46265</v>
      </c>
      <c r="B825" s="6">
        <f>_xlfn.XLOOKUP(C825,Employee_Master!B37:B220,Employee_Master!A37:A220,0)</f>
        <v>448882</v>
      </c>
      <c r="C825" s="34" t="s">
        <v>19</v>
      </c>
      <c r="D825" s="6" t="s">
        <v>206</v>
      </c>
      <c r="E825" s="6" t="s">
        <v>231</v>
      </c>
      <c r="F825" s="6" t="s">
        <v>231</v>
      </c>
      <c r="G825" s="6"/>
      <c r="H825" s="32">
        <v>25.099900000000002</v>
      </c>
      <c r="I825" s="6">
        <f t="shared" si="70"/>
        <v>0</v>
      </c>
      <c r="J825" s="6">
        <f>IFERROR(VLOOKUP(D825,Event_Master!B:E,4,FALSE),1)</f>
        <v>1</v>
      </c>
      <c r="K825" s="6">
        <f t="shared" si="71"/>
        <v>0</v>
      </c>
      <c r="L825" s="32">
        <f t="shared" si="72"/>
        <v>25.099900000000002</v>
      </c>
    </row>
    <row r="826" spans="1:12">
      <c r="A826" s="33">
        <v>46265</v>
      </c>
      <c r="B826" s="6">
        <f>_xlfn.XLOOKUP(C826,Employee_Master!B38:B221,Employee_Master!A38:A221,0)</f>
        <v>428544</v>
      </c>
      <c r="C826" s="34" t="s">
        <v>93</v>
      </c>
      <c r="D826" s="6" t="s">
        <v>206</v>
      </c>
      <c r="E826" s="6" t="s">
        <v>231</v>
      </c>
      <c r="F826" s="6" t="s">
        <v>231</v>
      </c>
      <c r="G826" s="6"/>
      <c r="H826" s="32">
        <v>32.539900000000003</v>
      </c>
      <c r="I826" s="6">
        <f t="shared" si="70"/>
        <v>0</v>
      </c>
      <c r="J826" s="6">
        <f>IFERROR(VLOOKUP(D826,Event_Master!B:E,4,FALSE),1)</f>
        <v>1</v>
      </c>
      <c r="K826" s="6">
        <f t="shared" si="71"/>
        <v>0</v>
      </c>
      <c r="L826" s="32">
        <f t="shared" si="72"/>
        <v>32.539900000000003</v>
      </c>
    </row>
    <row r="827" spans="1:12">
      <c r="A827" s="33">
        <v>46265</v>
      </c>
      <c r="B827" s="6">
        <f>_xlfn.XLOOKUP(C827,Employee_Master!B39:B222,Employee_Master!A39:A222,0)</f>
        <v>479348</v>
      </c>
      <c r="C827" s="34" t="s">
        <v>57</v>
      </c>
      <c r="D827" s="6" t="s">
        <v>206</v>
      </c>
      <c r="E827" s="6" t="s">
        <v>231</v>
      </c>
      <c r="F827" s="6" t="s">
        <v>231</v>
      </c>
      <c r="G827" s="6"/>
      <c r="H827" s="32">
        <v>4.8010999999999999</v>
      </c>
      <c r="I827" s="6">
        <f t="shared" si="70"/>
        <v>0</v>
      </c>
      <c r="J827" s="6">
        <f>IFERROR(VLOOKUP(D827,Event_Master!B:E,4,FALSE),1)</f>
        <v>1</v>
      </c>
      <c r="K827" s="6">
        <f t="shared" si="71"/>
        <v>0</v>
      </c>
      <c r="L827" s="32">
        <f t="shared" si="72"/>
        <v>4.8010999999999999</v>
      </c>
    </row>
    <row r="828" spans="1:12">
      <c r="A828" s="33">
        <v>46265</v>
      </c>
      <c r="B828" s="6">
        <f>_xlfn.XLOOKUP(C828,Employee_Master!B40:B223,Employee_Master!A40:A223,0)</f>
        <v>722183</v>
      </c>
      <c r="C828" s="34" t="s">
        <v>94</v>
      </c>
      <c r="D828" s="6" t="s">
        <v>206</v>
      </c>
      <c r="E828" s="6" t="s">
        <v>231</v>
      </c>
      <c r="F828" s="6" t="s">
        <v>231</v>
      </c>
      <c r="G828" s="6"/>
      <c r="H828" s="32">
        <v>30.546099999999999</v>
      </c>
      <c r="I828" s="6">
        <f t="shared" si="70"/>
        <v>0</v>
      </c>
      <c r="J828" s="6">
        <f>IFERROR(VLOOKUP(D828,Event_Master!B:E,4,FALSE),1)</f>
        <v>1</v>
      </c>
      <c r="K828" s="6">
        <f t="shared" si="71"/>
        <v>0</v>
      </c>
      <c r="L828" s="32">
        <f t="shared" si="72"/>
        <v>30.546099999999999</v>
      </c>
    </row>
    <row r="829" spans="1:12">
      <c r="A829" s="33">
        <v>46265</v>
      </c>
      <c r="B829" s="6">
        <f>_xlfn.XLOOKUP(C829,Employee_Master!B41:B224,Employee_Master!A41:A224,0)</f>
        <v>464193</v>
      </c>
      <c r="C829" s="34" t="s">
        <v>21</v>
      </c>
      <c r="D829" s="6" t="s">
        <v>206</v>
      </c>
      <c r="E829" s="6" t="s">
        <v>231</v>
      </c>
      <c r="F829" s="6" t="s">
        <v>231</v>
      </c>
      <c r="G829" s="6"/>
      <c r="H829" s="32">
        <v>23.165299999999998</v>
      </c>
      <c r="I829" s="6">
        <f t="shared" si="70"/>
        <v>0</v>
      </c>
      <c r="J829" s="6">
        <f>IFERROR(VLOOKUP(D829,Event_Master!B:E,4,FALSE),1)</f>
        <v>1</v>
      </c>
      <c r="K829" s="6">
        <f t="shared" si="71"/>
        <v>0</v>
      </c>
      <c r="L829" s="32">
        <f t="shared" si="72"/>
        <v>23.165299999999998</v>
      </c>
    </row>
    <row r="830" spans="1:12">
      <c r="A830" s="33">
        <v>46265</v>
      </c>
      <c r="B830" s="6">
        <f>_xlfn.XLOOKUP(C830,Employee_Master!B42:B225,Employee_Master!A42:A225,0)</f>
        <v>464188</v>
      </c>
      <c r="C830" s="34" t="s">
        <v>59</v>
      </c>
      <c r="D830" s="6" t="s">
        <v>206</v>
      </c>
      <c r="E830" s="6" t="s">
        <v>231</v>
      </c>
      <c r="F830" s="6" t="s">
        <v>231</v>
      </c>
      <c r="G830" s="6"/>
      <c r="H830" s="32">
        <v>28.684699999999999</v>
      </c>
      <c r="I830" s="6">
        <f t="shared" si="70"/>
        <v>0</v>
      </c>
      <c r="J830" s="6">
        <f>IFERROR(VLOOKUP(D830,Event_Master!B:E,4,FALSE),1)</f>
        <v>1</v>
      </c>
      <c r="K830" s="6">
        <f t="shared" si="71"/>
        <v>0</v>
      </c>
      <c r="L830" s="32">
        <f t="shared" si="72"/>
        <v>28.684699999999999</v>
      </c>
    </row>
    <row r="831" spans="1:12">
      <c r="A831" s="33">
        <v>46265</v>
      </c>
      <c r="B831" s="6">
        <f>_xlfn.XLOOKUP(C831,Employee_Master!B43:B226,Employee_Master!A43:A226,0)</f>
        <v>437534</v>
      </c>
      <c r="C831" s="34" t="s">
        <v>95</v>
      </c>
      <c r="D831" s="6" t="s">
        <v>206</v>
      </c>
      <c r="E831" s="6" t="s">
        <v>231</v>
      </c>
      <c r="F831" s="6" t="s">
        <v>231</v>
      </c>
      <c r="G831" s="6"/>
      <c r="H831" s="32">
        <v>71.499899999999997</v>
      </c>
      <c r="I831" s="6">
        <f t="shared" si="70"/>
        <v>0</v>
      </c>
      <c r="J831" s="6">
        <f>IFERROR(VLOOKUP(D831,Event_Master!B:E,4,FALSE),1)</f>
        <v>1</v>
      </c>
      <c r="K831" s="6">
        <f t="shared" si="71"/>
        <v>0</v>
      </c>
      <c r="L831" s="32">
        <f t="shared" si="72"/>
        <v>71.499899999999997</v>
      </c>
    </row>
    <row r="832" spans="1:12">
      <c r="A832" s="33">
        <v>46265</v>
      </c>
      <c r="B832" s="6">
        <f>_xlfn.XLOOKUP(C832,Employee_Master!B44:B227,Employee_Master!A44:A227,0)</f>
        <v>479724</v>
      </c>
      <c r="C832" s="34" t="s">
        <v>168</v>
      </c>
      <c r="D832" s="6" t="s">
        <v>206</v>
      </c>
      <c r="E832" s="6" t="s">
        <v>231</v>
      </c>
      <c r="F832" s="6" t="s">
        <v>231</v>
      </c>
      <c r="G832" s="6"/>
      <c r="H832" s="32">
        <v>38.601599999999998</v>
      </c>
      <c r="I832" s="6">
        <f t="shared" si="70"/>
        <v>0</v>
      </c>
      <c r="J832" s="6">
        <f>IFERROR(VLOOKUP(D832,Event_Master!B:E,4,FALSE),1)</f>
        <v>1</v>
      </c>
      <c r="K832" s="6">
        <f t="shared" si="71"/>
        <v>0</v>
      </c>
      <c r="L832" s="32">
        <f t="shared" si="72"/>
        <v>38.601599999999998</v>
      </c>
    </row>
    <row r="833" spans="1:12">
      <c r="A833" s="33">
        <v>46265</v>
      </c>
      <c r="B833" s="6">
        <f>_xlfn.XLOOKUP(C833,Employee_Master!B45:B228,Employee_Master!A45:A228,0)</f>
        <v>725373</v>
      </c>
      <c r="C833" s="34" t="s">
        <v>157</v>
      </c>
      <c r="D833" s="6" t="s">
        <v>206</v>
      </c>
      <c r="E833" s="6" t="s">
        <v>231</v>
      </c>
      <c r="F833" s="6" t="s">
        <v>231</v>
      </c>
      <c r="G833" s="6"/>
      <c r="H833" s="32">
        <v>23.297699999999999</v>
      </c>
      <c r="I833" s="6">
        <f t="shared" si="70"/>
        <v>0</v>
      </c>
      <c r="J833" s="6">
        <f>IFERROR(VLOOKUP(D833,Event_Master!B:E,4,FALSE),1)</f>
        <v>1</v>
      </c>
      <c r="K833" s="6">
        <f t="shared" si="71"/>
        <v>0</v>
      </c>
      <c r="L833" s="32">
        <f t="shared" si="72"/>
        <v>23.297699999999999</v>
      </c>
    </row>
    <row r="834" spans="1:12">
      <c r="A834" s="33">
        <v>46265</v>
      </c>
      <c r="B834" s="6">
        <v>478377</v>
      </c>
      <c r="C834" s="34" t="s">
        <v>300</v>
      </c>
      <c r="D834" s="6" t="s">
        <v>206</v>
      </c>
      <c r="E834" s="6" t="s">
        <v>231</v>
      </c>
      <c r="F834" s="6" t="s">
        <v>231</v>
      </c>
      <c r="G834" s="6"/>
      <c r="H834" s="32">
        <v>50.797600000000003</v>
      </c>
      <c r="I834" s="6">
        <f t="shared" si="70"/>
        <v>0</v>
      </c>
      <c r="J834" s="6">
        <f>IFERROR(VLOOKUP(D834,Event_Master!B:E,4,FALSE),1)</f>
        <v>1</v>
      </c>
      <c r="K834" s="6">
        <f t="shared" si="71"/>
        <v>0</v>
      </c>
      <c r="L834" s="32">
        <f t="shared" si="72"/>
        <v>50.797600000000003</v>
      </c>
    </row>
    <row r="835" spans="1:12">
      <c r="A835" s="33">
        <v>46265</v>
      </c>
      <c r="B835" s="6">
        <f>_xlfn.XLOOKUP(C835,Employee_Master!B47:B230,Employee_Master!A47:A230,0)</f>
        <v>458702</v>
      </c>
      <c r="C835" s="34" t="s">
        <v>132</v>
      </c>
      <c r="D835" s="6" t="s">
        <v>206</v>
      </c>
      <c r="E835" s="6" t="s">
        <v>231</v>
      </c>
      <c r="F835" s="6" t="s">
        <v>231</v>
      </c>
      <c r="G835" s="6"/>
      <c r="H835" s="32">
        <v>25.918399999999998</v>
      </c>
      <c r="I835" s="6">
        <f t="shared" si="70"/>
        <v>0</v>
      </c>
      <c r="J835" s="6">
        <f>IFERROR(VLOOKUP(D835,Event_Master!B:E,4,FALSE),1)</f>
        <v>1</v>
      </c>
      <c r="K835" s="6">
        <f t="shared" si="71"/>
        <v>0</v>
      </c>
      <c r="L835" s="32">
        <f t="shared" si="72"/>
        <v>25.918399999999998</v>
      </c>
    </row>
    <row r="836" spans="1:12">
      <c r="A836" s="33">
        <v>46265</v>
      </c>
      <c r="B836" s="6">
        <f>_xlfn.XLOOKUP(C836,Employee_Master!B48:B231,Employee_Master!A48:A231,0)</f>
        <v>726234</v>
      </c>
      <c r="C836" s="34" t="s">
        <v>158</v>
      </c>
      <c r="D836" s="6" t="s">
        <v>206</v>
      </c>
      <c r="E836" s="6" t="s">
        <v>231</v>
      </c>
      <c r="F836" s="6" t="s">
        <v>231</v>
      </c>
      <c r="G836" s="6"/>
      <c r="H836" s="32">
        <v>19.9375</v>
      </c>
      <c r="I836" s="6">
        <f t="shared" si="70"/>
        <v>0</v>
      </c>
      <c r="J836" s="6">
        <f>IFERROR(VLOOKUP(D836,Event_Master!B:E,4,FALSE),1)</f>
        <v>1</v>
      </c>
      <c r="K836" s="6">
        <f t="shared" si="71"/>
        <v>0</v>
      </c>
      <c r="L836" s="32">
        <f t="shared" si="72"/>
        <v>19.9375</v>
      </c>
    </row>
    <row r="837" spans="1:12">
      <c r="A837" s="33">
        <v>46265</v>
      </c>
      <c r="B837" s="6">
        <f>_xlfn.XLOOKUP(C837,Employee_Master!B49:B232,Employee_Master!A49:A232,0)</f>
        <v>473266</v>
      </c>
      <c r="C837" s="34" t="s">
        <v>133</v>
      </c>
      <c r="D837" s="6" t="s">
        <v>206</v>
      </c>
      <c r="E837" s="6" t="s">
        <v>231</v>
      </c>
      <c r="F837" s="6" t="s">
        <v>231</v>
      </c>
      <c r="G837" s="6"/>
      <c r="H837" s="32">
        <v>38.865099999999998</v>
      </c>
      <c r="I837" s="6">
        <f t="shared" si="70"/>
        <v>0</v>
      </c>
      <c r="J837" s="6">
        <f>IFERROR(VLOOKUP(D837,Event_Master!B:E,4,FALSE),1)</f>
        <v>1</v>
      </c>
      <c r="K837" s="6">
        <f t="shared" si="71"/>
        <v>0</v>
      </c>
      <c r="L837" s="32">
        <f t="shared" si="72"/>
        <v>38.865099999999998</v>
      </c>
    </row>
    <row r="838" spans="1:12">
      <c r="A838" s="33">
        <v>46265</v>
      </c>
      <c r="B838" s="6">
        <f>_xlfn.XLOOKUP(C838,Employee_Master!B50:B233,Employee_Master!A50:A233,0)</f>
        <v>710555</v>
      </c>
      <c r="C838" s="34" t="s">
        <v>97</v>
      </c>
      <c r="D838" s="6" t="s">
        <v>206</v>
      </c>
      <c r="E838" s="6" t="s">
        <v>231</v>
      </c>
      <c r="F838" s="6" t="s">
        <v>231</v>
      </c>
      <c r="G838" s="6"/>
      <c r="H838" s="32">
        <v>21.921299999999999</v>
      </c>
      <c r="I838" s="6">
        <f t="shared" si="70"/>
        <v>0</v>
      </c>
      <c r="J838" s="6">
        <f>IFERROR(VLOOKUP(D838,Event_Master!B:E,4,FALSE),1)</f>
        <v>1</v>
      </c>
      <c r="K838" s="6">
        <f t="shared" si="71"/>
        <v>0</v>
      </c>
      <c r="L838" s="32">
        <f t="shared" si="72"/>
        <v>21.921299999999999</v>
      </c>
    </row>
    <row r="839" spans="1:12">
      <c r="A839" s="33">
        <v>46265</v>
      </c>
      <c r="B839" s="6">
        <f>_xlfn.XLOOKUP(C839,Employee_Master!B51:B234,Employee_Master!A51:A234,0)</f>
        <v>710013</v>
      </c>
      <c r="C839" s="34" t="s">
        <v>98</v>
      </c>
      <c r="D839" s="6" t="s">
        <v>206</v>
      </c>
      <c r="E839" s="6" t="s">
        <v>231</v>
      </c>
      <c r="F839" s="6" t="s">
        <v>231</v>
      </c>
      <c r="G839" s="6"/>
      <c r="H839" s="32">
        <v>29.534600000000001</v>
      </c>
      <c r="I839" s="6">
        <f t="shared" si="70"/>
        <v>0</v>
      </c>
      <c r="J839" s="6">
        <f>IFERROR(VLOOKUP(D839,Event_Master!B:E,4,FALSE),1)</f>
        <v>1</v>
      </c>
      <c r="K839" s="6">
        <f t="shared" si="71"/>
        <v>0</v>
      </c>
      <c r="L839" s="32">
        <f t="shared" si="72"/>
        <v>29.534600000000001</v>
      </c>
    </row>
    <row r="840" spans="1:12">
      <c r="A840" s="33">
        <v>46265</v>
      </c>
      <c r="B840" s="6">
        <f>_xlfn.XLOOKUP(C840,Employee_Master!B53:B236,Employee_Master!A53:A236,0)</f>
        <v>463833</v>
      </c>
      <c r="C840" s="34" t="s">
        <v>100</v>
      </c>
      <c r="D840" s="6" t="s">
        <v>206</v>
      </c>
      <c r="E840" s="6" t="s">
        <v>231</v>
      </c>
      <c r="F840" s="6" t="s">
        <v>231</v>
      </c>
      <c r="G840" s="6"/>
      <c r="H840" s="32">
        <v>31.473700000000001</v>
      </c>
      <c r="I840" s="6">
        <f t="shared" si="70"/>
        <v>0</v>
      </c>
      <c r="J840" s="6">
        <f>IFERROR(VLOOKUP(D840,Event_Master!B:E,4,FALSE),1)</f>
        <v>1</v>
      </c>
      <c r="K840" s="6">
        <f t="shared" si="71"/>
        <v>0</v>
      </c>
      <c r="L840" s="32">
        <f t="shared" si="72"/>
        <v>31.473700000000001</v>
      </c>
    </row>
    <row r="841" spans="1:12">
      <c r="A841" s="33">
        <v>46265</v>
      </c>
      <c r="B841" s="6">
        <f>_xlfn.XLOOKUP(C841,Employee_Master!B54:B237,Employee_Master!A54:A237,0)</f>
        <v>709664</v>
      </c>
      <c r="C841" s="34" t="s">
        <v>134</v>
      </c>
      <c r="D841" s="6" t="s">
        <v>206</v>
      </c>
      <c r="E841" s="6" t="s">
        <v>231</v>
      </c>
      <c r="F841" s="6" t="s">
        <v>231</v>
      </c>
      <c r="G841" s="6"/>
      <c r="H841" s="32">
        <v>20.2376</v>
      </c>
      <c r="I841" s="6">
        <f t="shared" si="70"/>
        <v>0</v>
      </c>
      <c r="J841" s="6">
        <f>IFERROR(VLOOKUP(D841,Event_Master!B:E,4,FALSE),1)</f>
        <v>1</v>
      </c>
      <c r="K841" s="6">
        <f t="shared" si="71"/>
        <v>0</v>
      </c>
      <c r="L841" s="32">
        <f t="shared" si="72"/>
        <v>20.2376</v>
      </c>
    </row>
    <row r="842" spans="1:12">
      <c r="A842" s="33">
        <v>46265</v>
      </c>
      <c r="B842" s="6">
        <f>_xlfn.XLOOKUP(C842,Employee_Master!B55:B238,Employee_Master!A55:A238,0)</f>
        <v>450694</v>
      </c>
      <c r="C842" s="34" t="s">
        <v>169</v>
      </c>
      <c r="D842" s="6" t="s">
        <v>206</v>
      </c>
      <c r="E842" s="6" t="s">
        <v>231</v>
      </c>
      <c r="F842" s="6" t="s">
        <v>231</v>
      </c>
      <c r="G842" s="6"/>
      <c r="H842" s="32">
        <v>20.2317</v>
      </c>
      <c r="I842" s="6">
        <f t="shared" si="70"/>
        <v>0</v>
      </c>
      <c r="J842" s="6">
        <f>IFERROR(VLOOKUP(D842,Event_Master!B:E,4,FALSE),1)</f>
        <v>1</v>
      </c>
      <c r="K842" s="6">
        <f t="shared" si="71"/>
        <v>0</v>
      </c>
      <c r="L842" s="32">
        <f t="shared" si="72"/>
        <v>20.2317</v>
      </c>
    </row>
    <row r="843" spans="1:12">
      <c r="A843" s="33">
        <v>46265</v>
      </c>
      <c r="B843" s="6">
        <f>_xlfn.XLOOKUP(C843,Employee_Master!B56:B239,Employee_Master!A56:A239,0)</f>
        <v>416828</v>
      </c>
      <c r="C843" s="34" t="s">
        <v>61</v>
      </c>
      <c r="D843" s="6" t="s">
        <v>206</v>
      </c>
      <c r="E843" s="6" t="s">
        <v>231</v>
      </c>
      <c r="F843" s="6" t="s">
        <v>231</v>
      </c>
      <c r="G843" s="6"/>
      <c r="H843" s="32">
        <v>26.0167</v>
      </c>
      <c r="I843" s="6">
        <f t="shared" si="70"/>
        <v>0</v>
      </c>
      <c r="J843" s="6">
        <f>IFERROR(VLOOKUP(D843,Event_Master!B:E,4,FALSE),1)</f>
        <v>1</v>
      </c>
      <c r="K843" s="6">
        <f t="shared" si="71"/>
        <v>0</v>
      </c>
      <c r="L843" s="32">
        <f t="shared" si="72"/>
        <v>26.0167</v>
      </c>
    </row>
    <row r="844" spans="1:12">
      <c r="A844" s="33">
        <v>46265</v>
      </c>
      <c r="B844" s="6">
        <f>_xlfn.XLOOKUP(C844,Employee_Master!B57:B240,Employee_Master!A57:A240,0)</f>
        <v>396485</v>
      </c>
      <c r="C844" s="34" t="s">
        <v>135</v>
      </c>
      <c r="D844" s="6" t="s">
        <v>206</v>
      </c>
      <c r="E844" s="6" t="s">
        <v>231</v>
      </c>
      <c r="F844" s="6" t="s">
        <v>231</v>
      </c>
      <c r="G844" s="6"/>
      <c r="H844" s="32">
        <v>50.017299999999999</v>
      </c>
      <c r="I844" s="6">
        <f t="shared" si="70"/>
        <v>0</v>
      </c>
      <c r="J844" s="6">
        <f>IFERROR(VLOOKUP(D844,Event_Master!B:E,4,FALSE),1)</f>
        <v>1</v>
      </c>
      <c r="K844" s="6">
        <f t="shared" si="71"/>
        <v>0</v>
      </c>
      <c r="L844" s="32">
        <f t="shared" si="72"/>
        <v>50.017299999999999</v>
      </c>
    </row>
    <row r="845" spans="1:12">
      <c r="A845" s="33">
        <v>46265</v>
      </c>
      <c r="B845" s="6">
        <f>_xlfn.XLOOKUP(C845,Employee_Master!B58:B241,Employee_Master!A58:A241,0)</f>
        <v>721899</v>
      </c>
      <c r="C845" s="34" t="s">
        <v>101</v>
      </c>
      <c r="D845" s="6" t="s">
        <v>206</v>
      </c>
      <c r="E845" s="6" t="s">
        <v>231</v>
      </c>
      <c r="F845" s="6" t="s">
        <v>231</v>
      </c>
      <c r="G845" s="6"/>
      <c r="H845" s="32">
        <v>15.5565</v>
      </c>
      <c r="I845" s="6">
        <f t="shared" si="70"/>
        <v>0</v>
      </c>
      <c r="J845" s="6">
        <f>IFERROR(VLOOKUP(D845,Event_Master!B:E,4,FALSE),1)</f>
        <v>1</v>
      </c>
      <c r="K845" s="6">
        <f t="shared" si="71"/>
        <v>0</v>
      </c>
      <c r="L845" s="32">
        <f t="shared" si="72"/>
        <v>15.5565</v>
      </c>
    </row>
    <row r="846" spans="1:12">
      <c r="A846" s="33">
        <v>46265</v>
      </c>
      <c r="B846" s="6">
        <f>_xlfn.XLOOKUP(C846,Employee_Master!B59:B242,Employee_Master!A59:A242,0)</f>
        <v>449891</v>
      </c>
      <c r="C846" s="34" t="s">
        <v>170</v>
      </c>
      <c r="D846" s="6" t="s">
        <v>206</v>
      </c>
      <c r="E846" s="6" t="s">
        <v>231</v>
      </c>
      <c r="F846" s="6" t="s">
        <v>231</v>
      </c>
      <c r="G846" s="6"/>
      <c r="H846" s="32">
        <v>33.6008</v>
      </c>
      <c r="I846" s="6">
        <f t="shared" si="70"/>
        <v>0</v>
      </c>
      <c r="J846" s="6">
        <f>IFERROR(VLOOKUP(D846,Event_Master!B:E,4,FALSE),1)</f>
        <v>1</v>
      </c>
      <c r="K846" s="6">
        <f t="shared" si="71"/>
        <v>0</v>
      </c>
      <c r="L846" s="32">
        <f t="shared" si="72"/>
        <v>33.6008</v>
      </c>
    </row>
    <row r="847" spans="1:12">
      <c r="A847" s="33">
        <v>46265</v>
      </c>
      <c r="B847" s="6">
        <f>_xlfn.XLOOKUP(C847,Employee_Master!B60:B243,Employee_Master!A60:A243,0)</f>
        <v>722393</v>
      </c>
      <c r="C847" s="34" t="s">
        <v>156</v>
      </c>
      <c r="D847" s="6" t="s">
        <v>206</v>
      </c>
      <c r="E847" s="6" t="s">
        <v>231</v>
      </c>
      <c r="F847" s="6" t="s">
        <v>231</v>
      </c>
      <c r="G847" s="6"/>
      <c r="H847" s="32">
        <v>19.053799999999999</v>
      </c>
      <c r="I847" s="6">
        <f t="shared" si="70"/>
        <v>0</v>
      </c>
      <c r="J847" s="6">
        <f>IFERROR(VLOOKUP(D847,Event_Master!B:E,4,FALSE),1)</f>
        <v>1</v>
      </c>
      <c r="K847" s="6">
        <f t="shared" si="71"/>
        <v>0</v>
      </c>
      <c r="L847" s="32">
        <f t="shared" si="72"/>
        <v>19.053799999999999</v>
      </c>
    </row>
    <row r="848" spans="1:12">
      <c r="A848" s="33">
        <v>46265</v>
      </c>
      <c r="B848" s="6">
        <f>_xlfn.XLOOKUP(C848,Employee_Master!B61:B244,Employee_Master!A61:A244,0)</f>
        <v>722782</v>
      </c>
      <c r="C848" s="34" t="s">
        <v>119</v>
      </c>
      <c r="D848" s="6" t="s">
        <v>206</v>
      </c>
      <c r="E848" s="6" t="s">
        <v>231</v>
      </c>
      <c r="F848" s="6" t="s">
        <v>231</v>
      </c>
      <c r="G848" s="6"/>
      <c r="H848" s="32">
        <v>0.9355</v>
      </c>
      <c r="I848" s="6">
        <f t="shared" si="70"/>
        <v>0</v>
      </c>
      <c r="J848" s="6">
        <f>IFERROR(VLOOKUP(D848,Event_Master!B:E,4,FALSE),1)</f>
        <v>1</v>
      </c>
      <c r="K848" s="6">
        <f t="shared" si="71"/>
        <v>0</v>
      </c>
      <c r="L848" s="32">
        <f t="shared" si="72"/>
        <v>0.9355</v>
      </c>
    </row>
    <row r="849" spans="1:12">
      <c r="A849" s="33">
        <v>46265</v>
      </c>
      <c r="B849" s="6">
        <f>_xlfn.XLOOKUP(C849,Employee_Master!B62:B245,Employee_Master!A62:A245,0)</f>
        <v>440620</v>
      </c>
      <c r="C849" s="34" t="s">
        <v>25</v>
      </c>
      <c r="D849" s="6" t="s">
        <v>206</v>
      </c>
      <c r="E849" s="6" t="s">
        <v>231</v>
      </c>
      <c r="F849" s="6" t="s">
        <v>231</v>
      </c>
      <c r="G849" s="6"/>
      <c r="H849" s="32">
        <v>19.7483</v>
      </c>
      <c r="I849" s="6">
        <f t="shared" si="70"/>
        <v>0</v>
      </c>
      <c r="J849" s="6">
        <f>IFERROR(VLOOKUP(D849,Event_Master!B:E,4,FALSE),1)</f>
        <v>1</v>
      </c>
      <c r="K849" s="6">
        <f t="shared" si="71"/>
        <v>0</v>
      </c>
      <c r="L849" s="32">
        <f t="shared" si="72"/>
        <v>19.7483</v>
      </c>
    </row>
    <row r="850" spans="1:12">
      <c r="A850" s="33">
        <v>46265</v>
      </c>
      <c r="B850" s="6">
        <f>_xlfn.XLOOKUP(C850,Employee_Master!B63:B246,Employee_Master!A63:A246,0)</f>
        <v>476372</v>
      </c>
      <c r="C850" s="34" t="s">
        <v>26</v>
      </c>
      <c r="D850" s="6" t="s">
        <v>206</v>
      </c>
      <c r="E850" s="6" t="s">
        <v>231</v>
      </c>
      <c r="F850" s="6" t="s">
        <v>231</v>
      </c>
      <c r="G850" s="6"/>
      <c r="H850" s="32">
        <v>18.260999999999999</v>
      </c>
      <c r="I850" s="6">
        <f t="shared" si="70"/>
        <v>0</v>
      </c>
      <c r="J850" s="6">
        <f>IFERROR(VLOOKUP(D850,Event_Master!B:E,4,FALSE),1)</f>
        <v>1</v>
      </c>
      <c r="K850" s="6">
        <f t="shared" si="71"/>
        <v>0</v>
      </c>
      <c r="L850" s="32">
        <f t="shared" si="72"/>
        <v>18.260999999999999</v>
      </c>
    </row>
    <row r="851" spans="1:12">
      <c r="A851" s="33">
        <v>46265</v>
      </c>
      <c r="B851" s="6">
        <f>_xlfn.XLOOKUP(C851,Employee_Master!B64:B247,Employee_Master!A64:A247,0)</f>
        <v>450224</v>
      </c>
      <c r="C851" s="34" t="s">
        <v>62</v>
      </c>
      <c r="D851" s="6" t="s">
        <v>206</v>
      </c>
      <c r="E851" s="6" t="s">
        <v>231</v>
      </c>
      <c r="F851" s="6" t="s">
        <v>231</v>
      </c>
      <c r="G851" s="6"/>
      <c r="H851" s="32">
        <v>17.634599999999999</v>
      </c>
      <c r="I851" s="6">
        <f t="shared" si="70"/>
        <v>0</v>
      </c>
      <c r="J851" s="6">
        <f>IFERROR(VLOOKUP(D851,Event_Master!B:E,4,FALSE),1)</f>
        <v>1</v>
      </c>
      <c r="K851" s="6">
        <f t="shared" si="71"/>
        <v>0</v>
      </c>
      <c r="L851" s="32">
        <f t="shared" si="72"/>
        <v>17.634599999999999</v>
      </c>
    </row>
    <row r="852" spans="1:12">
      <c r="A852" s="33">
        <v>46265</v>
      </c>
      <c r="B852" s="6">
        <f>_xlfn.XLOOKUP(C852,Employee_Master!B65:B248,Employee_Master!A65:A248,0)</f>
        <v>460284</v>
      </c>
      <c r="C852" s="34" t="s">
        <v>136</v>
      </c>
      <c r="D852" s="6" t="s">
        <v>206</v>
      </c>
      <c r="E852" s="6" t="s">
        <v>231</v>
      </c>
      <c r="F852" s="6" t="s">
        <v>231</v>
      </c>
      <c r="G852" s="6"/>
      <c r="H852" s="32">
        <v>26.849799999999998</v>
      </c>
      <c r="I852" s="6">
        <f t="shared" si="70"/>
        <v>0</v>
      </c>
      <c r="J852" s="6">
        <f>IFERROR(VLOOKUP(D852,Event_Master!B:E,4,FALSE),1)</f>
        <v>1</v>
      </c>
      <c r="K852" s="6">
        <f t="shared" si="71"/>
        <v>0</v>
      </c>
      <c r="L852" s="32">
        <f t="shared" si="72"/>
        <v>26.849799999999998</v>
      </c>
    </row>
    <row r="853" spans="1:12">
      <c r="A853" s="33">
        <v>46265</v>
      </c>
      <c r="B853" s="6">
        <f>_xlfn.XLOOKUP(C853,Employee_Master!B66:B249,Employee_Master!A66:A249,0)</f>
        <v>452059</v>
      </c>
      <c r="C853" s="34" t="s">
        <v>63</v>
      </c>
      <c r="D853" s="6" t="s">
        <v>206</v>
      </c>
      <c r="E853" s="6" t="s">
        <v>231</v>
      </c>
      <c r="F853" s="6" t="s">
        <v>231</v>
      </c>
      <c r="G853" s="6"/>
      <c r="H853" s="32">
        <v>6.6977000000000002</v>
      </c>
      <c r="I853" s="6">
        <f t="shared" si="70"/>
        <v>0</v>
      </c>
      <c r="J853" s="6">
        <f>IFERROR(VLOOKUP(D853,Event_Master!B:E,4,FALSE),1)</f>
        <v>1</v>
      </c>
      <c r="K853" s="6">
        <f t="shared" si="71"/>
        <v>0</v>
      </c>
      <c r="L853" s="32">
        <f t="shared" si="72"/>
        <v>6.6977000000000002</v>
      </c>
    </row>
    <row r="854" spans="1:12">
      <c r="A854" s="33">
        <v>46265</v>
      </c>
      <c r="B854" s="6">
        <f>_xlfn.XLOOKUP(C854,Employee_Master!B67:B250,Employee_Master!A67:A250,0)</f>
        <v>434518</v>
      </c>
      <c r="C854" s="34" t="s">
        <v>137</v>
      </c>
      <c r="D854" s="6" t="s">
        <v>206</v>
      </c>
      <c r="E854" s="6" t="s">
        <v>231</v>
      </c>
      <c r="F854" s="6" t="s">
        <v>231</v>
      </c>
      <c r="G854" s="6"/>
      <c r="H854" s="32">
        <v>22.622499999999999</v>
      </c>
      <c r="I854" s="6">
        <f t="shared" si="70"/>
        <v>0</v>
      </c>
      <c r="J854" s="6">
        <f>IFERROR(VLOOKUP(D854,Event_Master!B:E,4,FALSE),1)</f>
        <v>1</v>
      </c>
      <c r="K854" s="6">
        <f t="shared" si="71"/>
        <v>0</v>
      </c>
      <c r="L854" s="32">
        <f t="shared" si="72"/>
        <v>22.622499999999999</v>
      </c>
    </row>
    <row r="855" spans="1:12">
      <c r="A855" s="33">
        <v>46265</v>
      </c>
      <c r="B855" s="6">
        <v>450030</v>
      </c>
      <c r="C855" s="34" t="s">
        <v>321</v>
      </c>
      <c r="D855" s="6" t="s">
        <v>206</v>
      </c>
      <c r="E855" s="6" t="s">
        <v>231</v>
      </c>
      <c r="F855" s="6" t="s">
        <v>231</v>
      </c>
      <c r="G855" s="6"/>
      <c r="H855" s="32">
        <v>28.19</v>
      </c>
      <c r="I855" s="6">
        <f t="shared" si="70"/>
        <v>0</v>
      </c>
      <c r="J855" s="6">
        <f>IFERROR(VLOOKUP(D855,Event_Master!B:E,4,FALSE),1)</f>
        <v>1</v>
      </c>
      <c r="K855" s="6">
        <f t="shared" si="71"/>
        <v>0</v>
      </c>
      <c r="L855" s="32">
        <f t="shared" si="72"/>
        <v>28.19</v>
      </c>
    </row>
    <row r="856" spans="1:12">
      <c r="A856" s="33">
        <v>46265</v>
      </c>
      <c r="B856" s="6">
        <f>_xlfn.XLOOKUP(C856,Employee_Master!B69:B252,Employee_Master!A69:A252,0)</f>
        <v>452799</v>
      </c>
      <c r="C856" s="34" t="s">
        <v>171</v>
      </c>
      <c r="D856" s="6" t="s">
        <v>206</v>
      </c>
      <c r="E856" s="6" t="s">
        <v>231</v>
      </c>
      <c r="F856" s="6" t="s">
        <v>231</v>
      </c>
      <c r="G856" s="6"/>
      <c r="H856" s="32">
        <v>28.3033</v>
      </c>
      <c r="I856" s="6">
        <f t="shared" si="70"/>
        <v>0</v>
      </c>
      <c r="J856" s="6">
        <f>IFERROR(VLOOKUP(D856,Event_Master!B:E,4,FALSE),1)</f>
        <v>1</v>
      </c>
      <c r="K856" s="6">
        <f t="shared" si="71"/>
        <v>0</v>
      </c>
      <c r="L856" s="32">
        <f t="shared" si="72"/>
        <v>28.3033</v>
      </c>
    </row>
    <row r="857" spans="1:12">
      <c r="A857" s="33">
        <v>46265</v>
      </c>
      <c r="B857" s="6">
        <f>_xlfn.XLOOKUP(C857,Employee_Master!B70:B253,Employee_Master!A70:A253,0)</f>
        <v>433939</v>
      </c>
      <c r="C857" s="34" t="s">
        <v>138</v>
      </c>
      <c r="D857" s="6" t="s">
        <v>206</v>
      </c>
      <c r="E857" s="6" t="s">
        <v>231</v>
      </c>
      <c r="F857" s="6" t="s">
        <v>231</v>
      </c>
      <c r="G857" s="6"/>
      <c r="H857" s="32">
        <v>31.631</v>
      </c>
      <c r="I857" s="6">
        <f t="shared" ref="I857:I920" si="73">IF(G857="Winner",100,IF(G857="Runner-up",70,IF(G857="2nd Runner-up",50,IF(G857="Semi",30,IF(G857="Quarter",20,0)))))</f>
        <v>0</v>
      </c>
      <c r="J857" s="6">
        <f>IFERROR(VLOOKUP(D857,Event_Master!B:E,4,FALSE),1)</f>
        <v>1</v>
      </c>
      <c r="K857" s="6">
        <f t="shared" ref="K857:K920" si="74">(I857*J857)</f>
        <v>0</v>
      </c>
      <c r="L857" s="32">
        <f t="shared" ref="L857:L920" si="75">K857+H857</f>
        <v>31.631</v>
      </c>
    </row>
    <row r="858" spans="1:12">
      <c r="A858" s="33">
        <v>46265</v>
      </c>
      <c r="B858" s="6">
        <f>_xlfn.XLOOKUP(C858,Employee_Master!B71:B254,Employee_Master!A71:A254,0)</f>
        <v>459464</v>
      </c>
      <c r="C858" s="34" t="s">
        <v>172</v>
      </c>
      <c r="D858" s="6" t="s">
        <v>206</v>
      </c>
      <c r="E858" s="6" t="s">
        <v>231</v>
      </c>
      <c r="F858" s="6" t="s">
        <v>231</v>
      </c>
      <c r="G858" s="6"/>
      <c r="H858" s="32">
        <v>13.847200000000001</v>
      </c>
      <c r="I858" s="6">
        <f t="shared" si="73"/>
        <v>0</v>
      </c>
      <c r="J858" s="6">
        <f>IFERROR(VLOOKUP(D858,Event_Master!B:E,4,FALSE),1)</f>
        <v>1</v>
      </c>
      <c r="K858" s="6">
        <f t="shared" si="74"/>
        <v>0</v>
      </c>
      <c r="L858" s="32">
        <f t="shared" si="75"/>
        <v>13.847200000000001</v>
      </c>
    </row>
    <row r="859" spans="1:12">
      <c r="A859" s="33">
        <v>46265</v>
      </c>
      <c r="B859" s="6">
        <f>_xlfn.XLOOKUP(C859,Employee_Master!B72:B255,Employee_Master!A72:A255,0)</f>
        <v>487107</v>
      </c>
      <c r="C859" s="34" t="s">
        <v>155</v>
      </c>
      <c r="D859" s="6" t="s">
        <v>206</v>
      </c>
      <c r="E859" s="6" t="s">
        <v>231</v>
      </c>
      <c r="F859" s="6" t="s">
        <v>231</v>
      </c>
      <c r="G859" s="6"/>
      <c r="H859" s="32">
        <v>23.396999999999998</v>
      </c>
      <c r="I859" s="6">
        <f t="shared" si="73"/>
        <v>0</v>
      </c>
      <c r="J859" s="6">
        <f>IFERROR(VLOOKUP(D859,Event_Master!B:E,4,FALSE),1)</f>
        <v>1</v>
      </c>
      <c r="K859" s="6">
        <f t="shared" si="74"/>
        <v>0</v>
      </c>
      <c r="L859" s="32">
        <f t="shared" si="75"/>
        <v>23.396999999999998</v>
      </c>
    </row>
    <row r="860" spans="1:12">
      <c r="A860" s="33">
        <v>46265</v>
      </c>
      <c r="B860" s="6">
        <f>_xlfn.XLOOKUP(C860,Employee_Master!B73:B256,Employee_Master!A73:A256,0)</f>
        <v>458749</v>
      </c>
      <c r="C860" s="34" t="s">
        <v>139</v>
      </c>
      <c r="D860" s="6" t="s">
        <v>206</v>
      </c>
      <c r="E860" s="6" t="s">
        <v>231</v>
      </c>
      <c r="F860" s="6" t="s">
        <v>231</v>
      </c>
      <c r="G860" s="6"/>
      <c r="H860" s="32">
        <v>24.2317</v>
      </c>
      <c r="I860" s="6">
        <f t="shared" si="73"/>
        <v>0</v>
      </c>
      <c r="J860" s="6">
        <f>IFERROR(VLOOKUP(D860,Event_Master!B:E,4,FALSE),1)</f>
        <v>1</v>
      </c>
      <c r="K860" s="6">
        <f t="shared" si="74"/>
        <v>0</v>
      </c>
      <c r="L860" s="32">
        <f t="shared" si="75"/>
        <v>24.2317</v>
      </c>
    </row>
    <row r="861" spans="1:12">
      <c r="A861" s="33">
        <v>46265</v>
      </c>
      <c r="B861" s="6">
        <f>_xlfn.XLOOKUP(C861,Employee_Master!B74:B257,Employee_Master!A74:A257,0)</f>
        <v>450171</v>
      </c>
      <c r="C861" s="34" t="s">
        <v>140</v>
      </c>
      <c r="D861" s="6" t="s">
        <v>206</v>
      </c>
      <c r="E861" s="6" t="s">
        <v>231</v>
      </c>
      <c r="F861" s="6" t="s">
        <v>231</v>
      </c>
      <c r="G861" s="6"/>
      <c r="H861" s="32">
        <v>23.7804</v>
      </c>
      <c r="I861" s="6">
        <f t="shared" si="73"/>
        <v>0</v>
      </c>
      <c r="J861" s="6">
        <f>IFERROR(VLOOKUP(D861,Event_Master!B:E,4,FALSE),1)</f>
        <v>1</v>
      </c>
      <c r="K861" s="6">
        <f t="shared" si="74"/>
        <v>0</v>
      </c>
      <c r="L861" s="32">
        <f t="shared" si="75"/>
        <v>23.7804</v>
      </c>
    </row>
    <row r="862" spans="1:12">
      <c r="A862" s="33">
        <v>46265</v>
      </c>
      <c r="B862" s="6">
        <f>_xlfn.XLOOKUP(C862,Employee_Master!B75:B258,Employee_Master!A75:A258,0)</f>
        <v>452075</v>
      </c>
      <c r="C862" s="34" t="s">
        <v>103</v>
      </c>
      <c r="D862" s="6" t="s">
        <v>206</v>
      </c>
      <c r="E862" s="6" t="s">
        <v>231</v>
      </c>
      <c r="F862" s="6" t="s">
        <v>231</v>
      </c>
      <c r="G862" s="6"/>
      <c r="H862" s="32">
        <v>8.3909000000000002</v>
      </c>
      <c r="I862" s="6">
        <f t="shared" si="73"/>
        <v>0</v>
      </c>
      <c r="J862" s="6">
        <f>IFERROR(VLOOKUP(D862,Event_Master!B:E,4,FALSE),1)</f>
        <v>1</v>
      </c>
      <c r="K862" s="6">
        <f t="shared" si="74"/>
        <v>0</v>
      </c>
      <c r="L862" s="32">
        <f t="shared" si="75"/>
        <v>8.3909000000000002</v>
      </c>
    </row>
    <row r="863" spans="1:12">
      <c r="A863" s="33">
        <v>46265</v>
      </c>
      <c r="B863" s="6">
        <f>_xlfn.XLOOKUP(C863,Employee_Master!B76:B259,Employee_Master!A76:A259,0)</f>
        <v>460692</v>
      </c>
      <c r="C863" s="34" t="s">
        <v>173</v>
      </c>
      <c r="D863" s="6" t="s">
        <v>206</v>
      </c>
      <c r="E863" s="6" t="s">
        <v>231</v>
      </c>
      <c r="F863" s="6" t="s">
        <v>231</v>
      </c>
      <c r="G863" s="6"/>
      <c r="H863" s="32">
        <v>23.0791</v>
      </c>
      <c r="I863" s="6">
        <f t="shared" si="73"/>
        <v>0</v>
      </c>
      <c r="J863" s="6">
        <f>IFERROR(VLOOKUP(D863,Event_Master!B:E,4,FALSE),1)</f>
        <v>1</v>
      </c>
      <c r="K863" s="6">
        <f t="shared" si="74"/>
        <v>0</v>
      </c>
      <c r="L863" s="32">
        <f t="shared" si="75"/>
        <v>23.0791</v>
      </c>
    </row>
    <row r="864" spans="1:12">
      <c r="A864" s="33">
        <v>46265</v>
      </c>
      <c r="B864" s="6">
        <f>_xlfn.XLOOKUP(C864,Employee_Master!B77:B260,Employee_Master!A77:A260,0)</f>
        <v>440774</v>
      </c>
      <c r="C864" s="34" t="s">
        <v>64</v>
      </c>
      <c r="D864" s="6" t="s">
        <v>206</v>
      </c>
      <c r="E864" s="6" t="s">
        <v>231</v>
      </c>
      <c r="F864" s="6" t="s">
        <v>231</v>
      </c>
      <c r="G864" s="6"/>
      <c r="H864" s="32">
        <v>4.6588000000000003</v>
      </c>
      <c r="I864" s="6">
        <f t="shared" si="73"/>
        <v>0</v>
      </c>
      <c r="J864" s="6">
        <f>IFERROR(VLOOKUP(D864,Event_Master!B:E,4,FALSE),1)</f>
        <v>1</v>
      </c>
      <c r="K864" s="6">
        <f t="shared" si="74"/>
        <v>0</v>
      </c>
      <c r="L864" s="32">
        <f t="shared" si="75"/>
        <v>4.6588000000000003</v>
      </c>
    </row>
    <row r="865" spans="1:12">
      <c r="A865" s="33">
        <v>46265</v>
      </c>
      <c r="B865" s="6">
        <f>_xlfn.XLOOKUP(C865,Employee_Master!B78:B261,Employee_Master!A78:A261,0)</f>
        <v>468224</v>
      </c>
      <c r="C865" s="34" t="s">
        <v>104</v>
      </c>
      <c r="D865" s="6" t="s">
        <v>206</v>
      </c>
      <c r="E865" s="6" t="s">
        <v>231</v>
      </c>
      <c r="F865" s="6" t="s">
        <v>231</v>
      </c>
      <c r="G865" s="6"/>
      <c r="H865" s="32">
        <v>10.7828</v>
      </c>
      <c r="I865" s="6">
        <f t="shared" si="73"/>
        <v>0</v>
      </c>
      <c r="J865" s="6">
        <f>IFERROR(VLOOKUP(D865,Event_Master!B:E,4,FALSE),1)</f>
        <v>1</v>
      </c>
      <c r="K865" s="6">
        <f t="shared" si="74"/>
        <v>0</v>
      </c>
      <c r="L865" s="32">
        <f t="shared" si="75"/>
        <v>10.7828</v>
      </c>
    </row>
    <row r="866" spans="1:12">
      <c r="A866" s="33">
        <v>46265</v>
      </c>
      <c r="B866" s="6">
        <f>_xlfn.XLOOKUP(C866,Employee_Master!B79:B262,Employee_Master!A79:A262,0)</f>
        <v>464871</v>
      </c>
      <c r="C866" s="34" t="s">
        <v>27</v>
      </c>
      <c r="D866" s="6" t="s">
        <v>206</v>
      </c>
      <c r="E866" s="6" t="s">
        <v>231</v>
      </c>
      <c r="F866" s="6" t="s">
        <v>231</v>
      </c>
      <c r="G866" s="6"/>
      <c r="H866" s="32">
        <v>34.027299999999997</v>
      </c>
      <c r="I866" s="6">
        <f t="shared" si="73"/>
        <v>0</v>
      </c>
      <c r="J866" s="6">
        <f>IFERROR(VLOOKUP(D866,Event_Master!B:E,4,FALSE),1)</f>
        <v>1</v>
      </c>
      <c r="K866" s="6">
        <f t="shared" si="74"/>
        <v>0</v>
      </c>
      <c r="L866" s="32">
        <f t="shared" si="75"/>
        <v>34.027299999999997</v>
      </c>
    </row>
    <row r="867" spans="1:12">
      <c r="A867" s="33">
        <v>46265</v>
      </c>
      <c r="B867" s="6">
        <f>_xlfn.XLOOKUP(C867,Employee_Master!B80:B263,Employee_Master!A80:A263,0)</f>
        <v>465254</v>
      </c>
      <c r="C867" s="34" t="s">
        <v>174</v>
      </c>
      <c r="D867" s="6" t="s">
        <v>206</v>
      </c>
      <c r="E867" s="6" t="s">
        <v>231</v>
      </c>
      <c r="F867" s="6" t="s">
        <v>231</v>
      </c>
      <c r="G867" s="6"/>
      <c r="H867" s="32">
        <v>16.6722</v>
      </c>
      <c r="I867" s="6">
        <f t="shared" si="73"/>
        <v>0</v>
      </c>
      <c r="J867" s="6">
        <f>IFERROR(VLOOKUP(D867,Event_Master!B:E,4,FALSE),1)</f>
        <v>1</v>
      </c>
      <c r="K867" s="6">
        <f t="shared" si="74"/>
        <v>0</v>
      </c>
      <c r="L867" s="32">
        <f t="shared" si="75"/>
        <v>16.6722</v>
      </c>
    </row>
    <row r="868" spans="1:12">
      <c r="A868" s="33">
        <v>46265</v>
      </c>
      <c r="B868" s="6">
        <f>_xlfn.XLOOKUP(C868,Employee_Master!B81:B264,Employee_Master!A81:A264,0)</f>
        <v>424332</v>
      </c>
      <c r="C868" s="34" t="s">
        <v>141</v>
      </c>
      <c r="D868" s="6" t="s">
        <v>206</v>
      </c>
      <c r="E868" s="6" t="s">
        <v>231</v>
      </c>
      <c r="F868" s="6" t="s">
        <v>231</v>
      </c>
      <c r="G868" s="6"/>
      <c r="H868" s="32">
        <v>25.9526</v>
      </c>
      <c r="I868" s="6">
        <f t="shared" si="73"/>
        <v>0</v>
      </c>
      <c r="J868" s="6">
        <f>IFERROR(VLOOKUP(D868,Event_Master!B:E,4,FALSE),1)</f>
        <v>1</v>
      </c>
      <c r="K868" s="6">
        <f t="shared" si="74"/>
        <v>0</v>
      </c>
      <c r="L868" s="32">
        <f t="shared" si="75"/>
        <v>25.9526</v>
      </c>
    </row>
    <row r="869" spans="1:12">
      <c r="A869" s="33">
        <v>46265</v>
      </c>
      <c r="B869" s="6">
        <f>_xlfn.XLOOKUP(C869,Employee_Master!B82:B265,Employee_Master!A82:A265,0)</f>
        <v>716610</v>
      </c>
      <c r="C869" s="34" t="s">
        <v>175</v>
      </c>
      <c r="D869" s="6" t="s">
        <v>206</v>
      </c>
      <c r="E869" s="6" t="s">
        <v>231</v>
      </c>
      <c r="F869" s="6" t="s">
        <v>231</v>
      </c>
      <c r="G869" s="6"/>
      <c r="H869" s="32">
        <v>30.668099999999999</v>
      </c>
      <c r="I869" s="6">
        <f t="shared" si="73"/>
        <v>0</v>
      </c>
      <c r="J869" s="6">
        <f>IFERROR(VLOOKUP(D869,Event_Master!B:E,4,FALSE),1)</f>
        <v>1</v>
      </c>
      <c r="K869" s="6">
        <f t="shared" si="74"/>
        <v>0</v>
      </c>
      <c r="L869" s="32">
        <f t="shared" si="75"/>
        <v>30.668099999999999</v>
      </c>
    </row>
    <row r="870" spans="1:12">
      <c r="A870" s="33">
        <v>46265</v>
      </c>
      <c r="B870" s="6">
        <f>_xlfn.XLOOKUP(C870,Employee_Master!B83:B266,Employee_Master!A83:A266,0)</f>
        <v>453949</v>
      </c>
      <c r="C870" s="34" t="s">
        <v>105</v>
      </c>
      <c r="D870" s="6" t="s">
        <v>206</v>
      </c>
      <c r="E870" s="6" t="s">
        <v>231</v>
      </c>
      <c r="F870" s="6" t="s">
        <v>231</v>
      </c>
      <c r="G870" s="6"/>
      <c r="H870" s="32">
        <v>31.509799999999998</v>
      </c>
      <c r="I870" s="6">
        <f t="shared" si="73"/>
        <v>0</v>
      </c>
      <c r="J870" s="6">
        <f>IFERROR(VLOOKUP(D870,Event_Master!B:E,4,FALSE),1)</f>
        <v>1</v>
      </c>
      <c r="K870" s="6">
        <f t="shared" si="74"/>
        <v>0</v>
      </c>
      <c r="L870" s="32">
        <f t="shared" si="75"/>
        <v>31.509799999999998</v>
      </c>
    </row>
    <row r="871" spans="1:12">
      <c r="A871" s="33">
        <v>46265</v>
      </c>
      <c r="B871" s="6">
        <f>_xlfn.XLOOKUP(C871,Employee_Master!B84:B267,Employee_Master!A84:A267,0)</f>
        <v>488518</v>
      </c>
      <c r="C871" s="34" t="s">
        <v>176</v>
      </c>
      <c r="D871" s="6" t="s">
        <v>206</v>
      </c>
      <c r="E871" s="6" t="s">
        <v>231</v>
      </c>
      <c r="F871" s="6" t="s">
        <v>231</v>
      </c>
      <c r="G871" s="6"/>
      <c r="H871" s="32">
        <v>10.703099999999999</v>
      </c>
      <c r="I871" s="6">
        <f t="shared" si="73"/>
        <v>0</v>
      </c>
      <c r="J871" s="6">
        <f>IFERROR(VLOOKUP(D871,Event_Master!B:E,4,FALSE),1)</f>
        <v>1</v>
      </c>
      <c r="K871" s="6">
        <f t="shared" si="74"/>
        <v>0</v>
      </c>
      <c r="L871" s="32">
        <f t="shared" si="75"/>
        <v>10.703099999999999</v>
      </c>
    </row>
    <row r="872" spans="1:12">
      <c r="A872" s="33">
        <v>46265</v>
      </c>
      <c r="B872" s="6">
        <f>_xlfn.XLOOKUP(C872,Employee_Master!B85:B268,Employee_Master!A85:A268,0)</f>
        <v>450225</v>
      </c>
      <c r="C872" s="34" t="s">
        <v>177</v>
      </c>
      <c r="D872" s="6" t="s">
        <v>206</v>
      </c>
      <c r="E872" s="6" t="s">
        <v>231</v>
      </c>
      <c r="F872" s="6" t="s">
        <v>231</v>
      </c>
      <c r="G872" s="6"/>
      <c r="H872" s="32">
        <v>9.02</v>
      </c>
      <c r="I872" s="6">
        <f t="shared" si="73"/>
        <v>0</v>
      </c>
      <c r="J872" s="6">
        <f>IFERROR(VLOOKUP(D872,Event_Master!B:E,4,FALSE),1)</f>
        <v>1</v>
      </c>
      <c r="K872" s="6">
        <f t="shared" si="74"/>
        <v>0</v>
      </c>
      <c r="L872" s="32">
        <f t="shared" si="75"/>
        <v>9.02</v>
      </c>
    </row>
    <row r="873" spans="1:12">
      <c r="A873" s="33">
        <v>46265</v>
      </c>
      <c r="B873" s="6">
        <f>_xlfn.XLOOKUP(C873,Employee_Master!B86:B269,Employee_Master!A86:A269,0)</f>
        <v>452121</v>
      </c>
      <c r="C873" s="34" t="s">
        <v>106</v>
      </c>
      <c r="D873" s="6" t="s">
        <v>206</v>
      </c>
      <c r="E873" s="6" t="s">
        <v>231</v>
      </c>
      <c r="F873" s="6" t="s">
        <v>231</v>
      </c>
      <c r="G873" s="6"/>
      <c r="H873" s="32">
        <v>14.7319</v>
      </c>
      <c r="I873" s="6">
        <f t="shared" si="73"/>
        <v>0</v>
      </c>
      <c r="J873" s="6">
        <f>IFERROR(VLOOKUP(D873,Event_Master!B:E,4,FALSE),1)</f>
        <v>1</v>
      </c>
      <c r="K873" s="6">
        <f t="shared" si="74"/>
        <v>0</v>
      </c>
      <c r="L873" s="32">
        <f t="shared" si="75"/>
        <v>14.7319</v>
      </c>
    </row>
    <row r="874" spans="1:12">
      <c r="A874" s="33">
        <v>46265</v>
      </c>
      <c r="B874" s="6">
        <f>_xlfn.XLOOKUP(C874,Employee_Master!B87:B270,Employee_Master!A87:A270,0)</f>
        <v>435877</v>
      </c>
      <c r="C874" s="34" t="s">
        <v>66</v>
      </c>
      <c r="D874" s="6" t="s">
        <v>206</v>
      </c>
      <c r="E874" s="6" t="s">
        <v>231</v>
      </c>
      <c r="F874" s="6" t="s">
        <v>231</v>
      </c>
      <c r="G874" s="6"/>
      <c r="H874" s="32">
        <v>12.3888</v>
      </c>
      <c r="I874" s="6">
        <f t="shared" si="73"/>
        <v>0</v>
      </c>
      <c r="J874" s="6">
        <f>IFERROR(VLOOKUP(D874,Event_Master!B:E,4,FALSE),1)</f>
        <v>1</v>
      </c>
      <c r="K874" s="6">
        <f t="shared" si="74"/>
        <v>0</v>
      </c>
      <c r="L874" s="32">
        <f t="shared" si="75"/>
        <v>12.3888</v>
      </c>
    </row>
    <row r="875" spans="1:12">
      <c r="A875" s="33">
        <v>46265</v>
      </c>
      <c r="B875" s="6">
        <f>_xlfn.XLOOKUP(C875,Employee_Master!B88:B271,Employee_Master!A88:A271,0)</f>
        <v>473015</v>
      </c>
      <c r="C875" s="34" t="s">
        <v>144</v>
      </c>
      <c r="D875" s="6" t="s">
        <v>206</v>
      </c>
      <c r="E875" s="6" t="s">
        <v>231</v>
      </c>
      <c r="F875" s="6" t="s">
        <v>231</v>
      </c>
      <c r="G875" s="6"/>
      <c r="H875" s="32">
        <v>14.8667</v>
      </c>
      <c r="I875" s="6">
        <f t="shared" si="73"/>
        <v>0</v>
      </c>
      <c r="J875" s="6">
        <f>IFERROR(VLOOKUP(D875,Event_Master!B:E,4,FALSE),1)</f>
        <v>1</v>
      </c>
      <c r="K875" s="6">
        <f t="shared" si="74"/>
        <v>0</v>
      </c>
      <c r="L875" s="32">
        <f t="shared" si="75"/>
        <v>14.8667</v>
      </c>
    </row>
    <row r="876" spans="1:12">
      <c r="A876" s="33">
        <v>46265</v>
      </c>
      <c r="B876" s="6">
        <f>_xlfn.XLOOKUP(C876,Employee_Master!B89:B272,Employee_Master!A89:A272,0)</f>
        <v>463059</v>
      </c>
      <c r="C876" s="34" t="s">
        <v>178</v>
      </c>
      <c r="D876" s="6" t="s">
        <v>206</v>
      </c>
      <c r="E876" s="6" t="s">
        <v>231</v>
      </c>
      <c r="F876" s="6" t="s">
        <v>231</v>
      </c>
      <c r="G876" s="6"/>
      <c r="H876" s="32">
        <v>25.580500000000001</v>
      </c>
      <c r="I876" s="6">
        <f t="shared" si="73"/>
        <v>0</v>
      </c>
      <c r="J876" s="6">
        <f>IFERROR(VLOOKUP(D876,Event_Master!B:E,4,FALSE),1)</f>
        <v>1</v>
      </c>
      <c r="K876" s="6">
        <f t="shared" si="74"/>
        <v>0</v>
      </c>
      <c r="L876" s="32">
        <f t="shared" si="75"/>
        <v>25.580500000000001</v>
      </c>
    </row>
    <row r="877" spans="1:12">
      <c r="A877" s="33">
        <v>46265</v>
      </c>
      <c r="B877" s="6">
        <f>_xlfn.XLOOKUP(C877,Employee_Master!B90:B273,Employee_Master!A90:A273,0)</f>
        <v>725073</v>
      </c>
      <c r="C877" s="34" t="s">
        <v>47</v>
      </c>
      <c r="D877" s="6" t="s">
        <v>206</v>
      </c>
      <c r="E877" s="6" t="s">
        <v>231</v>
      </c>
      <c r="F877" s="6" t="s">
        <v>231</v>
      </c>
      <c r="G877" s="6"/>
      <c r="H877" s="32">
        <v>22.353400000000001</v>
      </c>
      <c r="I877" s="6">
        <f t="shared" si="73"/>
        <v>0</v>
      </c>
      <c r="J877" s="6">
        <f>IFERROR(VLOOKUP(D877,Event_Master!B:E,4,FALSE),1)</f>
        <v>1</v>
      </c>
      <c r="K877" s="6">
        <f t="shared" si="74"/>
        <v>0</v>
      </c>
      <c r="L877" s="32">
        <f t="shared" si="75"/>
        <v>22.353400000000001</v>
      </c>
    </row>
    <row r="878" spans="1:12">
      <c r="A878" s="33">
        <v>46265</v>
      </c>
      <c r="B878" s="6">
        <f>_xlfn.XLOOKUP(C878,Employee_Master!B91:B274,Employee_Master!A91:A274,0)</f>
        <v>484877</v>
      </c>
      <c r="C878" s="34" t="s">
        <v>107</v>
      </c>
      <c r="D878" s="6" t="s">
        <v>206</v>
      </c>
      <c r="E878" s="6" t="s">
        <v>231</v>
      </c>
      <c r="F878" s="6" t="s">
        <v>231</v>
      </c>
      <c r="G878" s="6"/>
      <c r="H878" s="32">
        <v>29.037199999999999</v>
      </c>
      <c r="I878" s="6">
        <f t="shared" si="73"/>
        <v>0</v>
      </c>
      <c r="J878" s="6">
        <f>IFERROR(VLOOKUP(D878,Event_Master!B:E,4,FALSE),1)</f>
        <v>1</v>
      </c>
      <c r="K878" s="6">
        <f t="shared" si="74"/>
        <v>0</v>
      </c>
      <c r="L878" s="32">
        <f t="shared" si="75"/>
        <v>29.037199999999999</v>
      </c>
    </row>
    <row r="879" spans="1:12">
      <c r="A879" s="33">
        <v>46265</v>
      </c>
      <c r="B879" s="6">
        <f>_xlfn.XLOOKUP(C879,Employee_Master!B92:B275,Employee_Master!A92:A275,0)</f>
        <v>440317</v>
      </c>
      <c r="C879" s="34" t="s">
        <v>29</v>
      </c>
      <c r="D879" s="6" t="s">
        <v>206</v>
      </c>
      <c r="E879" s="6" t="s">
        <v>231</v>
      </c>
      <c r="F879" s="6" t="s">
        <v>231</v>
      </c>
      <c r="G879" s="6"/>
      <c r="H879" s="32">
        <v>19.270700000000001</v>
      </c>
      <c r="I879" s="6">
        <f t="shared" si="73"/>
        <v>0</v>
      </c>
      <c r="J879" s="6">
        <f>IFERROR(VLOOKUP(D879,Event_Master!B:E,4,FALSE),1)</f>
        <v>1</v>
      </c>
      <c r="K879" s="6">
        <f t="shared" si="74"/>
        <v>0</v>
      </c>
      <c r="L879" s="32">
        <f t="shared" si="75"/>
        <v>19.270700000000001</v>
      </c>
    </row>
    <row r="880" spans="1:12">
      <c r="A880" s="33">
        <v>46265</v>
      </c>
      <c r="B880" s="6">
        <f>_xlfn.XLOOKUP(C880,Employee_Master!B94:B277,Employee_Master!A94:A277,0)</f>
        <v>707131</v>
      </c>
      <c r="C880" s="34" t="s">
        <v>67</v>
      </c>
      <c r="D880" s="6" t="s">
        <v>206</v>
      </c>
      <c r="E880" s="6" t="s">
        <v>231</v>
      </c>
      <c r="F880" s="6" t="s">
        <v>231</v>
      </c>
      <c r="G880" s="6"/>
      <c r="H880" s="32">
        <v>20.8309</v>
      </c>
      <c r="I880" s="6">
        <f t="shared" si="73"/>
        <v>0</v>
      </c>
      <c r="J880" s="6">
        <f>IFERROR(VLOOKUP(D880,Event_Master!B:E,4,FALSE),1)</f>
        <v>1</v>
      </c>
      <c r="K880" s="6">
        <f t="shared" si="74"/>
        <v>0</v>
      </c>
      <c r="L880" s="32">
        <f t="shared" si="75"/>
        <v>20.8309</v>
      </c>
    </row>
    <row r="881" spans="1:12">
      <c r="A881" s="33">
        <v>46265</v>
      </c>
      <c r="B881" s="6">
        <f>_xlfn.XLOOKUP(C881,Employee_Master!B95:B278,Employee_Master!A95:A278,0)</f>
        <v>438864</v>
      </c>
      <c r="C881" s="34" t="s">
        <v>31</v>
      </c>
      <c r="D881" s="6" t="s">
        <v>206</v>
      </c>
      <c r="E881" s="6" t="s">
        <v>231</v>
      </c>
      <c r="F881" s="6" t="s">
        <v>231</v>
      </c>
      <c r="G881" s="6"/>
      <c r="H881" s="32">
        <v>12.3843</v>
      </c>
      <c r="I881" s="6">
        <f t="shared" si="73"/>
        <v>0</v>
      </c>
      <c r="J881" s="6">
        <f>IFERROR(VLOOKUP(D881,Event_Master!B:E,4,FALSE),1)</f>
        <v>1</v>
      </c>
      <c r="K881" s="6">
        <f t="shared" si="74"/>
        <v>0</v>
      </c>
      <c r="L881" s="32">
        <f t="shared" si="75"/>
        <v>12.3843</v>
      </c>
    </row>
    <row r="882" spans="1:12">
      <c r="A882" s="33">
        <v>46265</v>
      </c>
      <c r="B882" s="6">
        <f>_xlfn.XLOOKUP(C882,Employee_Master!B96:B279,Employee_Master!A96:A279,0)</f>
        <v>447836</v>
      </c>
      <c r="C882" s="34" t="s">
        <v>69</v>
      </c>
      <c r="D882" s="6" t="s">
        <v>206</v>
      </c>
      <c r="E882" s="6" t="s">
        <v>231</v>
      </c>
      <c r="F882" s="6" t="s">
        <v>231</v>
      </c>
      <c r="G882" s="6"/>
      <c r="H882" s="32">
        <v>16.788399999999999</v>
      </c>
      <c r="I882" s="6">
        <f t="shared" si="73"/>
        <v>0</v>
      </c>
      <c r="J882" s="6">
        <f>IFERROR(VLOOKUP(D882,Event_Master!B:E,4,FALSE),1)</f>
        <v>1</v>
      </c>
      <c r="K882" s="6">
        <f t="shared" si="74"/>
        <v>0</v>
      </c>
      <c r="L882" s="32">
        <f t="shared" si="75"/>
        <v>16.788399999999999</v>
      </c>
    </row>
    <row r="883" spans="1:12">
      <c r="A883" s="33">
        <v>46265</v>
      </c>
      <c r="B883" s="6">
        <f>_xlfn.XLOOKUP(C883,Employee_Master!B97:B280,Employee_Master!A97:A280,0)</f>
        <v>449551</v>
      </c>
      <c r="C883" s="34" t="s">
        <v>32</v>
      </c>
      <c r="D883" s="6" t="s">
        <v>206</v>
      </c>
      <c r="E883" s="6" t="s">
        <v>231</v>
      </c>
      <c r="F883" s="6" t="s">
        <v>231</v>
      </c>
      <c r="G883" s="6"/>
      <c r="H883" s="32">
        <v>22.5245</v>
      </c>
      <c r="I883" s="6">
        <f t="shared" si="73"/>
        <v>0</v>
      </c>
      <c r="J883" s="6">
        <f>IFERROR(VLOOKUP(D883,Event_Master!B:E,4,FALSE),1)</f>
        <v>1</v>
      </c>
      <c r="K883" s="6">
        <f t="shared" si="74"/>
        <v>0</v>
      </c>
      <c r="L883" s="32">
        <f t="shared" si="75"/>
        <v>22.5245</v>
      </c>
    </row>
    <row r="884" spans="1:12">
      <c r="A884" s="33">
        <v>46265</v>
      </c>
      <c r="B884" s="6">
        <f>_xlfn.XLOOKUP(C884,Employee_Master!B98:B281,Employee_Master!A98:A281,0)</f>
        <v>467075</v>
      </c>
      <c r="C884" s="34" t="s">
        <v>36</v>
      </c>
      <c r="D884" s="6" t="s">
        <v>206</v>
      </c>
      <c r="E884" s="6" t="s">
        <v>231</v>
      </c>
      <c r="F884" s="6" t="s">
        <v>231</v>
      </c>
      <c r="G884" s="6"/>
      <c r="H884" s="32">
        <v>20.490600000000001</v>
      </c>
      <c r="I884" s="6">
        <f t="shared" si="73"/>
        <v>0</v>
      </c>
      <c r="J884" s="6">
        <f>IFERROR(VLOOKUP(D884,Event_Master!B:E,4,FALSE),1)</f>
        <v>1</v>
      </c>
      <c r="K884" s="6">
        <f t="shared" si="74"/>
        <v>0</v>
      </c>
      <c r="L884" s="32">
        <f t="shared" si="75"/>
        <v>20.490600000000001</v>
      </c>
    </row>
    <row r="885" spans="1:12">
      <c r="A885" s="33">
        <v>46265</v>
      </c>
      <c r="B885" s="6">
        <f>_xlfn.XLOOKUP(C885,Employee_Master!B99:B282,Employee_Master!A99:A282,0)</f>
        <v>452118</v>
      </c>
      <c r="C885" s="34" t="s">
        <v>108</v>
      </c>
      <c r="D885" s="6" t="s">
        <v>206</v>
      </c>
      <c r="E885" s="6" t="s">
        <v>231</v>
      </c>
      <c r="F885" s="6" t="s">
        <v>231</v>
      </c>
      <c r="G885" s="6"/>
      <c r="H885" s="32">
        <v>15.8759</v>
      </c>
      <c r="I885" s="6">
        <f t="shared" si="73"/>
        <v>0</v>
      </c>
      <c r="J885" s="6">
        <f>IFERROR(VLOOKUP(D885,Event_Master!B:E,4,FALSE),1)</f>
        <v>1</v>
      </c>
      <c r="K885" s="6">
        <f t="shared" si="74"/>
        <v>0</v>
      </c>
      <c r="L885" s="32">
        <f t="shared" si="75"/>
        <v>15.8759</v>
      </c>
    </row>
    <row r="886" spans="1:12">
      <c r="A886" s="33">
        <v>46265</v>
      </c>
      <c r="B886" s="6">
        <f>_xlfn.XLOOKUP(C886,Employee_Master!B100:B283,Employee_Master!A100:A283,0)</f>
        <v>427154</v>
      </c>
      <c r="C886" s="34" t="s">
        <v>37</v>
      </c>
      <c r="D886" s="6" t="s">
        <v>206</v>
      </c>
      <c r="E886" s="6" t="s">
        <v>231</v>
      </c>
      <c r="F886" s="6" t="s">
        <v>231</v>
      </c>
      <c r="G886" s="6"/>
      <c r="H886" s="32">
        <v>19.5456</v>
      </c>
      <c r="I886" s="6">
        <f t="shared" si="73"/>
        <v>0</v>
      </c>
      <c r="J886" s="6">
        <f>IFERROR(VLOOKUP(D886,Event_Master!B:E,4,FALSE),1)</f>
        <v>1</v>
      </c>
      <c r="K886" s="6">
        <f t="shared" si="74"/>
        <v>0</v>
      </c>
      <c r="L886" s="32">
        <f t="shared" si="75"/>
        <v>19.5456</v>
      </c>
    </row>
    <row r="887" spans="1:12">
      <c r="A887" s="33">
        <v>46265</v>
      </c>
      <c r="B887" s="6">
        <f>_xlfn.XLOOKUP(C887,Employee_Master!B101:B284,Employee_Master!A101:A284,0)</f>
        <v>463660</v>
      </c>
      <c r="C887" s="34" t="s">
        <v>109</v>
      </c>
      <c r="D887" s="6" t="s">
        <v>206</v>
      </c>
      <c r="E887" s="6" t="s">
        <v>231</v>
      </c>
      <c r="F887" s="6" t="s">
        <v>231</v>
      </c>
      <c r="G887" s="6"/>
      <c r="H887" s="32">
        <v>12.7135</v>
      </c>
      <c r="I887" s="6">
        <f t="shared" si="73"/>
        <v>0</v>
      </c>
      <c r="J887" s="6">
        <f>IFERROR(VLOOKUP(D887,Event_Master!B:E,4,FALSE),1)</f>
        <v>1</v>
      </c>
      <c r="K887" s="6">
        <f t="shared" si="74"/>
        <v>0</v>
      </c>
      <c r="L887" s="32">
        <f t="shared" si="75"/>
        <v>12.7135</v>
      </c>
    </row>
    <row r="888" spans="1:12">
      <c r="A888" s="33">
        <v>46265</v>
      </c>
      <c r="B888" s="6">
        <f>_xlfn.XLOOKUP(C888,Employee_Master!B102:B285,Employee_Master!A102:A285,0)</f>
        <v>474194</v>
      </c>
      <c r="C888" s="34" t="s">
        <v>70</v>
      </c>
      <c r="D888" s="6" t="s">
        <v>206</v>
      </c>
      <c r="E888" s="6" t="s">
        <v>231</v>
      </c>
      <c r="F888" s="6" t="s">
        <v>231</v>
      </c>
      <c r="G888" s="6"/>
      <c r="H888" s="32">
        <v>26.102599999999999</v>
      </c>
      <c r="I888" s="6">
        <f t="shared" si="73"/>
        <v>0</v>
      </c>
      <c r="J888" s="6">
        <f>IFERROR(VLOOKUP(D888,Event_Master!B:E,4,FALSE),1)</f>
        <v>1</v>
      </c>
      <c r="K888" s="6">
        <f t="shared" si="74"/>
        <v>0</v>
      </c>
      <c r="L888" s="32">
        <f t="shared" si="75"/>
        <v>26.102599999999999</v>
      </c>
    </row>
    <row r="889" spans="1:12">
      <c r="A889" s="33">
        <v>46265</v>
      </c>
      <c r="B889" s="6">
        <f>_xlfn.XLOOKUP(C889,Employee_Master!B103:B286,Employee_Master!A103:A286,0)</f>
        <v>432865</v>
      </c>
      <c r="C889" s="34" t="s">
        <v>38</v>
      </c>
      <c r="D889" s="6" t="s">
        <v>206</v>
      </c>
      <c r="E889" s="6" t="s">
        <v>231</v>
      </c>
      <c r="F889" s="6" t="s">
        <v>231</v>
      </c>
      <c r="G889" s="6"/>
      <c r="H889" s="32">
        <v>20.416799999999999</v>
      </c>
      <c r="I889" s="6">
        <f t="shared" si="73"/>
        <v>0</v>
      </c>
      <c r="J889" s="6">
        <f>IFERROR(VLOOKUP(D889,Event_Master!B:E,4,FALSE),1)</f>
        <v>1</v>
      </c>
      <c r="K889" s="6">
        <f t="shared" si="74"/>
        <v>0</v>
      </c>
      <c r="L889" s="32">
        <f t="shared" si="75"/>
        <v>20.416799999999999</v>
      </c>
    </row>
    <row r="890" spans="1:12">
      <c r="A890" s="33">
        <v>46265</v>
      </c>
      <c r="B890" s="6">
        <v>452056</v>
      </c>
      <c r="C890" s="34" t="s">
        <v>381</v>
      </c>
      <c r="D890" s="6" t="s">
        <v>206</v>
      </c>
      <c r="E890" s="6" t="s">
        <v>231</v>
      </c>
      <c r="F890" s="6" t="s">
        <v>231</v>
      </c>
      <c r="G890" s="6"/>
      <c r="H890" s="32">
        <v>27.3568</v>
      </c>
      <c r="I890" s="6">
        <f t="shared" si="73"/>
        <v>0</v>
      </c>
      <c r="J890" s="6">
        <f>IFERROR(VLOOKUP(D890,Event_Master!B:E,4,FALSE),1)</f>
        <v>1</v>
      </c>
      <c r="K890" s="6">
        <f t="shared" si="74"/>
        <v>0</v>
      </c>
      <c r="L890" s="32">
        <f t="shared" si="75"/>
        <v>27.3568</v>
      </c>
    </row>
    <row r="891" spans="1:12">
      <c r="A891" s="33">
        <v>46265</v>
      </c>
      <c r="B891" s="6">
        <f>_xlfn.XLOOKUP(C891,Employee_Master!B105:B288,Employee_Master!A105:A288,0)</f>
        <v>457157</v>
      </c>
      <c r="C891" s="34" t="s">
        <v>111</v>
      </c>
      <c r="D891" s="6" t="s">
        <v>206</v>
      </c>
      <c r="E891" s="6" t="s">
        <v>231</v>
      </c>
      <c r="F891" s="6" t="s">
        <v>231</v>
      </c>
      <c r="G891" s="6"/>
      <c r="H891" s="32">
        <v>40.752200000000002</v>
      </c>
      <c r="I891" s="6">
        <f t="shared" si="73"/>
        <v>0</v>
      </c>
      <c r="J891" s="6">
        <f>IFERROR(VLOOKUP(D891,Event_Master!B:E,4,FALSE),1)</f>
        <v>1</v>
      </c>
      <c r="K891" s="6">
        <f t="shared" si="74"/>
        <v>0</v>
      </c>
      <c r="L891" s="32">
        <f t="shared" si="75"/>
        <v>40.752200000000002</v>
      </c>
    </row>
    <row r="892" spans="1:12">
      <c r="A892" s="33">
        <v>46265</v>
      </c>
      <c r="B892" s="6">
        <v>452057</v>
      </c>
      <c r="C892" s="34" t="s">
        <v>364</v>
      </c>
      <c r="D892" s="6" t="s">
        <v>206</v>
      </c>
      <c r="E892" s="6" t="s">
        <v>231</v>
      </c>
      <c r="F892" s="6" t="s">
        <v>231</v>
      </c>
      <c r="G892" s="6"/>
      <c r="H892" s="32">
        <v>20.4848</v>
      </c>
      <c r="I892" s="6">
        <f t="shared" si="73"/>
        <v>0</v>
      </c>
      <c r="J892" s="6">
        <f>IFERROR(VLOOKUP(D892,Event_Master!B:E,4,FALSE),1)</f>
        <v>1</v>
      </c>
      <c r="K892" s="6">
        <f t="shared" si="74"/>
        <v>0</v>
      </c>
      <c r="L892" s="32">
        <f t="shared" si="75"/>
        <v>20.4848</v>
      </c>
    </row>
    <row r="893" spans="1:12">
      <c r="A893" s="33">
        <v>46265</v>
      </c>
      <c r="B893" s="6">
        <f>_xlfn.XLOOKUP(C893,Employee_Master!B107:B290,Employee_Master!A107:A290,0)</f>
        <v>468660</v>
      </c>
      <c r="C893" s="34" t="s">
        <v>40</v>
      </c>
      <c r="D893" s="6" t="s">
        <v>206</v>
      </c>
      <c r="E893" s="6" t="s">
        <v>231</v>
      </c>
      <c r="F893" s="6" t="s">
        <v>231</v>
      </c>
      <c r="G893" s="6"/>
      <c r="H893" s="32">
        <v>32.884399999999999</v>
      </c>
      <c r="I893" s="6">
        <f t="shared" si="73"/>
        <v>0</v>
      </c>
      <c r="J893" s="6">
        <f>IFERROR(VLOOKUP(D893,Event_Master!B:E,4,FALSE),1)</f>
        <v>1</v>
      </c>
      <c r="K893" s="6">
        <f t="shared" si="74"/>
        <v>0</v>
      </c>
      <c r="L893" s="32">
        <f t="shared" si="75"/>
        <v>32.884399999999999</v>
      </c>
    </row>
    <row r="894" spans="1:12">
      <c r="A894" s="33">
        <v>46265</v>
      </c>
      <c r="B894" s="6">
        <f>_xlfn.XLOOKUP(C894,Employee_Master!B108:B291,Employee_Master!A108:A291,0)</f>
        <v>412273</v>
      </c>
      <c r="C894" s="34" t="s">
        <v>113</v>
      </c>
      <c r="D894" s="6" t="s">
        <v>206</v>
      </c>
      <c r="E894" s="6" t="s">
        <v>231</v>
      </c>
      <c r="F894" s="6" t="s">
        <v>231</v>
      </c>
      <c r="G894" s="6"/>
      <c r="H894" s="32">
        <v>11.3032</v>
      </c>
      <c r="I894" s="6">
        <f t="shared" si="73"/>
        <v>0</v>
      </c>
      <c r="J894" s="6">
        <f>IFERROR(VLOOKUP(D894,Event_Master!B:E,4,FALSE),1)</f>
        <v>1</v>
      </c>
      <c r="K894" s="6">
        <f t="shared" si="74"/>
        <v>0</v>
      </c>
      <c r="L894" s="32">
        <f t="shared" si="75"/>
        <v>11.3032</v>
      </c>
    </row>
    <row r="895" spans="1:12">
      <c r="A895" s="33">
        <v>46265</v>
      </c>
      <c r="B895" s="6">
        <f>_xlfn.XLOOKUP(C895,Employee_Master!B109:B292,Employee_Master!A109:A292,0)</f>
        <v>407302</v>
      </c>
      <c r="C895" s="34" t="s">
        <v>71</v>
      </c>
      <c r="D895" s="6" t="s">
        <v>206</v>
      </c>
      <c r="E895" s="6" t="s">
        <v>231</v>
      </c>
      <c r="F895" s="6" t="s">
        <v>231</v>
      </c>
      <c r="G895" s="6"/>
      <c r="H895" s="32">
        <v>32.606400000000001</v>
      </c>
      <c r="I895" s="6">
        <f t="shared" si="73"/>
        <v>0</v>
      </c>
      <c r="J895" s="6">
        <f>IFERROR(VLOOKUP(D895,Event_Master!B:E,4,FALSE),1)</f>
        <v>1</v>
      </c>
      <c r="K895" s="6">
        <f t="shared" si="74"/>
        <v>0</v>
      </c>
      <c r="L895" s="32">
        <f t="shared" si="75"/>
        <v>32.606400000000001</v>
      </c>
    </row>
    <row r="896" spans="1:12">
      <c r="A896" s="33">
        <v>46265</v>
      </c>
      <c r="B896" s="6">
        <f>_xlfn.XLOOKUP(C896,Employee_Master!B110:B293,Employee_Master!A110:A293,0)</f>
        <v>472322</v>
      </c>
      <c r="C896" s="34" t="s">
        <v>72</v>
      </c>
      <c r="D896" s="6" t="s">
        <v>206</v>
      </c>
      <c r="E896" s="6" t="s">
        <v>231</v>
      </c>
      <c r="F896" s="6" t="s">
        <v>231</v>
      </c>
      <c r="G896" s="6"/>
      <c r="H896" s="32">
        <v>27.616199999999999</v>
      </c>
      <c r="I896" s="6">
        <f t="shared" si="73"/>
        <v>0</v>
      </c>
      <c r="J896" s="6">
        <f>IFERROR(VLOOKUP(D896,Event_Master!B:E,4,FALSE),1)</f>
        <v>1</v>
      </c>
      <c r="K896" s="6">
        <f t="shared" si="74"/>
        <v>0</v>
      </c>
      <c r="L896" s="32">
        <f t="shared" si="75"/>
        <v>27.616199999999999</v>
      </c>
    </row>
    <row r="897" spans="1:12">
      <c r="A897" s="33">
        <v>46265</v>
      </c>
      <c r="B897" s="6">
        <f>_xlfn.XLOOKUP(C897,Employee_Master!B111:B294,Employee_Master!A111:A294,0)</f>
        <v>438679</v>
      </c>
      <c r="C897" s="34" t="s">
        <v>146</v>
      </c>
      <c r="D897" s="6" t="s">
        <v>206</v>
      </c>
      <c r="E897" s="6" t="s">
        <v>231</v>
      </c>
      <c r="F897" s="6" t="s">
        <v>231</v>
      </c>
      <c r="G897" s="6"/>
      <c r="H897" s="32">
        <v>23.377400000000002</v>
      </c>
      <c r="I897" s="6">
        <f t="shared" si="73"/>
        <v>0</v>
      </c>
      <c r="J897" s="6">
        <f>IFERROR(VLOOKUP(D897,Event_Master!B:E,4,FALSE),1)</f>
        <v>1</v>
      </c>
      <c r="K897" s="6">
        <f t="shared" si="74"/>
        <v>0</v>
      </c>
      <c r="L897" s="32">
        <f t="shared" si="75"/>
        <v>23.377400000000002</v>
      </c>
    </row>
    <row r="898" spans="1:12">
      <c r="A898" s="33">
        <v>46265</v>
      </c>
      <c r="B898" s="6">
        <f>_xlfn.XLOOKUP(C898,Employee_Master!B112:B295,Employee_Master!A112:A295,0)</f>
        <v>438679</v>
      </c>
      <c r="C898" s="34" t="s">
        <v>146</v>
      </c>
      <c r="D898" s="6" t="s">
        <v>206</v>
      </c>
      <c r="E898" s="6" t="s">
        <v>231</v>
      </c>
      <c r="F898" s="6" t="s">
        <v>231</v>
      </c>
      <c r="G898" s="6"/>
      <c r="H898" s="32">
        <v>22.9575</v>
      </c>
      <c r="I898" s="6">
        <f t="shared" si="73"/>
        <v>0</v>
      </c>
      <c r="J898" s="6">
        <f>IFERROR(VLOOKUP(D898,Event_Master!B:E,4,FALSE),1)</f>
        <v>1</v>
      </c>
      <c r="K898" s="6">
        <f t="shared" si="74"/>
        <v>0</v>
      </c>
      <c r="L898" s="32">
        <f t="shared" si="75"/>
        <v>22.9575</v>
      </c>
    </row>
    <row r="899" spans="1:12">
      <c r="A899" s="33">
        <v>46265</v>
      </c>
      <c r="B899" s="6">
        <f>_xlfn.XLOOKUP(C899,Employee_Master!B113:B296,Employee_Master!A113:A296,0)</f>
        <v>700216</v>
      </c>
      <c r="C899" s="34" t="s">
        <v>147</v>
      </c>
      <c r="D899" s="6" t="s">
        <v>206</v>
      </c>
      <c r="E899" s="6" t="s">
        <v>231</v>
      </c>
      <c r="F899" s="6" t="s">
        <v>231</v>
      </c>
      <c r="G899" s="6"/>
      <c r="H899" s="32">
        <v>24.354299999999999</v>
      </c>
      <c r="I899" s="6">
        <f t="shared" si="73"/>
        <v>0</v>
      </c>
      <c r="J899" s="6">
        <f>IFERROR(VLOOKUP(D899,Event_Master!B:E,4,FALSE),1)</f>
        <v>1</v>
      </c>
      <c r="K899" s="6">
        <f t="shared" si="74"/>
        <v>0</v>
      </c>
      <c r="L899" s="32">
        <f t="shared" si="75"/>
        <v>24.354299999999999</v>
      </c>
    </row>
    <row r="900" spans="1:12">
      <c r="A900" s="33">
        <v>46265</v>
      </c>
      <c r="B900" s="6">
        <f>_xlfn.XLOOKUP(C900,Employee_Master!B114:B297,Employee_Master!A114:A297,0)</f>
        <v>452076</v>
      </c>
      <c r="C900" s="34" t="s">
        <v>73</v>
      </c>
      <c r="D900" s="6" t="s">
        <v>206</v>
      </c>
      <c r="E900" s="6" t="s">
        <v>231</v>
      </c>
      <c r="F900" s="6" t="s">
        <v>231</v>
      </c>
      <c r="G900" s="6"/>
      <c r="H900" s="32">
        <v>23.7121</v>
      </c>
      <c r="I900" s="6">
        <f t="shared" si="73"/>
        <v>0</v>
      </c>
      <c r="J900" s="6">
        <f>IFERROR(VLOOKUP(D900,Event_Master!B:E,4,FALSE),1)</f>
        <v>1</v>
      </c>
      <c r="K900" s="6">
        <f t="shared" si="74"/>
        <v>0</v>
      </c>
      <c r="L900" s="32">
        <f t="shared" si="75"/>
        <v>23.7121</v>
      </c>
    </row>
    <row r="901" spans="1:12">
      <c r="A901" s="33">
        <v>46265</v>
      </c>
      <c r="B901" s="6">
        <f>_xlfn.XLOOKUP(C901,Employee_Master!B115:B298,Employee_Master!A115:A298,0)</f>
        <v>450228</v>
      </c>
      <c r="C901" s="34" t="s">
        <v>74</v>
      </c>
      <c r="D901" s="6" t="s">
        <v>206</v>
      </c>
      <c r="E901" s="6" t="s">
        <v>231</v>
      </c>
      <c r="F901" s="6" t="s">
        <v>231</v>
      </c>
      <c r="G901" s="6"/>
      <c r="H901" s="32">
        <v>27.6142</v>
      </c>
      <c r="I901" s="6">
        <f t="shared" si="73"/>
        <v>0</v>
      </c>
      <c r="J901" s="6">
        <f>IFERROR(VLOOKUP(D901,Event_Master!B:E,4,FALSE),1)</f>
        <v>1</v>
      </c>
      <c r="K901" s="6">
        <f t="shared" si="74"/>
        <v>0</v>
      </c>
      <c r="L901" s="32">
        <f t="shared" si="75"/>
        <v>27.6142</v>
      </c>
    </row>
    <row r="902" spans="1:12">
      <c r="A902" s="33">
        <v>46265</v>
      </c>
      <c r="B902" s="6">
        <f>_xlfn.XLOOKUP(C902,Employee_Master!B116:B299,Employee_Master!A116:A299,0)</f>
        <v>708792</v>
      </c>
      <c r="C902" s="34" t="s">
        <v>75</v>
      </c>
      <c r="D902" s="6" t="s">
        <v>206</v>
      </c>
      <c r="E902" s="6" t="s">
        <v>231</v>
      </c>
      <c r="F902" s="6" t="s">
        <v>231</v>
      </c>
      <c r="G902" s="6"/>
      <c r="H902" s="32">
        <v>22.093800000000002</v>
      </c>
      <c r="I902" s="6">
        <f t="shared" si="73"/>
        <v>0</v>
      </c>
      <c r="J902" s="6">
        <f>IFERROR(VLOOKUP(D902,Event_Master!B:E,4,FALSE),1)</f>
        <v>1</v>
      </c>
      <c r="K902" s="6">
        <f t="shared" si="74"/>
        <v>0</v>
      </c>
      <c r="L902" s="32">
        <f t="shared" si="75"/>
        <v>22.093800000000002</v>
      </c>
    </row>
    <row r="903" spans="1:12">
      <c r="A903" s="33">
        <v>46265</v>
      </c>
      <c r="B903" s="6">
        <f>_xlfn.XLOOKUP(C903,Employee_Master!B117:B300,Employee_Master!A117:A300,0)</f>
        <v>446300</v>
      </c>
      <c r="C903" s="34" t="s">
        <v>148</v>
      </c>
      <c r="D903" s="6" t="s">
        <v>206</v>
      </c>
      <c r="E903" s="6" t="s">
        <v>231</v>
      </c>
      <c r="F903" s="6" t="s">
        <v>231</v>
      </c>
      <c r="G903" s="6"/>
      <c r="H903" s="32">
        <v>35.980699999999999</v>
      </c>
      <c r="I903" s="6">
        <f t="shared" si="73"/>
        <v>0</v>
      </c>
      <c r="J903" s="6">
        <f>IFERROR(VLOOKUP(D903,Event_Master!B:E,4,FALSE),1)</f>
        <v>1</v>
      </c>
      <c r="K903" s="6">
        <f t="shared" si="74"/>
        <v>0</v>
      </c>
      <c r="L903" s="32">
        <f t="shared" si="75"/>
        <v>35.980699999999999</v>
      </c>
    </row>
    <row r="904" spans="1:12">
      <c r="A904" s="33">
        <v>46265</v>
      </c>
      <c r="B904" s="6">
        <f>_xlfn.XLOOKUP(C904,Employee_Master!B118:B301,Employee_Master!A118:A301,0)</f>
        <v>450325</v>
      </c>
      <c r="C904" s="34" t="s">
        <v>82</v>
      </c>
      <c r="D904" s="6" t="s">
        <v>206</v>
      </c>
      <c r="E904" s="6" t="s">
        <v>231</v>
      </c>
      <c r="F904" s="6" t="s">
        <v>231</v>
      </c>
      <c r="G904" s="6"/>
      <c r="H904" s="32">
        <v>28.898099999999999</v>
      </c>
      <c r="I904" s="6">
        <f t="shared" si="73"/>
        <v>0</v>
      </c>
      <c r="J904" s="6">
        <f>IFERROR(VLOOKUP(D904,Event_Master!B:E,4,FALSE),1)</f>
        <v>1</v>
      </c>
      <c r="K904" s="6">
        <f t="shared" si="74"/>
        <v>0</v>
      </c>
      <c r="L904" s="32">
        <f t="shared" si="75"/>
        <v>28.898099999999999</v>
      </c>
    </row>
    <row r="905" spans="1:12">
      <c r="A905" s="33">
        <v>46265</v>
      </c>
      <c r="B905" s="6">
        <f>_xlfn.XLOOKUP(C905,Employee_Master!B119:B302,Employee_Master!A119:A302,0)</f>
        <v>720995</v>
      </c>
      <c r="C905" s="34" t="s">
        <v>115</v>
      </c>
      <c r="D905" s="6" t="s">
        <v>206</v>
      </c>
      <c r="E905" s="6" t="s">
        <v>231</v>
      </c>
      <c r="F905" s="6" t="s">
        <v>231</v>
      </c>
      <c r="G905" s="6"/>
      <c r="H905" s="32">
        <v>17.897200000000002</v>
      </c>
      <c r="I905" s="6">
        <f t="shared" si="73"/>
        <v>0</v>
      </c>
      <c r="J905" s="6">
        <f>IFERROR(VLOOKUP(D905,Event_Master!B:E,4,FALSE),1)</f>
        <v>1</v>
      </c>
      <c r="K905" s="6">
        <f t="shared" si="74"/>
        <v>0</v>
      </c>
      <c r="L905" s="32">
        <f t="shared" si="75"/>
        <v>17.897200000000002</v>
      </c>
    </row>
    <row r="906" spans="1:12">
      <c r="A906" s="33">
        <v>46265</v>
      </c>
      <c r="B906" s="6">
        <f>_xlfn.XLOOKUP(C906,Employee_Master!B120:B303,Employee_Master!A120:A303,0)</f>
        <v>706181</v>
      </c>
      <c r="C906" s="34" t="s">
        <v>76</v>
      </c>
      <c r="D906" s="6" t="s">
        <v>206</v>
      </c>
      <c r="E906" s="6" t="s">
        <v>231</v>
      </c>
      <c r="F906" s="6" t="s">
        <v>231</v>
      </c>
      <c r="G906" s="6"/>
      <c r="H906" s="32">
        <v>21.263000000000002</v>
      </c>
      <c r="I906" s="6">
        <f t="shared" si="73"/>
        <v>0</v>
      </c>
      <c r="J906" s="6">
        <f>IFERROR(VLOOKUP(D906,Event_Master!B:E,4,FALSE),1)</f>
        <v>1</v>
      </c>
      <c r="K906" s="6">
        <f t="shared" si="74"/>
        <v>0</v>
      </c>
      <c r="L906" s="32">
        <f t="shared" si="75"/>
        <v>21.263000000000002</v>
      </c>
    </row>
    <row r="907" spans="1:12">
      <c r="A907" s="33">
        <v>46265</v>
      </c>
      <c r="B907" s="6">
        <f>_xlfn.XLOOKUP(C907,Employee_Master!B121:B304,Employee_Master!A121:A304,0)</f>
        <v>706306</v>
      </c>
      <c r="C907" s="34" t="s">
        <v>180</v>
      </c>
      <c r="D907" s="6" t="s">
        <v>206</v>
      </c>
      <c r="E907" s="6" t="s">
        <v>231</v>
      </c>
      <c r="F907" s="6" t="s">
        <v>231</v>
      </c>
      <c r="G907" s="6"/>
      <c r="H907" s="32">
        <v>14.1968</v>
      </c>
      <c r="I907" s="6">
        <f t="shared" si="73"/>
        <v>0</v>
      </c>
      <c r="J907" s="6">
        <f>IFERROR(VLOOKUP(D907,Event_Master!B:E,4,FALSE),1)</f>
        <v>1</v>
      </c>
      <c r="K907" s="6">
        <f t="shared" si="74"/>
        <v>0</v>
      </c>
      <c r="L907" s="32">
        <f t="shared" si="75"/>
        <v>14.1968</v>
      </c>
    </row>
    <row r="908" spans="1:12">
      <c r="A908" s="33">
        <v>46265</v>
      </c>
      <c r="B908" s="6">
        <f>_xlfn.XLOOKUP(C908,Employee_Master!B122:B305,Employee_Master!A122:A305,0)</f>
        <v>479827</v>
      </c>
      <c r="C908" s="34" t="s">
        <v>116</v>
      </c>
      <c r="D908" s="6" t="s">
        <v>206</v>
      </c>
      <c r="E908" s="6" t="s">
        <v>231</v>
      </c>
      <c r="F908" s="6" t="s">
        <v>231</v>
      </c>
      <c r="G908" s="6"/>
      <c r="H908" s="32">
        <v>34.136200000000002</v>
      </c>
      <c r="I908" s="6">
        <f t="shared" si="73"/>
        <v>0</v>
      </c>
      <c r="J908" s="6">
        <f>IFERROR(VLOOKUP(D908,Event_Master!B:E,4,FALSE),1)</f>
        <v>1</v>
      </c>
      <c r="K908" s="6">
        <f t="shared" si="74"/>
        <v>0</v>
      </c>
      <c r="L908" s="32">
        <f t="shared" si="75"/>
        <v>34.136200000000002</v>
      </c>
    </row>
    <row r="909" spans="1:12">
      <c r="A909" s="33">
        <v>46265</v>
      </c>
      <c r="B909" s="6">
        <f>_xlfn.XLOOKUP(C909,Employee_Master!B123:B306,Employee_Master!A123:A306,0)</f>
        <v>472840</v>
      </c>
      <c r="C909" s="34" t="s">
        <v>181</v>
      </c>
      <c r="D909" s="6" t="s">
        <v>206</v>
      </c>
      <c r="E909" s="6" t="s">
        <v>231</v>
      </c>
      <c r="F909" s="6" t="s">
        <v>231</v>
      </c>
      <c r="G909" s="6"/>
      <c r="H909" s="32">
        <v>15.135300000000001</v>
      </c>
      <c r="I909" s="6">
        <f t="shared" si="73"/>
        <v>0</v>
      </c>
      <c r="J909" s="6">
        <f>IFERROR(VLOOKUP(D909,Event_Master!B:E,4,FALSE),1)</f>
        <v>1</v>
      </c>
      <c r="K909" s="6">
        <f t="shared" si="74"/>
        <v>0</v>
      </c>
      <c r="L909" s="32">
        <f t="shared" si="75"/>
        <v>15.135300000000001</v>
      </c>
    </row>
    <row r="910" spans="1:12">
      <c r="A910" s="33">
        <v>46265</v>
      </c>
      <c r="B910" s="6">
        <f>_xlfn.XLOOKUP(C910,Employee_Master!B124:B307,Employee_Master!A124:A307,0)</f>
        <v>449635</v>
      </c>
      <c r="C910" s="34" t="s">
        <v>182</v>
      </c>
      <c r="D910" s="6" t="s">
        <v>206</v>
      </c>
      <c r="E910" s="6" t="s">
        <v>231</v>
      </c>
      <c r="F910" s="6" t="s">
        <v>231</v>
      </c>
      <c r="G910" s="6"/>
      <c r="H910" s="32">
        <v>18.328800000000001</v>
      </c>
      <c r="I910" s="6">
        <f t="shared" si="73"/>
        <v>0</v>
      </c>
      <c r="J910" s="6">
        <f>IFERROR(VLOOKUP(D910,Event_Master!B:E,4,FALSE),1)</f>
        <v>1</v>
      </c>
      <c r="K910" s="6">
        <f t="shared" si="74"/>
        <v>0</v>
      </c>
      <c r="L910" s="32">
        <f t="shared" si="75"/>
        <v>18.328800000000001</v>
      </c>
    </row>
    <row r="911" spans="1:12">
      <c r="A911" s="33">
        <v>46265</v>
      </c>
      <c r="B911" s="6">
        <f>_xlfn.XLOOKUP(C911,Employee_Master!B125:B308,Employee_Master!A125:A308,0)</f>
        <v>426232</v>
      </c>
      <c r="C911" s="34" t="s">
        <v>118</v>
      </c>
      <c r="D911" s="6" t="s">
        <v>206</v>
      </c>
      <c r="E911" s="6" t="s">
        <v>231</v>
      </c>
      <c r="F911" s="6" t="s">
        <v>231</v>
      </c>
      <c r="G911" s="6"/>
      <c r="H911" s="32">
        <v>16.479900000000001</v>
      </c>
      <c r="I911" s="6">
        <f t="shared" si="73"/>
        <v>0</v>
      </c>
      <c r="J911" s="6">
        <f>IFERROR(VLOOKUP(D911,Event_Master!B:E,4,FALSE),1)</f>
        <v>1</v>
      </c>
      <c r="K911" s="6">
        <f t="shared" si="74"/>
        <v>0</v>
      </c>
      <c r="L911" s="32">
        <f t="shared" si="75"/>
        <v>16.479900000000001</v>
      </c>
    </row>
    <row r="912" spans="1:12">
      <c r="A912" s="33">
        <v>46265</v>
      </c>
      <c r="B912" s="6">
        <f>_xlfn.XLOOKUP(C912,Employee_Master!B126:B309,Employee_Master!A126:A309,0)</f>
        <v>466562</v>
      </c>
      <c r="C912" s="34" t="s">
        <v>77</v>
      </c>
      <c r="D912" s="6" t="s">
        <v>206</v>
      </c>
      <c r="E912" s="6" t="s">
        <v>231</v>
      </c>
      <c r="F912" s="6" t="s">
        <v>231</v>
      </c>
      <c r="G912" s="6"/>
      <c r="H912" s="32">
        <v>13.106400000000001</v>
      </c>
      <c r="I912" s="6">
        <f t="shared" si="73"/>
        <v>0</v>
      </c>
      <c r="J912" s="6">
        <f>IFERROR(VLOOKUP(D912,Event_Master!B:E,4,FALSE),1)</f>
        <v>1</v>
      </c>
      <c r="K912" s="6">
        <f t="shared" si="74"/>
        <v>0</v>
      </c>
      <c r="L912" s="32">
        <f t="shared" si="75"/>
        <v>13.106400000000001</v>
      </c>
    </row>
    <row r="913" spans="1:12">
      <c r="A913" s="33">
        <v>46265</v>
      </c>
      <c r="B913" s="6">
        <f>_xlfn.XLOOKUP(C913,Employee_Master!B127:B310,Employee_Master!A127:A310,0)</f>
        <v>438263</v>
      </c>
      <c r="C913" s="34" t="s">
        <v>183</v>
      </c>
      <c r="D913" s="6" t="s">
        <v>206</v>
      </c>
      <c r="E913" s="6" t="s">
        <v>231</v>
      </c>
      <c r="F913" s="6" t="s">
        <v>231</v>
      </c>
      <c r="G913" s="6"/>
      <c r="H913" s="32">
        <v>40.078099999999999</v>
      </c>
      <c r="I913" s="6">
        <f t="shared" si="73"/>
        <v>0</v>
      </c>
      <c r="J913" s="6">
        <f>IFERROR(VLOOKUP(D913,Event_Master!B:E,4,FALSE),1)</f>
        <v>1</v>
      </c>
      <c r="K913" s="6">
        <f t="shared" si="74"/>
        <v>0</v>
      </c>
      <c r="L913" s="32">
        <f t="shared" si="75"/>
        <v>40.078099999999999</v>
      </c>
    </row>
    <row r="914" spans="1:12">
      <c r="A914" s="33">
        <v>46265</v>
      </c>
      <c r="B914" s="6">
        <f>_xlfn.XLOOKUP(C914,Employee_Master!B128:B311,Employee_Master!A128:A311,0)</f>
        <v>467544</v>
      </c>
      <c r="C914" s="34" t="s">
        <v>78</v>
      </c>
      <c r="D914" s="6" t="s">
        <v>206</v>
      </c>
      <c r="E914" s="6" t="s">
        <v>231</v>
      </c>
      <c r="F914" s="6" t="s">
        <v>231</v>
      </c>
      <c r="G914" s="6"/>
      <c r="H914" s="32">
        <v>29.094000000000001</v>
      </c>
      <c r="I914" s="6">
        <f t="shared" si="73"/>
        <v>0</v>
      </c>
      <c r="J914" s="6">
        <f>IFERROR(VLOOKUP(D914,Event_Master!B:E,4,FALSE),1)</f>
        <v>1</v>
      </c>
      <c r="K914" s="6">
        <f t="shared" si="74"/>
        <v>0</v>
      </c>
      <c r="L914" s="32">
        <f t="shared" si="75"/>
        <v>29.094000000000001</v>
      </c>
    </row>
    <row r="915" spans="1:12">
      <c r="A915" s="33">
        <v>46265</v>
      </c>
      <c r="B915" s="6">
        <f>_xlfn.XLOOKUP(C915,Employee_Master!B129:B312,Employee_Master!A129:A312,0)</f>
        <v>468536</v>
      </c>
      <c r="C915" s="34" t="s">
        <v>44</v>
      </c>
      <c r="D915" s="6" t="s">
        <v>206</v>
      </c>
      <c r="E915" s="6" t="s">
        <v>231</v>
      </c>
      <c r="F915" s="6" t="s">
        <v>231</v>
      </c>
      <c r="G915" s="6"/>
      <c r="H915" s="32">
        <v>9.1995000000000005</v>
      </c>
      <c r="I915" s="6">
        <f t="shared" si="73"/>
        <v>0</v>
      </c>
      <c r="J915" s="6">
        <f>IFERROR(VLOOKUP(D915,Event_Master!B:E,4,FALSE),1)</f>
        <v>1</v>
      </c>
      <c r="K915" s="6">
        <f t="shared" si="74"/>
        <v>0</v>
      </c>
      <c r="L915" s="32">
        <f t="shared" si="75"/>
        <v>9.1995000000000005</v>
      </c>
    </row>
    <row r="916" spans="1:12">
      <c r="A916" s="33">
        <v>46265</v>
      </c>
      <c r="B916" s="6">
        <f>_xlfn.XLOOKUP(C916,Employee_Master!B130:B313,Employee_Master!A130:A313,0)</f>
        <v>727595</v>
      </c>
      <c r="C916" s="34" t="s">
        <v>186</v>
      </c>
      <c r="D916" s="6" t="s">
        <v>206</v>
      </c>
      <c r="E916" s="6" t="s">
        <v>231</v>
      </c>
      <c r="F916" s="6" t="s">
        <v>231</v>
      </c>
      <c r="G916" s="6"/>
      <c r="H916" s="32">
        <v>27.568200000000001</v>
      </c>
      <c r="I916" s="6">
        <f t="shared" si="73"/>
        <v>0</v>
      </c>
      <c r="J916" s="6">
        <f>IFERROR(VLOOKUP(D916,Event_Master!B:E,4,FALSE),1)</f>
        <v>1</v>
      </c>
      <c r="K916" s="6">
        <f t="shared" si="74"/>
        <v>0</v>
      </c>
      <c r="L916" s="32">
        <f t="shared" si="75"/>
        <v>27.568200000000001</v>
      </c>
    </row>
    <row r="917" spans="1:12">
      <c r="A917" s="33">
        <v>46265</v>
      </c>
      <c r="B917" s="6">
        <f>_xlfn.XLOOKUP(C917,Employee_Master!B131:B314,Employee_Master!A131:A314,0)</f>
        <v>467519</v>
      </c>
      <c r="C917" s="34" t="s">
        <v>80</v>
      </c>
      <c r="D917" s="6" t="s">
        <v>206</v>
      </c>
      <c r="E917" s="6" t="s">
        <v>231</v>
      </c>
      <c r="F917" s="6" t="s">
        <v>231</v>
      </c>
      <c r="G917" s="6"/>
      <c r="H917" s="32">
        <v>25.6754</v>
      </c>
      <c r="I917" s="6">
        <f t="shared" si="73"/>
        <v>0</v>
      </c>
      <c r="J917" s="6">
        <f>IFERROR(VLOOKUP(D917,Event_Master!B:E,4,FALSE),1)</f>
        <v>1</v>
      </c>
      <c r="K917" s="6">
        <f t="shared" si="74"/>
        <v>0</v>
      </c>
      <c r="L917" s="32">
        <f t="shared" si="75"/>
        <v>25.6754</v>
      </c>
    </row>
    <row r="918" spans="1:12">
      <c r="A918" s="33">
        <v>46265</v>
      </c>
      <c r="B918" s="6">
        <f>_xlfn.XLOOKUP(C918,Employee_Master!B132:B315,Employee_Master!A132:A315,0)</f>
        <v>451609</v>
      </c>
      <c r="C918" s="34" t="s">
        <v>79</v>
      </c>
      <c r="D918" s="6" t="s">
        <v>206</v>
      </c>
      <c r="E918" s="6" t="s">
        <v>231</v>
      </c>
      <c r="F918" s="6" t="s">
        <v>231</v>
      </c>
      <c r="G918" s="6"/>
      <c r="H918" s="32">
        <v>28.5474</v>
      </c>
      <c r="I918" s="6">
        <f t="shared" si="73"/>
        <v>0</v>
      </c>
      <c r="J918" s="6">
        <f>IFERROR(VLOOKUP(D918,Event_Master!B:E,4,FALSE),1)</f>
        <v>1</v>
      </c>
      <c r="K918" s="6">
        <f t="shared" si="74"/>
        <v>0</v>
      </c>
      <c r="L918" s="32">
        <f t="shared" si="75"/>
        <v>28.5474</v>
      </c>
    </row>
    <row r="919" spans="1:12">
      <c r="A919" s="33">
        <v>46265</v>
      </c>
      <c r="B919" s="28">
        <v>722783</v>
      </c>
      <c r="C919" s="29" t="s">
        <v>83</v>
      </c>
      <c r="D919" s="6" t="s">
        <v>234</v>
      </c>
      <c r="E919" s="6" t="s">
        <v>231</v>
      </c>
      <c r="F919" s="6" t="s">
        <v>231</v>
      </c>
      <c r="G919" s="6"/>
      <c r="H919" s="32">
        <v>10</v>
      </c>
      <c r="I919" s="6">
        <f t="shared" si="73"/>
        <v>0</v>
      </c>
      <c r="J919" s="6">
        <f>IFERROR(VLOOKUP(D919,Event_Master!B:E,4,FALSE),1)</f>
        <v>1</v>
      </c>
      <c r="K919" s="6">
        <f t="shared" si="74"/>
        <v>0</v>
      </c>
      <c r="L919" s="32">
        <f t="shared" si="75"/>
        <v>10</v>
      </c>
    </row>
    <row r="920" spans="1:12">
      <c r="A920" s="33">
        <v>46265</v>
      </c>
      <c r="B920" s="28">
        <v>408262</v>
      </c>
      <c r="C920" s="28" t="s">
        <v>125</v>
      </c>
      <c r="D920" s="6" t="s">
        <v>234</v>
      </c>
      <c r="E920" s="6" t="s">
        <v>231</v>
      </c>
      <c r="F920" s="6" t="s">
        <v>231</v>
      </c>
      <c r="G920" s="6"/>
      <c r="H920" s="32">
        <v>10</v>
      </c>
      <c r="I920" s="6">
        <f t="shared" si="73"/>
        <v>0</v>
      </c>
      <c r="J920" s="6">
        <f>IFERROR(VLOOKUP(D920,Event_Master!B:E,4,FALSE),1)</f>
        <v>1</v>
      </c>
      <c r="K920" s="6">
        <f t="shared" si="74"/>
        <v>0</v>
      </c>
      <c r="L920" s="32">
        <f t="shared" si="75"/>
        <v>10</v>
      </c>
    </row>
    <row r="921" spans="1:12">
      <c r="A921" s="33">
        <v>46265</v>
      </c>
      <c r="B921" s="28">
        <v>453089</v>
      </c>
      <c r="C921" s="28" t="s">
        <v>10</v>
      </c>
      <c r="D921" s="6" t="s">
        <v>234</v>
      </c>
      <c r="E921" s="6" t="s">
        <v>231</v>
      </c>
      <c r="F921" s="6" t="s">
        <v>231</v>
      </c>
      <c r="G921" s="6"/>
      <c r="H921" s="32">
        <v>10</v>
      </c>
      <c r="I921" s="6">
        <f t="shared" ref="I921:I950" si="76">IF(G921="Winner",100,IF(G921="Runner-up",70,IF(G921="2nd Runner-up",50,IF(G921="Semi",30,IF(G921="Quarter",20,0)))))</f>
        <v>0</v>
      </c>
      <c r="J921" s="6">
        <f>IFERROR(VLOOKUP(D921,Event_Master!B:E,4,FALSE),1)</f>
        <v>1</v>
      </c>
      <c r="K921" s="6">
        <f t="shared" ref="K921:K950" si="77">(I921*J921)</f>
        <v>0</v>
      </c>
      <c r="L921" s="32">
        <f t="shared" ref="L921:L950" si="78">K921+H921</f>
        <v>10</v>
      </c>
    </row>
    <row r="922" spans="1:12">
      <c r="A922" s="33">
        <v>46265</v>
      </c>
      <c r="B922" s="28">
        <v>478084</v>
      </c>
      <c r="C922" s="28" t="s">
        <v>12</v>
      </c>
      <c r="D922" s="6" t="s">
        <v>234</v>
      </c>
      <c r="E922" s="6" t="s">
        <v>231</v>
      </c>
      <c r="F922" s="6" t="s">
        <v>231</v>
      </c>
      <c r="G922" s="6"/>
      <c r="H922" s="32">
        <v>10</v>
      </c>
      <c r="I922" s="6">
        <f t="shared" si="76"/>
        <v>0</v>
      </c>
      <c r="J922" s="6">
        <f>IFERROR(VLOOKUP(D922,Event_Master!B:E,4,FALSE),1)</f>
        <v>1</v>
      </c>
      <c r="K922" s="6">
        <f t="shared" si="77"/>
        <v>0</v>
      </c>
      <c r="L922" s="32">
        <f t="shared" si="78"/>
        <v>10</v>
      </c>
    </row>
    <row r="923" spans="1:12">
      <c r="A923" s="33">
        <v>46265</v>
      </c>
      <c r="B923" s="28">
        <v>365114</v>
      </c>
      <c r="C923" s="28" t="s">
        <v>54</v>
      </c>
      <c r="D923" s="6" t="s">
        <v>234</v>
      </c>
      <c r="E923" s="6" t="s">
        <v>231</v>
      </c>
      <c r="F923" s="6" t="s">
        <v>231</v>
      </c>
      <c r="G923" s="6"/>
      <c r="H923" s="32">
        <v>10</v>
      </c>
      <c r="I923" s="6">
        <f t="shared" si="76"/>
        <v>0</v>
      </c>
      <c r="J923" s="6">
        <f>IFERROR(VLOOKUP(D923,Event_Master!B:E,4,FALSE),1)</f>
        <v>1</v>
      </c>
      <c r="K923" s="6">
        <f t="shared" si="77"/>
        <v>0</v>
      </c>
      <c r="L923" s="32">
        <f t="shared" si="78"/>
        <v>10</v>
      </c>
    </row>
    <row r="924" spans="1:12">
      <c r="A924" s="33">
        <v>46265</v>
      </c>
      <c r="B924" s="28">
        <v>464500</v>
      </c>
      <c r="C924" s="28" t="s">
        <v>165</v>
      </c>
      <c r="D924" s="6" t="s">
        <v>234</v>
      </c>
      <c r="E924" s="6" t="s">
        <v>231</v>
      </c>
      <c r="F924" s="6" t="s">
        <v>231</v>
      </c>
      <c r="G924" s="6"/>
      <c r="H924" s="32">
        <v>10</v>
      </c>
      <c r="I924" s="6">
        <f t="shared" si="76"/>
        <v>0</v>
      </c>
      <c r="J924" s="6">
        <f>IFERROR(VLOOKUP(D924,Event_Master!B:E,4,FALSE),1)</f>
        <v>1</v>
      </c>
      <c r="K924" s="6">
        <f t="shared" si="77"/>
        <v>0</v>
      </c>
      <c r="L924" s="32">
        <f t="shared" si="78"/>
        <v>10</v>
      </c>
    </row>
    <row r="925" spans="1:12">
      <c r="A925" s="33">
        <v>46265</v>
      </c>
      <c r="B925" s="28">
        <v>460812</v>
      </c>
      <c r="C925" s="28" t="s">
        <v>166</v>
      </c>
      <c r="D925" s="6" t="s">
        <v>234</v>
      </c>
      <c r="E925" s="6" t="s">
        <v>231</v>
      </c>
      <c r="F925" s="6" t="s">
        <v>231</v>
      </c>
      <c r="G925" s="6"/>
      <c r="H925" s="32">
        <v>10</v>
      </c>
      <c r="I925" s="6">
        <f t="shared" si="76"/>
        <v>0</v>
      </c>
      <c r="J925" s="6">
        <f>IFERROR(VLOOKUP(D925,Event_Master!B:E,4,FALSE),1)</f>
        <v>1</v>
      </c>
      <c r="K925" s="6">
        <f t="shared" si="77"/>
        <v>0</v>
      </c>
      <c r="L925" s="32">
        <f t="shared" si="78"/>
        <v>10</v>
      </c>
    </row>
    <row r="926" spans="1:12">
      <c r="A926" s="33">
        <v>46265</v>
      </c>
      <c r="B926" s="28">
        <v>460513</v>
      </c>
      <c r="C926" s="28" t="s">
        <v>91</v>
      </c>
      <c r="D926" s="6" t="s">
        <v>234</v>
      </c>
      <c r="E926" s="6" t="s">
        <v>231</v>
      </c>
      <c r="F926" s="6" t="s">
        <v>231</v>
      </c>
      <c r="G926" s="6"/>
      <c r="H926" s="32">
        <v>10</v>
      </c>
      <c r="I926" s="6">
        <f t="shared" si="76"/>
        <v>0</v>
      </c>
      <c r="J926" s="6">
        <f>IFERROR(VLOOKUP(D926,Event_Master!B:E,4,FALSE),1)</f>
        <v>1</v>
      </c>
      <c r="K926" s="6">
        <f t="shared" si="77"/>
        <v>0</v>
      </c>
      <c r="L926" s="32">
        <f t="shared" si="78"/>
        <v>10</v>
      </c>
    </row>
    <row r="927" spans="1:12">
      <c r="A927" s="33">
        <v>46265</v>
      </c>
      <c r="B927" s="28">
        <v>452991</v>
      </c>
      <c r="C927" s="28" t="s">
        <v>18</v>
      </c>
      <c r="D927" s="6" t="s">
        <v>234</v>
      </c>
      <c r="E927" s="6" t="s">
        <v>231</v>
      </c>
      <c r="F927" s="6" t="s">
        <v>231</v>
      </c>
      <c r="G927" s="6"/>
      <c r="H927" s="32">
        <v>10</v>
      </c>
      <c r="I927" s="6">
        <f t="shared" si="76"/>
        <v>0</v>
      </c>
      <c r="J927" s="6">
        <f>IFERROR(VLOOKUP(D927,Event_Master!B:E,4,FALSE),1)</f>
        <v>1</v>
      </c>
      <c r="K927" s="6">
        <f t="shared" si="77"/>
        <v>0</v>
      </c>
      <c r="L927" s="32">
        <f t="shared" si="78"/>
        <v>10</v>
      </c>
    </row>
    <row r="928" spans="1:12">
      <c r="A928" s="33">
        <v>46265</v>
      </c>
      <c r="B928" s="28">
        <v>408627</v>
      </c>
      <c r="C928" s="29" t="s">
        <v>92</v>
      </c>
      <c r="D928" s="6" t="s">
        <v>234</v>
      </c>
      <c r="E928" s="6" t="s">
        <v>231</v>
      </c>
      <c r="F928" s="6" t="s">
        <v>231</v>
      </c>
      <c r="G928" s="6"/>
      <c r="H928" s="32">
        <v>10</v>
      </c>
      <c r="I928" s="6">
        <f t="shared" si="76"/>
        <v>0</v>
      </c>
      <c r="J928" s="6">
        <f>IFERROR(VLOOKUP(D928,Event_Master!B:E,4,FALSE),1)</f>
        <v>1</v>
      </c>
      <c r="K928" s="6">
        <f t="shared" si="77"/>
        <v>0</v>
      </c>
      <c r="L928" s="32">
        <f t="shared" si="78"/>
        <v>10</v>
      </c>
    </row>
    <row r="929" spans="1:12">
      <c r="A929" s="33">
        <v>46265</v>
      </c>
      <c r="B929" s="28">
        <v>435548</v>
      </c>
      <c r="C929" s="28" t="s">
        <v>56</v>
      </c>
      <c r="D929" s="6" t="s">
        <v>234</v>
      </c>
      <c r="E929" s="6" t="s">
        <v>231</v>
      </c>
      <c r="F929" s="6" t="s">
        <v>231</v>
      </c>
      <c r="G929" s="6"/>
      <c r="H929" s="32">
        <v>10</v>
      </c>
      <c r="I929" s="6">
        <f t="shared" si="76"/>
        <v>0</v>
      </c>
      <c r="J929" s="6">
        <f>IFERROR(VLOOKUP(D929,Event_Master!B:E,4,FALSE),1)</f>
        <v>1</v>
      </c>
      <c r="K929" s="6">
        <f t="shared" si="77"/>
        <v>0</v>
      </c>
      <c r="L929" s="32">
        <f t="shared" si="78"/>
        <v>10</v>
      </c>
    </row>
    <row r="930" spans="1:12">
      <c r="A930" s="33">
        <v>46265</v>
      </c>
      <c r="B930" s="28">
        <v>464193</v>
      </c>
      <c r="C930" s="28" t="s">
        <v>21</v>
      </c>
      <c r="D930" s="6" t="s">
        <v>234</v>
      </c>
      <c r="E930" s="6" t="s">
        <v>231</v>
      </c>
      <c r="F930" s="6" t="s">
        <v>231</v>
      </c>
      <c r="G930" s="6"/>
      <c r="H930" s="32">
        <v>10</v>
      </c>
      <c r="I930" s="6">
        <f t="shared" si="76"/>
        <v>0</v>
      </c>
      <c r="J930" s="6">
        <f>IFERROR(VLOOKUP(D930,Event_Master!B:E,4,FALSE),1)</f>
        <v>1</v>
      </c>
      <c r="K930" s="6">
        <f t="shared" si="77"/>
        <v>0</v>
      </c>
      <c r="L930" s="32">
        <f t="shared" si="78"/>
        <v>10</v>
      </c>
    </row>
    <row r="931" spans="1:12">
      <c r="A931" s="33">
        <v>46265</v>
      </c>
      <c r="B931" s="28">
        <v>458702</v>
      </c>
      <c r="C931" s="28" t="s">
        <v>132</v>
      </c>
      <c r="D931" s="6" t="s">
        <v>234</v>
      </c>
      <c r="E931" s="6" t="s">
        <v>231</v>
      </c>
      <c r="F931" s="6" t="s">
        <v>231</v>
      </c>
      <c r="G931" s="6"/>
      <c r="H931" s="32">
        <v>10</v>
      </c>
      <c r="I931" s="6">
        <f t="shared" si="76"/>
        <v>0</v>
      </c>
      <c r="J931" s="6">
        <f>IFERROR(VLOOKUP(D931,Event_Master!B:E,4,FALSE),1)</f>
        <v>1</v>
      </c>
      <c r="K931" s="6">
        <f t="shared" si="77"/>
        <v>0</v>
      </c>
      <c r="L931" s="32">
        <f t="shared" si="78"/>
        <v>10</v>
      </c>
    </row>
    <row r="932" spans="1:12">
      <c r="A932" s="33">
        <v>46265</v>
      </c>
      <c r="B932" s="28">
        <v>450256</v>
      </c>
      <c r="C932" s="29" t="s">
        <v>24</v>
      </c>
      <c r="D932" s="6" t="s">
        <v>234</v>
      </c>
      <c r="E932" s="6" t="s">
        <v>231</v>
      </c>
      <c r="F932" s="6" t="s">
        <v>231</v>
      </c>
      <c r="G932" s="6"/>
      <c r="H932" s="32">
        <v>10</v>
      </c>
      <c r="I932" s="6">
        <f t="shared" si="76"/>
        <v>0</v>
      </c>
      <c r="J932" s="6">
        <f>IFERROR(VLOOKUP(D932,Event_Master!B:E,4,FALSE),1)</f>
        <v>1</v>
      </c>
      <c r="K932" s="6">
        <f t="shared" si="77"/>
        <v>0</v>
      </c>
      <c r="L932" s="32">
        <f t="shared" si="78"/>
        <v>10</v>
      </c>
    </row>
    <row r="933" spans="1:12">
      <c r="A933" s="33">
        <v>46265</v>
      </c>
      <c r="B933" s="28">
        <v>396485</v>
      </c>
      <c r="C933" s="28" t="s">
        <v>135</v>
      </c>
      <c r="D933" s="6" t="s">
        <v>234</v>
      </c>
      <c r="E933" s="6" t="s">
        <v>231</v>
      </c>
      <c r="F933" s="6" t="s">
        <v>231</v>
      </c>
      <c r="G933" s="6"/>
      <c r="H933" s="32">
        <v>10</v>
      </c>
      <c r="I933" s="6">
        <f t="shared" si="76"/>
        <v>0</v>
      </c>
      <c r="J933" s="6">
        <f>IFERROR(VLOOKUP(D933,Event_Master!B:E,4,FALSE),1)</f>
        <v>1</v>
      </c>
      <c r="K933" s="6">
        <f t="shared" si="77"/>
        <v>0</v>
      </c>
      <c r="L933" s="32">
        <f t="shared" si="78"/>
        <v>10</v>
      </c>
    </row>
    <row r="934" spans="1:12">
      <c r="A934" s="33">
        <v>46265</v>
      </c>
      <c r="B934" s="28">
        <v>721899</v>
      </c>
      <c r="C934" s="29" t="s">
        <v>101</v>
      </c>
      <c r="D934" s="6" t="s">
        <v>234</v>
      </c>
      <c r="E934" s="6" t="s">
        <v>231</v>
      </c>
      <c r="F934" s="6" t="s">
        <v>231</v>
      </c>
      <c r="G934" s="6"/>
      <c r="H934" s="32">
        <v>10</v>
      </c>
      <c r="I934" s="6">
        <f t="shared" si="76"/>
        <v>0</v>
      </c>
      <c r="J934" s="6">
        <f>IFERROR(VLOOKUP(D934,Event_Master!B:E,4,FALSE),1)</f>
        <v>1</v>
      </c>
      <c r="K934" s="6">
        <f t="shared" si="77"/>
        <v>0</v>
      </c>
      <c r="L934" s="32">
        <f t="shared" si="78"/>
        <v>10</v>
      </c>
    </row>
    <row r="935" spans="1:12">
      <c r="A935" s="33">
        <v>46265</v>
      </c>
      <c r="B935" s="28">
        <v>722782</v>
      </c>
      <c r="C935" s="29" t="s">
        <v>119</v>
      </c>
      <c r="D935" s="6" t="s">
        <v>234</v>
      </c>
      <c r="E935" s="6" t="s">
        <v>231</v>
      </c>
      <c r="F935" s="6" t="s">
        <v>231</v>
      </c>
      <c r="G935" s="6"/>
      <c r="H935" s="32">
        <v>10</v>
      </c>
      <c r="I935" s="6">
        <f t="shared" si="76"/>
        <v>0</v>
      </c>
      <c r="J935" s="6">
        <f>IFERROR(VLOOKUP(D935,Event_Master!B:E,4,FALSE),1)</f>
        <v>1</v>
      </c>
      <c r="K935" s="6">
        <f t="shared" si="77"/>
        <v>0</v>
      </c>
      <c r="L935" s="32">
        <f t="shared" si="78"/>
        <v>10</v>
      </c>
    </row>
    <row r="936" spans="1:12">
      <c r="A936" s="33">
        <v>46265</v>
      </c>
      <c r="B936" s="28">
        <v>487107</v>
      </c>
      <c r="C936" s="28" t="s">
        <v>155</v>
      </c>
      <c r="D936" s="6" t="s">
        <v>234</v>
      </c>
      <c r="E936" s="6" t="s">
        <v>231</v>
      </c>
      <c r="F936" s="6" t="s">
        <v>231</v>
      </c>
      <c r="G936" s="6"/>
      <c r="H936" s="32">
        <v>10</v>
      </c>
      <c r="I936" s="6">
        <f t="shared" si="76"/>
        <v>0</v>
      </c>
      <c r="J936" s="6">
        <f>IFERROR(VLOOKUP(D936,Event_Master!B:E,4,FALSE),1)</f>
        <v>1</v>
      </c>
      <c r="K936" s="6">
        <f t="shared" si="77"/>
        <v>0</v>
      </c>
      <c r="L936" s="32">
        <f t="shared" si="78"/>
        <v>10</v>
      </c>
    </row>
    <row r="937" spans="1:12">
      <c r="A937" s="33">
        <v>46265</v>
      </c>
      <c r="B937" s="28">
        <v>452799</v>
      </c>
      <c r="C937" s="28" t="s">
        <v>171</v>
      </c>
      <c r="D937" s="6" t="s">
        <v>234</v>
      </c>
      <c r="E937" s="6" t="s">
        <v>231</v>
      </c>
      <c r="F937" s="6" t="s">
        <v>231</v>
      </c>
      <c r="G937" s="6"/>
      <c r="H937" s="32">
        <v>10</v>
      </c>
      <c r="I937" s="6">
        <f t="shared" si="76"/>
        <v>0</v>
      </c>
      <c r="J937" s="6">
        <f>IFERROR(VLOOKUP(D937,Event_Master!B:E,4,FALSE),1)</f>
        <v>1</v>
      </c>
      <c r="K937" s="6">
        <f t="shared" si="77"/>
        <v>0</v>
      </c>
      <c r="L937" s="32">
        <f t="shared" si="78"/>
        <v>10</v>
      </c>
    </row>
    <row r="938" spans="1:12">
      <c r="A938" s="33">
        <v>46265</v>
      </c>
      <c r="B938" s="28">
        <v>416087</v>
      </c>
      <c r="C938" s="28" t="s">
        <v>184</v>
      </c>
      <c r="D938" s="6" t="s">
        <v>234</v>
      </c>
      <c r="E938" s="6" t="s">
        <v>231</v>
      </c>
      <c r="F938" s="6" t="s">
        <v>231</v>
      </c>
      <c r="G938" s="6"/>
      <c r="H938" s="32">
        <v>10</v>
      </c>
      <c r="I938" s="6">
        <f t="shared" si="76"/>
        <v>0</v>
      </c>
      <c r="J938" s="6">
        <f>IFERROR(VLOOKUP(D938,Event_Master!B:E,4,FALSE),1)</f>
        <v>1</v>
      </c>
      <c r="K938" s="6">
        <f t="shared" si="77"/>
        <v>0</v>
      </c>
      <c r="L938" s="32">
        <f t="shared" si="78"/>
        <v>10</v>
      </c>
    </row>
    <row r="939" spans="1:12">
      <c r="A939" s="33">
        <v>46265</v>
      </c>
      <c r="B939" s="28">
        <v>460692</v>
      </c>
      <c r="C939" s="28" t="s">
        <v>173</v>
      </c>
      <c r="D939" s="6" t="s">
        <v>234</v>
      </c>
      <c r="E939" s="6" t="s">
        <v>231</v>
      </c>
      <c r="F939" s="6" t="s">
        <v>231</v>
      </c>
      <c r="G939" s="6"/>
      <c r="H939" s="32">
        <v>10</v>
      </c>
      <c r="I939" s="6">
        <f t="shared" si="76"/>
        <v>0</v>
      </c>
      <c r="J939" s="6">
        <f>IFERROR(VLOOKUP(D939,Event_Master!B:E,4,FALSE),1)</f>
        <v>1</v>
      </c>
      <c r="K939" s="6">
        <f t="shared" si="77"/>
        <v>0</v>
      </c>
      <c r="L939" s="32">
        <f t="shared" si="78"/>
        <v>10</v>
      </c>
    </row>
    <row r="940" spans="1:12">
      <c r="A940" s="33">
        <v>46265</v>
      </c>
      <c r="B940" s="28">
        <v>468224</v>
      </c>
      <c r="C940" s="29" t="s">
        <v>104</v>
      </c>
      <c r="D940" s="6" t="s">
        <v>234</v>
      </c>
      <c r="E940" s="6" t="s">
        <v>231</v>
      </c>
      <c r="F940" s="6" t="s">
        <v>231</v>
      </c>
      <c r="G940" s="6"/>
      <c r="H940" s="32">
        <v>10</v>
      </c>
      <c r="I940" s="6">
        <f t="shared" si="76"/>
        <v>0</v>
      </c>
      <c r="J940" s="6">
        <f>IFERROR(VLOOKUP(D940,Event_Master!B:E,4,FALSE),1)</f>
        <v>1</v>
      </c>
      <c r="K940" s="6">
        <f t="shared" si="77"/>
        <v>0</v>
      </c>
      <c r="L940" s="32">
        <f t="shared" si="78"/>
        <v>10</v>
      </c>
    </row>
    <row r="941" spans="1:12">
      <c r="A941" s="33">
        <v>46265</v>
      </c>
      <c r="B941" s="6">
        <v>716610</v>
      </c>
      <c r="C941" s="28" t="s">
        <v>175</v>
      </c>
      <c r="D941" s="6" t="s">
        <v>234</v>
      </c>
      <c r="E941" s="6" t="s">
        <v>231</v>
      </c>
      <c r="F941" s="6" t="s">
        <v>231</v>
      </c>
      <c r="G941" s="6"/>
      <c r="H941" s="32">
        <v>10</v>
      </c>
      <c r="I941" s="6">
        <f t="shared" si="76"/>
        <v>0</v>
      </c>
      <c r="J941" s="6">
        <f>IFERROR(VLOOKUP(D941,Event_Master!B:E,4,FALSE),1)</f>
        <v>1</v>
      </c>
      <c r="K941" s="6">
        <f t="shared" si="77"/>
        <v>0</v>
      </c>
      <c r="L941" s="32">
        <f t="shared" si="78"/>
        <v>10</v>
      </c>
    </row>
    <row r="942" spans="1:12">
      <c r="A942" s="33">
        <v>46265</v>
      </c>
      <c r="B942" s="28">
        <v>722751</v>
      </c>
      <c r="C942" s="29" t="s">
        <v>46</v>
      </c>
      <c r="D942" s="6" t="s">
        <v>234</v>
      </c>
      <c r="E942" s="6" t="s">
        <v>231</v>
      </c>
      <c r="F942" s="6" t="s">
        <v>231</v>
      </c>
      <c r="G942" s="6"/>
      <c r="H942" s="32">
        <v>10</v>
      </c>
      <c r="I942" s="6">
        <f t="shared" si="76"/>
        <v>0</v>
      </c>
      <c r="J942" s="6">
        <f>IFERROR(VLOOKUP(D942,Event_Master!B:E,4,FALSE),1)</f>
        <v>1</v>
      </c>
      <c r="K942" s="6">
        <f t="shared" si="77"/>
        <v>0</v>
      </c>
      <c r="L942" s="32">
        <f t="shared" si="78"/>
        <v>10</v>
      </c>
    </row>
    <row r="943" spans="1:12">
      <c r="A943" s="33">
        <v>46265</v>
      </c>
      <c r="B943" s="28">
        <v>435877</v>
      </c>
      <c r="C943" s="28" t="s">
        <v>66</v>
      </c>
      <c r="D943" s="6" t="s">
        <v>234</v>
      </c>
      <c r="E943" s="6" t="s">
        <v>231</v>
      </c>
      <c r="F943" s="6" t="s">
        <v>231</v>
      </c>
      <c r="G943" s="6"/>
      <c r="H943" s="32">
        <v>10</v>
      </c>
      <c r="I943" s="6">
        <f t="shared" si="76"/>
        <v>0</v>
      </c>
      <c r="J943" s="6">
        <f>IFERROR(VLOOKUP(D943,Event_Master!B:E,4,FALSE),1)</f>
        <v>1</v>
      </c>
      <c r="K943" s="6">
        <f t="shared" si="77"/>
        <v>0</v>
      </c>
      <c r="L943" s="32">
        <f t="shared" si="78"/>
        <v>10</v>
      </c>
    </row>
    <row r="944" spans="1:12">
      <c r="A944" s="33">
        <v>46265</v>
      </c>
      <c r="B944" s="28">
        <v>438864</v>
      </c>
      <c r="C944" s="28" t="s">
        <v>31</v>
      </c>
      <c r="D944" s="6" t="s">
        <v>234</v>
      </c>
      <c r="E944" s="6" t="s">
        <v>231</v>
      </c>
      <c r="F944" s="6" t="s">
        <v>231</v>
      </c>
      <c r="G944" s="6"/>
      <c r="H944" s="32">
        <v>10</v>
      </c>
      <c r="I944" s="6">
        <f t="shared" si="76"/>
        <v>0</v>
      </c>
      <c r="J944" s="6">
        <f>IFERROR(VLOOKUP(D944,Event_Master!B:E,4,FALSE),1)</f>
        <v>1</v>
      </c>
      <c r="K944" s="6">
        <f t="shared" si="77"/>
        <v>0</v>
      </c>
      <c r="L944" s="32">
        <f t="shared" si="78"/>
        <v>10</v>
      </c>
    </row>
    <row r="945" spans="1:12">
      <c r="A945" s="33">
        <v>46265</v>
      </c>
      <c r="B945" s="28">
        <v>472322</v>
      </c>
      <c r="C945" s="28" t="s">
        <v>72</v>
      </c>
      <c r="D945" s="6" t="s">
        <v>234</v>
      </c>
      <c r="E945" s="6" t="s">
        <v>231</v>
      </c>
      <c r="F945" s="6" t="s">
        <v>231</v>
      </c>
      <c r="G945" s="6"/>
      <c r="H945" s="32">
        <v>10</v>
      </c>
      <c r="I945" s="6">
        <f t="shared" si="76"/>
        <v>0</v>
      </c>
      <c r="J945" s="6">
        <f>IFERROR(VLOOKUP(D945,Event_Master!B:E,4,FALSE),1)</f>
        <v>1</v>
      </c>
      <c r="K945" s="6">
        <f t="shared" si="77"/>
        <v>0</v>
      </c>
      <c r="L945" s="32">
        <f t="shared" si="78"/>
        <v>10</v>
      </c>
    </row>
    <row r="946" spans="1:12">
      <c r="A946" s="33">
        <v>46265</v>
      </c>
      <c r="B946" s="28">
        <v>438679</v>
      </c>
      <c r="C946" s="28" t="s">
        <v>146</v>
      </c>
      <c r="D946" s="6" t="s">
        <v>234</v>
      </c>
      <c r="E946" s="6" t="s">
        <v>231</v>
      </c>
      <c r="F946" s="6" t="s">
        <v>231</v>
      </c>
      <c r="G946" s="6"/>
      <c r="H946" s="32">
        <v>10</v>
      </c>
      <c r="I946" s="6">
        <f t="shared" si="76"/>
        <v>0</v>
      </c>
      <c r="J946" s="6">
        <f>IFERROR(VLOOKUP(D946,Event_Master!B:E,4,FALSE),1)</f>
        <v>1</v>
      </c>
      <c r="K946" s="6">
        <f t="shared" si="77"/>
        <v>0</v>
      </c>
      <c r="L946" s="32">
        <f t="shared" si="78"/>
        <v>10</v>
      </c>
    </row>
    <row r="947" spans="1:12">
      <c r="A947" s="33">
        <v>46265</v>
      </c>
      <c r="B947" s="28">
        <v>721765</v>
      </c>
      <c r="C947" s="28" t="s">
        <v>42</v>
      </c>
      <c r="D947" s="6" t="s">
        <v>234</v>
      </c>
      <c r="E947" s="6" t="s">
        <v>231</v>
      </c>
      <c r="F947" s="6" t="s">
        <v>231</v>
      </c>
      <c r="G947" s="6"/>
      <c r="H947" s="32">
        <v>10</v>
      </c>
      <c r="I947" s="6">
        <f t="shared" si="76"/>
        <v>0</v>
      </c>
      <c r="J947" s="6">
        <f>IFERROR(VLOOKUP(D947,Event_Master!B:E,4,FALSE),1)</f>
        <v>1</v>
      </c>
      <c r="K947" s="6">
        <f t="shared" si="77"/>
        <v>0</v>
      </c>
      <c r="L947" s="32">
        <f t="shared" si="78"/>
        <v>10</v>
      </c>
    </row>
    <row r="948" spans="1:12">
      <c r="A948" s="33">
        <v>46265</v>
      </c>
      <c r="B948" s="28">
        <v>706306</v>
      </c>
      <c r="C948" s="28" t="s">
        <v>180</v>
      </c>
      <c r="D948" s="6" t="s">
        <v>234</v>
      </c>
      <c r="E948" s="6" t="s">
        <v>231</v>
      </c>
      <c r="F948" s="6" t="s">
        <v>231</v>
      </c>
      <c r="G948" s="6"/>
      <c r="H948" s="32">
        <v>10</v>
      </c>
      <c r="I948" s="6">
        <f t="shared" si="76"/>
        <v>0</v>
      </c>
      <c r="J948" s="6">
        <f>IFERROR(VLOOKUP(D948,Event_Master!B:E,4,FALSE),1)</f>
        <v>1</v>
      </c>
      <c r="K948" s="6">
        <f t="shared" si="77"/>
        <v>0</v>
      </c>
      <c r="L948" s="32">
        <f t="shared" si="78"/>
        <v>10</v>
      </c>
    </row>
    <row r="949" spans="1:12">
      <c r="A949" s="33">
        <v>46265</v>
      </c>
      <c r="B949" s="6">
        <v>426232</v>
      </c>
      <c r="C949" s="28" t="s">
        <v>118</v>
      </c>
      <c r="D949" s="6" t="s">
        <v>234</v>
      </c>
      <c r="E949" s="6" t="s">
        <v>231</v>
      </c>
      <c r="F949" s="6" t="s">
        <v>231</v>
      </c>
      <c r="G949" s="6"/>
      <c r="H949" s="32">
        <v>10</v>
      </c>
      <c r="I949" s="6">
        <f t="shared" si="76"/>
        <v>0</v>
      </c>
      <c r="J949" s="6">
        <f>IFERROR(VLOOKUP(D949,Event_Master!B:E,4,FALSE),1)</f>
        <v>1</v>
      </c>
      <c r="K949" s="6">
        <f t="shared" si="77"/>
        <v>0</v>
      </c>
      <c r="L949" s="32">
        <f t="shared" si="78"/>
        <v>10</v>
      </c>
    </row>
    <row r="950" spans="1:12">
      <c r="A950" s="33">
        <v>46265</v>
      </c>
      <c r="B950" s="28">
        <v>727595</v>
      </c>
      <c r="C950" s="28" t="s">
        <v>186</v>
      </c>
      <c r="D950" s="6" t="s">
        <v>234</v>
      </c>
      <c r="E950" s="6" t="s">
        <v>231</v>
      </c>
      <c r="F950" s="6" t="s">
        <v>231</v>
      </c>
      <c r="G950" s="6"/>
      <c r="H950" s="32">
        <v>10</v>
      </c>
      <c r="I950" s="6">
        <f t="shared" si="76"/>
        <v>0</v>
      </c>
      <c r="J950" s="6">
        <f>IFERROR(VLOOKUP(D950,Event_Master!B:E,4,FALSE),1)</f>
        <v>1</v>
      </c>
      <c r="K950" s="6">
        <f t="shared" si="77"/>
        <v>0</v>
      </c>
      <c r="L950" s="32">
        <f t="shared" si="78"/>
        <v>10</v>
      </c>
    </row>
  </sheetData>
  <autoFilter ref="A1:L918" xr:uid="{00000000-0001-0000-0300-000000000000}"/>
  <phoneticPr fontId="9" type="noConversion"/>
  <conditionalFormatting sqref="B793">
    <cfRule type="duplicateValues" dxfId="19" priority="18"/>
  </conditionalFormatting>
  <conditionalFormatting sqref="B793">
    <cfRule type="duplicateValues" dxfId="18" priority="17"/>
  </conditionalFormatting>
  <conditionalFormatting sqref="B801">
    <cfRule type="duplicateValues" dxfId="17" priority="16"/>
  </conditionalFormatting>
  <conditionalFormatting sqref="B801">
    <cfRule type="duplicateValues" dxfId="16" priority="15"/>
  </conditionalFormatting>
  <conditionalFormatting sqref="B809">
    <cfRule type="duplicateValues" dxfId="15" priority="14"/>
  </conditionalFormatting>
  <conditionalFormatting sqref="B809">
    <cfRule type="duplicateValues" dxfId="14" priority="13"/>
  </conditionalFormatting>
  <conditionalFormatting sqref="B821">
    <cfRule type="duplicateValues" dxfId="13" priority="12"/>
  </conditionalFormatting>
  <conditionalFormatting sqref="B821">
    <cfRule type="duplicateValues" dxfId="12" priority="11"/>
  </conditionalFormatting>
  <conditionalFormatting sqref="B834">
    <cfRule type="duplicateValues" dxfId="11" priority="10"/>
  </conditionalFormatting>
  <conditionalFormatting sqref="B834">
    <cfRule type="duplicateValues" dxfId="10" priority="9"/>
  </conditionalFormatting>
  <conditionalFormatting sqref="B855">
    <cfRule type="duplicateValues" dxfId="9" priority="8"/>
  </conditionalFormatting>
  <conditionalFormatting sqref="B855">
    <cfRule type="duplicateValues" dxfId="8" priority="7"/>
  </conditionalFormatting>
  <conditionalFormatting sqref="B890">
    <cfRule type="duplicateValues" dxfId="7" priority="6"/>
  </conditionalFormatting>
  <conditionalFormatting sqref="B890">
    <cfRule type="duplicateValues" dxfId="6" priority="5"/>
  </conditionalFormatting>
  <conditionalFormatting sqref="B892">
    <cfRule type="duplicateValues" dxfId="5" priority="4"/>
  </conditionalFormatting>
  <conditionalFormatting sqref="B892">
    <cfRule type="duplicateValues" dxfId="4" priority="3"/>
  </conditionalFormatting>
  <conditionalFormatting sqref="B919:B950">
    <cfRule type="duplicateValues" dxfId="3" priority="2"/>
  </conditionalFormatting>
  <conditionalFormatting sqref="B919:B950">
    <cfRule type="duplicateValues" dxfId="2" priority="1"/>
  </conditionalFormatting>
  <pageMargins left="0.75" right="0.75" top="1" bottom="1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300-000000000000}">
          <x14:formula1>
            <xm:f>Event_Master!$B$2:$B$20</xm:f>
          </x14:formula1>
          <xm:sqref>D350:D462 D2:D239</xm:sqref>
        </x14:dataValidation>
        <x14:dataValidation type="list" allowBlank="1" showInputMessage="1" showErrorMessage="1" xr:uid="{00000000-0002-0000-0300-000001000000}">
          <x14:formula1>
            <xm:f>Score_Table!$B$4:$B$8</xm:f>
          </x14:formula1>
          <xm:sqref>G2:G259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6D880-66D6-45E5-94D7-BC9CBD308DDF}">
  <dimension ref="H1:J170"/>
  <sheetViews>
    <sheetView topLeftCell="A159" workbookViewId="0">
      <selection activeCell="J168" sqref="J168:J169"/>
    </sheetView>
  </sheetViews>
  <sheetFormatPr defaultRowHeight="15"/>
  <cols>
    <col min="8" max="8" width="26" bestFit="1" customWidth="1"/>
  </cols>
  <sheetData>
    <row r="1" spans="8:10">
      <c r="H1" s="30" t="s">
        <v>382</v>
      </c>
      <c r="I1" s="30" t="s">
        <v>383</v>
      </c>
      <c r="J1" s="30"/>
    </row>
    <row r="2" spans="8:10">
      <c r="H2" s="30" t="s">
        <v>342</v>
      </c>
      <c r="I2" s="30">
        <v>212277</v>
      </c>
      <c r="J2" s="30">
        <v>21.227699999999999</v>
      </c>
    </row>
    <row r="3" spans="8:10">
      <c r="H3" s="30" t="s">
        <v>4</v>
      </c>
      <c r="I3" s="30">
        <v>145900</v>
      </c>
      <c r="J3" s="30">
        <v>14.59</v>
      </c>
    </row>
    <row r="4" spans="8:10">
      <c r="H4" s="30" t="s">
        <v>384</v>
      </c>
      <c r="I4" s="30">
        <v>0</v>
      </c>
      <c r="J4" s="30">
        <v>0</v>
      </c>
    </row>
    <row r="5" spans="8:10">
      <c r="H5" s="30" t="s">
        <v>361</v>
      </c>
      <c r="I5" s="30">
        <v>67425</v>
      </c>
      <c r="J5" s="30">
        <v>6.7424999999999997</v>
      </c>
    </row>
    <row r="6" spans="8:10">
      <c r="H6" s="30" t="s">
        <v>388</v>
      </c>
      <c r="I6" s="30">
        <v>0</v>
      </c>
      <c r="J6" s="30">
        <v>0</v>
      </c>
    </row>
    <row r="7" spans="8:10">
      <c r="H7" s="30" t="s">
        <v>388</v>
      </c>
      <c r="I7" s="30">
        <v>0</v>
      </c>
      <c r="J7" s="30">
        <v>0</v>
      </c>
    </row>
    <row r="8" spans="8:10">
      <c r="H8" s="30" t="s">
        <v>7</v>
      </c>
      <c r="I8" s="30">
        <v>161479</v>
      </c>
      <c r="J8" s="30">
        <v>16.1479</v>
      </c>
    </row>
    <row r="9" spans="8:10">
      <c r="H9" s="30" t="s">
        <v>404</v>
      </c>
      <c r="I9" s="30">
        <v>0</v>
      </c>
      <c r="J9" s="30">
        <v>0</v>
      </c>
    </row>
    <row r="10" spans="8:10">
      <c r="H10" s="30" t="s">
        <v>259</v>
      </c>
      <c r="I10" s="30">
        <v>357852</v>
      </c>
      <c r="J10" s="30">
        <v>35.785200000000003</v>
      </c>
    </row>
    <row r="11" spans="8:10">
      <c r="H11" s="30" t="s">
        <v>309</v>
      </c>
      <c r="I11" s="30">
        <v>340938</v>
      </c>
      <c r="J11" s="30">
        <v>34.093800000000002</v>
      </c>
    </row>
    <row r="12" spans="8:10">
      <c r="H12" s="30" t="s">
        <v>152</v>
      </c>
      <c r="I12" s="30">
        <v>385956</v>
      </c>
      <c r="J12" s="30">
        <v>38.595599999999997</v>
      </c>
    </row>
    <row r="13" spans="8:10">
      <c r="H13" s="30" t="s">
        <v>153</v>
      </c>
      <c r="I13" s="30">
        <v>255734</v>
      </c>
      <c r="J13" s="30">
        <v>25.573399999999999</v>
      </c>
    </row>
    <row r="14" spans="8:10">
      <c r="H14" s="30" t="s">
        <v>85</v>
      </c>
      <c r="I14" s="30">
        <v>167286</v>
      </c>
      <c r="J14" s="30">
        <v>16.7286</v>
      </c>
    </row>
    <row r="15" spans="8:10">
      <c r="H15" s="30" t="s">
        <v>326</v>
      </c>
      <c r="I15" s="30">
        <v>263864</v>
      </c>
      <c r="J15" s="30">
        <v>26.386399999999998</v>
      </c>
    </row>
    <row r="16" spans="8:10">
      <c r="H16" s="30" t="s">
        <v>122</v>
      </c>
      <c r="I16" s="30">
        <v>129942</v>
      </c>
      <c r="J16" s="30">
        <v>12.994199999999999</v>
      </c>
    </row>
    <row r="17" spans="8:10">
      <c r="H17" s="30" t="s">
        <v>122</v>
      </c>
      <c r="I17" s="30">
        <v>0</v>
      </c>
      <c r="J17" s="30">
        <v>0</v>
      </c>
    </row>
    <row r="18" spans="8:10">
      <c r="H18" s="30" t="s">
        <v>123</v>
      </c>
      <c r="I18" s="30">
        <v>0</v>
      </c>
      <c r="J18" s="30">
        <v>0</v>
      </c>
    </row>
    <row r="19" spans="8:10">
      <c r="H19" s="30" t="s">
        <v>87</v>
      </c>
      <c r="I19" s="30">
        <v>227725</v>
      </c>
      <c r="J19" s="30">
        <v>22.772500000000001</v>
      </c>
    </row>
    <row r="20" spans="8:10">
      <c r="H20" s="30" t="s">
        <v>9</v>
      </c>
      <c r="I20" s="30">
        <v>287520</v>
      </c>
      <c r="J20" s="30">
        <v>28.751999999999999</v>
      </c>
    </row>
    <row r="21" spans="8:10">
      <c r="H21" s="30" t="s">
        <v>124</v>
      </c>
      <c r="I21" s="30">
        <v>8832</v>
      </c>
      <c r="J21" s="30">
        <v>0.88319999999999999</v>
      </c>
    </row>
    <row r="22" spans="8:10">
      <c r="H22" s="30" t="s">
        <v>89</v>
      </c>
      <c r="I22" s="30">
        <v>302139</v>
      </c>
      <c r="J22" s="30">
        <v>30.213899999999999</v>
      </c>
    </row>
    <row r="23" spans="8:10">
      <c r="H23" s="30" t="s">
        <v>330</v>
      </c>
      <c r="I23" s="30">
        <v>254683</v>
      </c>
      <c r="J23" s="30">
        <v>25.468299999999999</v>
      </c>
    </row>
    <row r="24" spans="8:10">
      <c r="H24" s="30" t="s">
        <v>164</v>
      </c>
      <c r="I24" s="30">
        <v>125415</v>
      </c>
      <c r="J24" s="30">
        <v>12.541499999999999</v>
      </c>
    </row>
    <row r="25" spans="8:10">
      <c r="H25" s="30" t="s">
        <v>125</v>
      </c>
      <c r="I25" s="30">
        <v>0</v>
      </c>
      <c r="J25" s="30">
        <v>0</v>
      </c>
    </row>
    <row r="26" spans="8:10">
      <c r="H26" s="30" t="s">
        <v>394</v>
      </c>
      <c r="I26" s="30">
        <v>0</v>
      </c>
      <c r="J26" s="30">
        <v>0</v>
      </c>
    </row>
    <row r="27" spans="8:10">
      <c r="H27" s="30" t="s">
        <v>331</v>
      </c>
      <c r="I27" s="30">
        <v>253379</v>
      </c>
      <c r="J27" s="30">
        <v>25.337900000000001</v>
      </c>
    </row>
    <row r="28" spans="8:10">
      <c r="H28" s="30" t="s">
        <v>126</v>
      </c>
      <c r="I28" s="30">
        <v>326078</v>
      </c>
      <c r="J28" s="30">
        <v>32.607799999999997</v>
      </c>
    </row>
    <row r="29" spans="8:10">
      <c r="H29" s="30" t="s">
        <v>241</v>
      </c>
      <c r="I29" s="30">
        <v>300362</v>
      </c>
      <c r="J29" s="30">
        <v>30.036200000000001</v>
      </c>
    </row>
    <row r="30" spans="8:10">
      <c r="H30" s="30" t="s">
        <v>54</v>
      </c>
      <c r="I30" s="30">
        <v>634303</v>
      </c>
      <c r="J30" s="30">
        <v>63.430300000000003</v>
      </c>
    </row>
    <row r="31" spans="8:10">
      <c r="H31" s="30" t="s">
        <v>14</v>
      </c>
      <c r="I31" s="30">
        <v>149258</v>
      </c>
      <c r="J31" s="30">
        <v>14.925800000000001</v>
      </c>
    </row>
    <row r="32" spans="8:10">
      <c r="H32" s="30" t="s">
        <v>278</v>
      </c>
      <c r="I32" s="30">
        <v>0</v>
      </c>
      <c r="J32" s="30">
        <v>0</v>
      </c>
    </row>
    <row r="33" spans="8:10">
      <c r="H33" s="30" t="s">
        <v>343</v>
      </c>
      <c r="I33" s="30">
        <v>212094</v>
      </c>
      <c r="J33" s="30">
        <v>21.209399999999999</v>
      </c>
    </row>
    <row r="34" spans="8:10">
      <c r="H34" s="30" t="s">
        <v>317</v>
      </c>
      <c r="I34" s="30">
        <v>291666</v>
      </c>
      <c r="J34" s="30">
        <v>29.166599999999999</v>
      </c>
    </row>
    <row r="35" spans="8:10">
      <c r="H35" s="30" t="s">
        <v>165</v>
      </c>
      <c r="I35" s="30">
        <v>276643</v>
      </c>
      <c r="J35" s="30">
        <v>27.664300000000001</v>
      </c>
    </row>
    <row r="36" spans="8:10">
      <c r="H36" s="30" t="s">
        <v>340</v>
      </c>
      <c r="I36" s="30">
        <v>224507</v>
      </c>
      <c r="J36" s="30">
        <v>22.450700000000001</v>
      </c>
    </row>
    <row r="37" spans="8:10">
      <c r="H37" s="30" t="s">
        <v>327</v>
      </c>
      <c r="I37" s="30">
        <v>263595</v>
      </c>
      <c r="J37" s="30">
        <v>26.359500000000001</v>
      </c>
    </row>
    <row r="38" spans="8:10">
      <c r="H38" s="30" t="s">
        <v>166</v>
      </c>
      <c r="I38" s="30">
        <v>57313</v>
      </c>
      <c r="J38" s="30">
        <v>5.7313000000000001</v>
      </c>
    </row>
    <row r="39" spans="8:10">
      <c r="H39" s="30" t="s">
        <v>81</v>
      </c>
      <c r="I39" s="30">
        <v>254746</v>
      </c>
      <c r="J39" s="30">
        <v>25.474599999999999</v>
      </c>
    </row>
    <row r="40" spans="8:10">
      <c r="H40" s="30" t="s">
        <v>167</v>
      </c>
      <c r="I40" s="30">
        <v>223474</v>
      </c>
      <c r="J40" s="30">
        <v>22.3474</v>
      </c>
    </row>
    <row r="41" spans="8:10">
      <c r="H41" s="30" t="s">
        <v>91</v>
      </c>
      <c r="I41" s="30">
        <v>260006</v>
      </c>
      <c r="J41" s="30">
        <v>26.000599999999999</v>
      </c>
    </row>
    <row r="42" spans="8:10">
      <c r="H42" s="30" t="s">
        <v>350</v>
      </c>
      <c r="I42" s="30">
        <v>164066</v>
      </c>
      <c r="J42" s="30">
        <v>16.406600000000001</v>
      </c>
    </row>
    <row r="43" spans="8:10">
      <c r="H43" s="30" t="s">
        <v>390</v>
      </c>
      <c r="I43" s="30">
        <v>0</v>
      </c>
      <c r="J43" s="30">
        <v>0</v>
      </c>
    </row>
    <row r="44" spans="8:10">
      <c r="H44" s="30" t="s">
        <v>238</v>
      </c>
      <c r="I44" s="30">
        <v>0</v>
      </c>
      <c r="J44" s="30">
        <v>0</v>
      </c>
    </row>
    <row r="45" spans="8:10">
      <c r="H45" s="30" t="s">
        <v>131</v>
      </c>
      <c r="I45" s="30">
        <v>285257</v>
      </c>
      <c r="J45" s="30">
        <v>28.525700000000001</v>
      </c>
    </row>
    <row r="46" spans="8:10">
      <c r="H46" s="30" t="s">
        <v>397</v>
      </c>
      <c r="I46" s="30">
        <v>0</v>
      </c>
      <c r="J46" s="30">
        <v>0</v>
      </c>
    </row>
    <row r="47" spans="8:10">
      <c r="H47" s="30" t="s">
        <v>18</v>
      </c>
      <c r="I47" s="30">
        <v>0</v>
      </c>
      <c r="J47" s="30">
        <v>0</v>
      </c>
    </row>
    <row r="48" spans="8:10">
      <c r="H48" s="30" t="s">
        <v>92</v>
      </c>
      <c r="I48" s="30">
        <v>196761</v>
      </c>
      <c r="J48" s="30">
        <v>19.676100000000002</v>
      </c>
    </row>
    <row r="49" spans="8:10">
      <c r="H49" s="30" t="s">
        <v>306</v>
      </c>
      <c r="I49" s="30">
        <v>372771</v>
      </c>
      <c r="J49" s="30">
        <v>37.277099999999997</v>
      </c>
    </row>
    <row r="50" spans="8:10">
      <c r="H50" s="30" t="s">
        <v>19</v>
      </c>
      <c r="I50" s="30">
        <v>250999</v>
      </c>
      <c r="J50" s="30">
        <v>25.099900000000002</v>
      </c>
    </row>
    <row r="51" spans="8:10">
      <c r="H51" s="30" t="s">
        <v>93</v>
      </c>
      <c r="I51" s="30">
        <v>325399</v>
      </c>
      <c r="J51" s="30">
        <v>32.539900000000003</v>
      </c>
    </row>
    <row r="52" spans="8:10">
      <c r="H52" s="30" t="s">
        <v>362</v>
      </c>
      <c r="I52" s="30">
        <v>48011</v>
      </c>
      <c r="J52" s="30">
        <v>4.8010999999999999</v>
      </c>
    </row>
    <row r="53" spans="8:10">
      <c r="H53" s="30" t="s">
        <v>316</v>
      </c>
      <c r="I53" s="30">
        <v>305461</v>
      </c>
      <c r="J53" s="30">
        <v>30.546099999999999</v>
      </c>
    </row>
    <row r="54" spans="8:10">
      <c r="H54" s="30" t="s">
        <v>21</v>
      </c>
      <c r="I54" s="30">
        <v>231653</v>
      </c>
      <c r="J54" s="30">
        <v>23.165299999999998</v>
      </c>
    </row>
    <row r="55" spans="8:10">
      <c r="H55" s="30" t="s">
        <v>59</v>
      </c>
      <c r="I55" s="30">
        <v>286847</v>
      </c>
      <c r="J55" s="30">
        <v>28.684699999999999</v>
      </c>
    </row>
    <row r="56" spans="8:10">
      <c r="H56" s="30" t="s">
        <v>95</v>
      </c>
      <c r="I56" s="30">
        <v>714999</v>
      </c>
      <c r="J56" s="30">
        <v>71.499899999999997</v>
      </c>
    </row>
    <row r="57" spans="8:10">
      <c r="H57" s="30" t="s">
        <v>305</v>
      </c>
      <c r="I57" s="30">
        <v>386016</v>
      </c>
      <c r="J57" s="30">
        <v>38.601599999999998</v>
      </c>
    </row>
    <row r="58" spans="8:10">
      <c r="H58" s="30" t="s">
        <v>396</v>
      </c>
      <c r="I58" s="30">
        <v>0</v>
      </c>
      <c r="J58" s="30">
        <v>0</v>
      </c>
    </row>
    <row r="59" spans="8:10">
      <c r="H59" s="30" t="s">
        <v>338</v>
      </c>
      <c r="I59" s="30">
        <v>232977</v>
      </c>
      <c r="J59" s="30">
        <v>23.297699999999999</v>
      </c>
    </row>
    <row r="60" spans="8:10">
      <c r="H60" s="30" t="s">
        <v>300</v>
      </c>
      <c r="I60" s="30">
        <v>507976</v>
      </c>
      <c r="J60" s="30">
        <v>50.797600000000003</v>
      </c>
    </row>
    <row r="61" spans="8:10">
      <c r="H61" s="30" t="s">
        <v>329</v>
      </c>
      <c r="I61" s="30">
        <v>259184</v>
      </c>
      <c r="J61" s="30">
        <v>25.918399999999998</v>
      </c>
    </row>
    <row r="62" spans="8:10">
      <c r="H62" s="30" t="s">
        <v>158</v>
      </c>
      <c r="I62" s="30">
        <v>199375</v>
      </c>
      <c r="J62" s="30">
        <v>19.9375</v>
      </c>
    </row>
    <row r="63" spans="8:10">
      <c r="H63" s="30" t="s">
        <v>304</v>
      </c>
      <c r="I63" s="30">
        <v>388651</v>
      </c>
      <c r="J63" s="30">
        <v>38.865099999999998</v>
      </c>
    </row>
    <row r="64" spans="8:10">
      <c r="H64" s="30" t="s">
        <v>97</v>
      </c>
      <c r="I64" s="30">
        <v>219213</v>
      </c>
      <c r="J64" s="30">
        <v>21.921299999999999</v>
      </c>
    </row>
    <row r="65" spans="8:10">
      <c r="H65" s="30" t="s">
        <v>98</v>
      </c>
      <c r="I65" s="30">
        <v>295346</v>
      </c>
      <c r="J65" s="30">
        <v>29.534600000000001</v>
      </c>
    </row>
    <row r="66" spans="8:10">
      <c r="H66" s="30" t="s">
        <v>395</v>
      </c>
      <c r="I66" s="30">
        <v>0</v>
      </c>
      <c r="J66" s="30">
        <v>0</v>
      </c>
    </row>
    <row r="67" spans="8:10">
      <c r="H67" s="30" t="s">
        <v>99</v>
      </c>
      <c r="I67" s="30">
        <v>97180</v>
      </c>
      <c r="J67" s="30">
        <v>9.718</v>
      </c>
    </row>
    <row r="68" spans="8:10">
      <c r="H68" s="30" t="s">
        <v>100</v>
      </c>
      <c r="I68" s="30">
        <v>314737</v>
      </c>
      <c r="J68" s="30">
        <v>31.473700000000001</v>
      </c>
    </row>
    <row r="69" spans="8:10">
      <c r="H69" s="30" t="s">
        <v>134</v>
      </c>
      <c r="I69" s="30">
        <v>202376</v>
      </c>
      <c r="J69" s="30">
        <v>20.2376</v>
      </c>
    </row>
    <row r="70" spans="8:10">
      <c r="H70" s="30" t="s">
        <v>345</v>
      </c>
      <c r="I70" s="30">
        <v>202317</v>
      </c>
      <c r="J70" s="30">
        <v>20.2317</v>
      </c>
    </row>
    <row r="71" spans="8:10">
      <c r="H71" s="30" t="s">
        <v>328</v>
      </c>
      <c r="I71" s="30">
        <v>260167</v>
      </c>
      <c r="J71" s="30">
        <v>26.0167</v>
      </c>
    </row>
    <row r="72" spans="8:10">
      <c r="H72" s="30" t="s">
        <v>301</v>
      </c>
      <c r="I72" s="30">
        <v>500173</v>
      </c>
      <c r="J72" s="30">
        <v>50.017299999999999</v>
      </c>
    </row>
    <row r="73" spans="8:10">
      <c r="H73" s="30" t="s">
        <v>101</v>
      </c>
      <c r="I73" s="30">
        <v>155565</v>
      </c>
      <c r="J73" s="30">
        <v>15.5565</v>
      </c>
    </row>
    <row r="74" spans="8:10">
      <c r="H74" s="30" t="s">
        <v>311</v>
      </c>
      <c r="I74" s="30">
        <v>336008</v>
      </c>
      <c r="J74" s="30">
        <v>33.6008</v>
      </c>
    </row>
    <row r="75" spans="8:10">
      <c r="H75" s="30" t="s">
        <v>347</v>
      </c>
      <c r="I75" s="30">
        <v>190538</v>
      </c>
      <c r="J75" s="30">
        <v>19.053799999999999</v>
      </c>
    </row>
    <row r="76" spans="8:10">
      <c r="H76" s="30" t="s">
        <v>363</v>
      </c>
      <c r="I76" s="30">
        <v>9355</v>
      </c>
      <c r="J76" s="30">
        <v>0.9355</v>
      </c>
    </row>
    <row r="77" spans="8:10">
      <c r="H77" s="30" t="s">
        <v>346</v>
      </c>
      <c r="I77" s="30">
        <v>197483</v>
      </c>
      <c r="J77" s="30">
        <v>19.7483</v>
      </c>
    </row>
    <row r="78" spans="8:10">
      <c r="H78" s="30" t="s">
        <v>26</v>
      </c>
      <c r="I78" s="30">
        <v>182610</v>
      </c>
      <c r="J78" s="30">
        <v>18.260999999999999</v>
      </c>
    </row>
    <row r="79" spans="8:10">
      <c r="H79" s="30" t="s">
        <v>62</v>
      </c>
      <c r="I79" s="30">
        <v>176346</v>
      </c>
      <c r="J79" s="30">
        <v>17.634599999999999</v>
      </c>
    </row>
    <row r="80" spans="8:10">
      <c r="H80" s="30" t="s">
        <v>325</v>
      </c>
      <c r="I80" s="30">
        <v>268498</v>
      </c>
      <c r="J80" s="30">
        <v>26.849799999999998</v>
      </c>
    </row>
    <row r="81" spans="8:10">
      <c r="H81" s="30" t="s">
        <v>63</v>
      </c>
      <c r="I81" s="30">
        <v>66977</v>
      </c>
      <c r="J81" s="30">
        <v>6.6977000000000002</v>
      </c>
    </row>
    <row r="82" spans="8:10">
      <c r="H82" s="30" t="s">
        <v>137</v>
      </c>
      <c r="I82" s="30">
        <v>226225</v>
      </c>
      <c r="J82" s="30">
        <v>22.622499999999999</v>
      </c>
    </row>
    <row r="83" spans="8:10">
      <c r="H83" s="30" t="s">
        <v>321</v>
      </c>
      <c r="I83" s="30">
        <v>281900</v>
      </c>
      <c r="J83" s="30">
        <v>28.19</v>
      </c>
    </row>
    <row r="84" spans="8:10">
      <c r="H84" s="30" t="s">
        <v>171</v>
      </c>
      <c r="I84" s="30">
        <v>283033</v>
      </c>
      <c r="J84" s="30">
        <v>28.3033</v>
      </c>
    </row>
    <row r="85" spans="8:10">
      <c r="H85" s="30" t="s">
        <v>314</v>
      </c>
      <c r="I85" s="30">
        <v>316310</v>
      </c>
      <c r="J85" s="30">
        <v>31.631</v>
      </c>
    </row>
    <row r="86" spans="8:10">
      <c r="H86" s="30" t="s">
        <v>354</v>
      </c>
      <c r="I86" s="30">
        <v>138472</v>
      </c>
      <c r="J86" s="30">
        <v>13.847200000000001</v>
      </c>
    </row>
    <row r="87" spans="8:10">
      <c r="H87" s="30" t="s">
        <v>336</v>
      </c>
      <c r="I87" s="30">
        <v>233970</v>
      </c>
      <c r="J87" s="30">
        <v>23.396999999999998</v>
      </c>
    </row>
    <row r="88" spans="8:10">
      <c r="H88" s="30" t="s">
        <v>333</v>
      </c>
      <c r="I88" s="30">
        <v>242317</v>
      </c>
      <c r="J88" s="30">
        <v>24.2317</v>
      </c>
    </row>
    <row r="89" spans="8:10">
      <c r="H89" s="30" t="s">
        <v>402</v>
      </c>
      <c r="I89" s="30">
        <v>0</v>
      </c>
      <c r="J89" s="30">
        <v>0</v>
      </c>
    </row>
    <row r="90" spans="8:10">
      <c r="H90" s="30" t="s">
        <v>334</v>
      </c>
      <c r="I90" s="30">
        <v>237804</v>
      </c>
      <c r="J90" s="30">
        <v>23.7804</v>
      </c>
    </row>
    <row r="91" spans="8:10">
      <c r="H91" s="30" t="s">
        <v>360</v>
      </c>
      <c r="I91" s="30">
        <v>83909</v>
      </c>
      <c r="J91" s="30">
        <v>8.3909000000000002</v>
      </c>
    </row>
    <row r="92" spans="8:10">
      <c r="H92" s="30" t="s">
        <v>339</v>
      </c>
      <c r="I92" s="30">
        <v>230791</v>
      </c>
      <c r="J92" s="30">
        <v>23.0791</v>
      </c>
    </row>
    <row r="93" spans="8:10">
      <c r="H93" s="30" t="s">
        <v>64</v>
      </c>
      <c r="I93" s="30">
        <v>46588</v>
      </c>
      <c r="J93" s="30">
        <v>4.6588000000000003</v>
      </c>
    </row>
    <row r="94" spans="8:10">
      <c r="H94" s="30" t="s">
        <v>358</v>
      </c>
      <c r="I94" s="30">
        <v>107828</v>
      </c>
      <c r="J94" s="30">
        <v>10.7828</v>
      </c>
    </row>
    <row r="95" spans="8:10">
      <c r="H95" s="30" t="s">
        <v>310</v>
      </c>
      <c r="I95" s="30">
        <v>340273</v>
      </c>
      <c r="J95" s="30">
        <v>34.027299999999997</v>
      </c>
    </row>
    <row r="96" spans="8:10">
      <c r="H96" s="30" t="s">
        <v>392</v>
      </c>
      <c r="I96" s="30">
        <v>0</v>
      </c>
      <c r="J96" s="30">
        <v>0</v>
      </c>
    </row>
    <row r="97" spans="8:10">
      <c r="H97" s="30" t="s">
        <v>392</v>
      </c>
      <c r="I97" s="30">
        <v>0</v>
      </c>
      <c r="J97" s="30">
        <v>0</v>
      </c>
    </row>
    <row r="98" spans="8:10">
      <c r="H98" s="30" t="s">
        <v>174</v>
      </c>
      <c r="I98" s="30">
        <v>166722</v>
      </c>
      <c r="J98" s="30">
        <v>16.6722</v>
      </c>
    </row>
    <row r="99" spans="8:10">
      <c r="H99" s="30" t="s">
        <v>141</v>
      </c>
      <c r="I99" s="30">
        <v>259526</v>
      </c>
      <c r="J99" s="30">
        <v>25.9526</v>
      </c>
    </row>
    <row r="100" spans="8:10">
      <c r="H100" s="30" t="s">
        <v>237</v>
      </c>
      <c r="I100" s="30">
        <v>306681</v>
      </c>
      <c r="J100" s="30">
        <v>30.668099999999999</v>
      </c>
    </row>
    <row r="101" spans="8:10">
      <c r="H101" s="30" t="s">
        <v>315</v>
      </c>
      <c r="I101" s="30">
        <v>315098</v>
      </c>
      <c r="J101" s="30">
        <v>31.509799999999998</v>
      </c>
    </row>
    <row r="102" spans="8:10">
      <c r="H102" s="30" t="s">
        <v>407</v>
      </c>
      <c r="I102" s="30">
        <v>0</v>
      </c>
      <c r="J102" s="30">
        <v>0</v>
      </c>
    </row>
    <row r="103" spans="8:10">
      <c r="H103" s="30" t="s">
        <v>176</v>
      </c>
      <c r="I103" s="30">
        <v>107031</v>
      </c>
      <c r="J103" s="30">
        <v>10.703099999999999</v>
      </c>
    </row>
    <row r="104" spans="8:10">
      <c r="H104" s="30" t="s">
        <v>391</v>
      </c>
      <c r="I104" s="30">
        <v>0</v>
      </c>
      <c r="J104" s="30">
        <v>0</v>
      </c>
    </row>
    <row r="105" spans="8:10">
      <c r="H105" s="30" t="s">
        <v>359</v>
      </c>
      <c r="I105" s="30">
        <v>90200</v>
      </c>
      <c r="J105" s="30">
        <v>9.02</v>
      </c>
    </row>
    <row r="106" spans="8:10">
      <c r="H106" s="30" t="s">
        <v>352</v>
      </c>
      <c r="I106" s="30">
        <v>147319</v>
      </c>
      <c r="J106" s="30">
        <v>14.7319</v>
      </c>
    </row>
    <row r="107" spans="8:10">
      <c r="H107" s="30" t="s">
        <v>356</v>
      </c>
      <c r="I107" s="30">
        <v>123888</v>
      </c>
      <c r="J107" s="30">
        <v>12.3888</v>
      </c>
    </row>
    <row r="108" spans="8:10">
      <c r="H108" s="30" t="s">
        <v>143</v>
      </c>
      <c r="I108" s="30">
        <v>0</v>
      </c>
      <c r="J108" s="30">
        <v>0</v>
      </c>
    </row>
    <row r="109" spans="8:10">
      <c r="H109" s="30" t="s">
        <v>351</v>
      </c>
      <c r="I109" s="30">
        <v>148667</v>
      </c>
      <c r="J109" s="30">
        <v>14.8667</v>
      </c>
    </row>
    <row r="110" spans="8:10">
      <c r="H110" s="30" t="s">
        <v>401</v>
      </c>
      <c r="I110" s="30">
        <v>0</v>
      </c>
      <c r="J110" s="30">
        <v>0</v>
      </c>
    </row>
    <row r="111" spans="8:10">
      <c r="H111" s="30" t="s">
        <v>178</v>
      </c>
      <c r="I111" s="30">
        <v>255805</v>
      </c>
      <c r="J111" s="30">
        <v>25.580500000000001</v>
      </c>
    </row>
    <row r="112" spans="8:10">
      <c r="H112" s="30" t="s">
        <v>47</v>
      </c>
      <c r="I112" s="30">
        <v>223534</v>
      </c>
      <c r="J112" s="30">
        <v>22.353400000000001</v>
      </c>
    </row>
    <row r="113" spans="8:10">
      <c r="H113" s="30" t="s">
        <v>107</v>
      </c>
      <c r="I113" s="30">
        <v>290372</v>
      </c>
      <c r="J113" s="30">
        <v>29.037199999999999</v>
      </c>
    </row>
    <row r="114" spans="8:10">
      <c r="H114" s="30" t="s">
        <v>29</v>
      </c>
      <c r="I114" s="30">
        <v>192707</v>
      </c>
      <c r="J114" s="30">
        <v>19.270700000000001</v>
      </c>
    </row>
    <row r="115" spans="8:10">
      <c r="H115" s="30" t="s">
        <v>405</v>
      </c>
      <c r="I115" s="30">
        <v>0</v>
      </c>
      <c r="J115" s="30">
        <v>0</v>
      </c>
    </row>
    <row r="116" spans="8:10">
      <c r="H116" s="30" t="s">
        <v>332</v>
      </c>
      <c r="I116" s="30">
        <v>242890</v>
      </c>
      <c r="J116" s="30">
        <v>24.289000000000001</v>
      </c>
    </row>
    <row r="117" spans="8:10">
      <c r="H117" s="30" t="s">
        <v>67</v>
      </c>
      <c r="I117" s="30">
        <v>208309</v>
      </c>
      <c r="J117" s="30">
        <v>20.8309</v>
      </c>
    </row>
    <row r="118" spans="8:10">
      <c r="H118" s="30" t="s">
        <v>357</v>
      </c>
      <c r="I118" s="30">
        <v>123843</v>
      </c>
      <c r="J118" s="30">
        <v>12.3843</v>
      </c>
    </row>
    <row r="119" spans="8:10">
      <c r="H119" s="30" t="s">
        <v>399</v>
      </c>
      <c r="I119" s="30">
        <v>0</v>
      </c>
      <c r="J119" s="30">
        <v>0</v>
      </c>
    </row>
    <row r="120" spans="8:10">
      <c r="H120" s="30" t="s">
        <v>349</v>
      </c>
      <c r="I120" s="30">
        <v>167884</v>
      </c>
      <c r="J120" s="30">
        <v>16.788399999999999</v>
      </c>
    </row>
    <row r="121" spans="8:10">
      <c r="H121" s="30" t="s">
        <v>32</v>
      </c>
      <c r="I121" s="30">
        <v>225245</v>
      </c>
      <c r="J121" s="30">
        <v>22.5245</v>
      </c>
    </row>
    <row r="122" spans="8:10">
      <c r="H122" s="30" t="s">
        <v>344</v>
      </c>
      <c r="I122" s="30">
        <v>204906</v>
      </c>
      <c r="J122" s="30">
        <v>20.490600000000001</v>
      </c>
    </row>
    <row r="123" spans="8:10">
      <c r="H123" s="30" t="s">
        <v>108</v>
      </c>
      <c r="I123" s="30">
        <v>158759</v>
      </c>
      <c r="J123" s="30">
        <v>15.8759</v>
      </c>
    </row>
    <row r="124" spans="8:10">
      <c r="H124" s="30" t="s">
        <v>37</v>
      </c>
      <c r="I124" s="30">
        <v>195456</v>
      </c>
      <c r="J124" s="30">
        <v>19.5456</v>
      </c>
    </row>
    <row r="125" spans="8:10">
      <c r="H125" s="30" t="s">
        <v>37</v>
      </c>
      <c r="I125" s="30">
        <v>0</v>
      </c>
      <c r="J125" s="30">
        <v>0</v>
      </c>
    </row>
    <row r="126" spans="8:10">
      <c r="H126" s="30" t="s">
        <v>400</v>
      </c>
      <c r="I126" s="30">
        <v>0</v>
      </c>
      <c r="J126" s="30">
        <v>0</v>
      </c>
    </row>
    <row r="127" spans="8:10">
      <c r="H127" s="30" t="s">
        <v>109</v>
      </c>
      <c r="I127" s="30">
        <v>127135</v>
      </c>
      <c r="J127" s="30">
        <v>12.7135</v>
      </c>
    </row>
    <row r="128" spans="8:10">
      <c r="H128" s="30" t="s">
        <v>70</v>
      </c>
      <c r="I128" s="30">
        <v>261026</v>
      </c>
      <c r="J128" s="30">
        <v>26.102599999999999</v>
      </c>
    </row>
    <row r="129" spans="8:10">
      <c r="H129" s="30" t="s">
        <v>38</v>
      </c>
      <c r="I129" s="30">
        <v>204168</v>
      </c>
      <c r="J129" s="30">
        <v>20.416799999999999</v>
      </c>
    </row>
    <row r="130" spans="8:10">
      <c r="H130" s="30" t="s">
        <v>324</v>
      </c>
      <c r="I130" s="30">
        <v>273568</v>
      </c>
      <c r="J130" s="30">
        <v>27.3568</v>
      </c>
    </row>
    <row r="131" spans="8:10">
      <c r="H131" s="30" t="s">
        <v>302</v>
      </c>
      <c r="I131" s="30">
        <v>407522</v>
      </c>
      <c r="J131" s="30">
        <v>40.752200000000002</v>
      </c>
    </row>
    <row r="132" spans="8:10">
      <c r="H132" s="30" t="s">
        <v>389</v>
      </c>
      <c r="I132" s="30">
        <v>0</v>
      </c>
      <c r="J132" s="30">
        <v>0</v>
      </c>
    </row>
    <row r="133" spans="8:10">
      <c r="H133" s="30" t="s">
        <v>284</v>
      </c>
      <c r="I133" s="30">
        <v>204848</v>
      </c>
      <c r="J133" s="30">
        <v>20.4848</v>
      </c>
    </row>
    <row r="134" spans="8:10">
      <c r="H134" s="30" t="s">
        <v>312</v>
      </c>
      <c r="I134" s="30">
        <v>328844</v>
      </c>
      <c r="J134" s="30">
        <v>32.884399999999999</v>
      </c>
    </row>
    <row r="135" spans="8:10">
      <c r="H135" s="30" t="s">
        <v>113</v>
      </c>
      <c r="I135" s="30">
        <v>113032</v>
      </c>
      <c r="J135" s="30">
        <v>11.3032</v>
      </c>
    </row>
    <row r="136" spans="8:10">
      <c r="H136" s="30" t="s">
        <v>313</v>
      </c>
      <c r="I136" s="30">
        <v>326064</v>
      </c>
      <c r="J136" s="30">
        <v>32.606400000000001</v>
      </c>
    </row>
    <row r="137" spans="8:10">
      <c r="H137" s="30" t="s">
        <v>72</v>
      </c>
      <c r="I137" s="30">
        <v>276162</v>
      </c>
      <c r="J137" s="30">
        <v>27.616199999999999</v>
      </c>
    </row>
    <row r="138" spans="8:10">
      <c r="H138" s="30" t="s">
        <v>337</v>
      </c>
      <c r="I138" s="30">
        <v>233774</v>
      </c>
      <c r="J138" s="30">
        <v>23.377400000000002</v>
      </c>
    </row>
    <row r="139" spans="8:10">
      <c r="H139" s="30" t="s">
        <v>146</v>
      </c>
      <c r="I139" s="30">
        <v>229575</v>
      </c>
      <c r="J139" s="30">
        <v>22.9575</v>
      </c>
    </row>
    <row r="140" spans="8:10">
      <c r="H140" s="30" t="s">
        <v>147</v>
      </c>
      <c r="I140" s="30">
        <v>243543</v>
      </c>
      <c r="J140" s="30">
        <v>24.354299999999999</v>
      </c>
    </row>
    <row r="141" spans="8:10">
      <c r="H141" s="30" t="s">
        <v>335</v>
      </c>
      <c r="I141" s="30">
        <v>237121</v>
      </c>
      <c r="J141" s="30">
        <v>23.7121</v>
      </c>
    </row>
    <row r="142" spans="8:10">
      <c r="H142" s="30" t="s">
        <v>322</v>
      </c>
      <c r="I142" s="30">
        <v>276142</v>
      </c>
      <c r="J142" s="30">
        <v>27.6142</v>
      </c>
    </row>
    <row r="143" spans="8:10">
      <c r="H143" s="30" t="s">
        <v>341</v>
      </c>
      <c r="I143" s="30">
        <v>220938</v>
      </c>
      <c r="J143" s="30">
        <v>22.093800000000002</v>
      </c>
    </row>
    <row r="144" spans="8:10">
      <c r="H144" s="30" t="s">
        <v>307</v>
      </c>
      <c r="I144" s="30">
        <v>359807</v>
      </c>
      <c r="J144" s="30">
        <v>35.980699999999999</v>
      </c>
    </row>
    <row r="145" spans="8:10">
      <c r="H145" s="30" t="s">
        <v>319</v>
      </c>
      <c r="I145" s="30">
        <v>288981</v>
      </c>
      <c r="J145" s="30">
        <v>28.898099999999999</v>
      </c>
    </row>
    <row r="146" spans="8:10">
      <c r="H146" s="30" t="s">
        <v>348</v>
      </c>
      <c r="I146" s="30">
        <v>178972</v>
      </c>
      <c r="J146" s="30">
        <v>17.897200000000002</v>
      </c>
    </row>
    <row r="147" spans="8:10">
      <c r="H147" s="30" t="s">
        <v>403</v>
      </c>
      <c r="I147" s="30">
        <v>0</v>
      </c>
      <c r="J147" s="30">
        <v>0</v>
      </c>
    </row>
    <row r="148" spans="8:10">
      <c r="H148" s="30" t="s">
        <v>387</v>
      </c>
      <c r="I148" s="30">
        <v>0</v>
      </c>
      <c r="J148" s="30">
        <v>0</v>
      </c>
    </row>
    <row r="149" spans="8:10">
      <c r="H149" s="30" t="s">
        <v>179</v>
      </c>
      <c r="I149" s="30">
        <v>0</v>
      </c>
      <c r="J149" s="30">
        <v>0</v>
      </c>
    </row>
    <row r="150" spans="8:10">
      <c r="H150" s="30" t="s">
        <v>76</v>
      </c>
      <c r="I150" s="30">
        <v>212630</v>
      </c>
      <c r="J150" s="30">
        <v>21.263000000000002</v>
      </c>
    </row>
    <row r="151" spans="8:10">
      <c r="H151" s="30" t="s">
        <v>353</v>
      </c>
      <c r="I151" s="30">
        <v>141968</v>
      </c>
      <c r="J151" s="30">
        <v>14.1968</v>
      </c>
    </row>
    <row r="152" spans="8:10">
      <c r="H152" s="30" t="s">
        <v>308</v>
      </c>
      <c r="I152" s="30">
        <v>341362</v>
      </c>
      <c r="J152" s="30">
        <v>34.136200000000002</v>
      </c>
    </row>
    <row r="153" spans="8:10">
      <c r="H153" s="30" t="s">
        <v>393</v>
      </c>
      <c r="I153" s="30">
        <v>0</v>
      </c>
      <c r="J153" s="30">
        <v>0</v>
      </c>
    </row>
    <row r="154" spans="8:10">
      <c r="H154" s="30" t="s">
        <v>181</v>
      </c>
      <c r="I154" s="30">
        <v>151353</v>
      </c>
      <c r="J154" s="30">
        <v>15.135300000000001</v>
      </c>
    </row>
    <row r="155" spans="8:10">
      <c r="H155" s="30" t="s">
        <v>182</v>
      </c>
      <c r="I155" s="30">
        <v>183288</v>
      </c>
      <c r="J155" s="30">
        <v>18.328800000000001</v>
      </c>
    </row>
    <row r="156" spans="8:10">
      <c r="H156" s="30" t="s">
        <v>385</v>
      </c>
      <c r="I156" s="30">
        <v>0</v>
      </c>
      <c r="J156" s="30">
        <v>0</v>
      </c>
    </row>
    <row r="157" spans="8:10">
      <c r="H157" s="30" t="s">
        <v>398</v>
      </c>
      <c r="I157" s="30">
        <v>0</v>
      </c>
      <c r="J157" s="30">
        <v>0</v>
      </c>
    </row>
    <row r="158" spans="8:10">
      <c r="H158" s="30" t="s">
        <v>406</v>
      </c>
      <c r="I158" s="30">
        <v>0</v>
      </c>
      <c r="J158" s="30">
        <v>0</v>
      </c>
    </row>
    <row r="159" spans="8:10">
      <c r="H159" s="30" t="s">
        <v>118</v>
      </c>
      <c r="I159" s="30">
        <v>164799</v>
      </c>
      <c r="J159" s="30">
        <v>16.479900000000001</v>
      </c>
    </row>
    <row r="160" spans="8:10">
      <c r="H160" s="30" t="s">
        <v>77</v>
      </c>
      <c r="I160" s="30">
        <v>0</v>
      </c>
      <c r="J160" s="30">
        <v>0</v>
      </c>
    </row>
    <row r="161" spans="8:10">
      <c r="H161" s="30" t="s">
        <v>355</v>
      </c>
      <c r="I161" s="30">
        <v>131064</v>
      </c>
      <c r="J161" s="30">
        <v>13.106400000000001</v>
      </c>
    </row>
    <row r="162" spans="8:10">
      <c r="H162" s="30" t="s">
        <v>303</v>
      </c>
      <c r="I162" s="30">
        <v>400781</v>
      </c>
      <c r="J162" s="30">
        <v>40.078099999999999</v>
      </c>
    </row>
    <row r="163" spans="8:10">
      <c r="H163" s="30" t="s">
        <v>318</v>
      </c>
      <c r="I163" s="30">
        <v>290940</v>
      </c>
      <c r="J163" s="30">
        <v>29.094000000000001</v>
      </c>
    </row>
    <row r="164" spans="8:10">
      <c r="H164" s="30" t="s">
        <v>44</v>
      </c>
      <c r="I164" s="30">
        <v>91995</v>
      </c>
      <c r="J164" s="30">
        <v>9.1995000000000005</v>
      </c>
    </row>
    <row r="165" spans="8:10">
      <c r="H165" s="30" t="s">
        <v>323</v>
      </c>
      <c r="I165" s="30">
        <v>275682</v>
      </c>
      <c r="J165" s="30">
        <v>27.568200000000001</v>
      </c>
    </row>
    <row r="166" spans="8:10">
      <c r="H166" s="30" t="s">
        <v>151</v>
      </c>
      <c r="I166" s="30">
        <v>0</v>
      </c>
      <c r="J166" s="30">
        <v>0</v>
      </c>
    </row>
    <row r="167" spans="8:10">
      <c r="H167" s="30" t="s">
        <v>151</v>
      </c>
      <c r="I167" s="30">
        <v>0</v>
      </c>
      <c r="J167" s="30">
        <v>0</v>
      </c>
    </row>
    <row r="168" spans="8:10">
      <c r="H168" s="30" t="s">
        <v>80</v>
      </c>
      <c r="I168" s="30">
        <v>256754</v>
      </c>
      <c r="J168" s="30">
        <v>25.6754</v>
      </c>
    </row>
    <row r="169" spans="8:10">
      <c r="H169" s="30" t="s">
        <v>320</v>
      </c>
      <c r="I169" s="30">
        <v>285474</v>
      </c>
      <c r="J169" s="30">
        <v>28.5474</v>
      </c>
    </row>
    <row r="170" spans="8:10">
      <c r="H170" s="30" t="s">
        <v>386</v>
      </c>
      <c r="I170" s="30">
        <v>0</v>
      </c>
      <c r="J170" s="30">
        <v>0</v>
      </c>
    </row>
  </sheetData>
  <sortState xmlns:xlrd2="http://schemas.microsoft.com/office/spreadsheetml/2017/richdata2" ref="H2:J170">
    <sortCondition ref="H1:H170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D182"/>
  <sheetViews>
    <sheetView workbookViewId="0">
      <selection activeCell="A30" sqref="A30:A182"/>
    </sheetView>
  </sheetViews>
  <sheetFormatPr defaultColWidth="9.140625" defaultRowHeight="15"/>
  <cols>
    <col min="1" max="1" width="13" style="1" customWidth="1"/>
    <col min="2" max="2" width="23.5703125" style="1" customWidth="1"/>
    <col min="3" max="3" width="28.28515625" style="1" customWidth="1"/>
    <col min="4" max="4" width="27.140625" style="1" customWidth="1"/>
    <col min="5" max="16384" width="9.140625" style="1"/>
  </cols>
  <sheetData>
    <row r="1" spans="1:4">
      <c r="A1" s="5" t="s">
        <v>0</v>
      </c>
      <c r="B1" s="5" t="s">
        <v>1</v>
      </c>
      <c r="C1" s="5" t="s">
        <v>2</v>
      </c>
      <c r="D1" s="5" t="s">
        <v>294</v>
      </c>
    </row>
    <row r="2" spans="1:4" hidden="1">
      <c r="A2" s="6">
        <v>450230</v>
      </c>
      <c r="B2" s="7" t="str">
        <f>IFERROR(VLOOKUP(A2,Employee_Master!A:B,2,0),"")</f>
        <v>Aarti Gupta</v>
      </c>
      <c r="C2" s="7" t="str">
        <f>IFERROR(VLOOKUP(A2,Employee_Master!A:B,3,0),"")</f>
        <v/>
      </c>
      <c r="D2" s="7">
        <f>IF(SUMIF(Participation_Entry!B:B,A2,Participation_Entry!L:L)=0,"",SUMIF(Participation_Entry!B:B,A2,Participation_Entry!L:L))</f>
        <v>196.35250000000002</v>
      </c>
    </row>
    <row r="3" spans="1:4" hidden="1">
      <c r="A3" s="6">
        <v>452073</v>
      </c>
      <c r="B3" s="7" t="str">
        <f>IFERROR(VLOOKUP(A3,Employee_Master!A:B,2,0),"")</f>
        <v xml:space="preserve">Aashish </v>
      </c>
      <c r="C3" s="7" t="str">
        <f>IFERROR(VLOOKUP(A3,Employee_Master!A:B,3,0),"")</f>
        <v/>
      </c>
      <c r="D3" s="7">
        <f>IF(SUMIF(Participation_Entry!B:B,A3,Participation_Entry!L:L)=0,"",SUMIF(Participation_Entry!B:B,A3,Participation_Entry!L:L))</f>
        <v>108.2557</v>
      </c>
    </row>
    <row r="4" spans="1:4" hidden="1">
      <c r="A4" s="6">
        <v>461161</v>
      </c>
      <c r="B4" s="7" t="str">
        <f>IFERROR(VLOOKUP(A4,Employee_Master!A:B,2,0),"")</f>
        <v>Abhay Singh</v>
      </c>
      <c r="C4" s="7" t="str">
        <f>IFERROR(VLOOKUP(A4,Employee_Master!A:B,3,0),"")</f>
        <v/>
      </c>
      <c r="D4" s="7">
        <f>IF(SUMIF(Participation_Entry!B:B,A4,Participation_Entry!L:L)=0,"",SUMIF(Participation_Entry!B:B,A4,Participation_Entry!L:L))</f>
        <v>77.220300000000009</v>
      </c>
    </row>
    <row r="5" spans="1:4" hidden="1">
      <c r="A5" s="6">
        <v>456091</v>
      </c>
      <c r="B5" s="7" t="str">
        <f>IFERROR(VLOOKUP(A5,Employee_Master!A:B,2,0),"")</f>
        <v>Abhinesh Pandey</v>
      </c>
      <c r="C5" s="7" t="str">
        <f>IFERROR(VLOOKUP(A5,Employee_Master!A:B,3,0),"")</f>
        <v/>
      </c>
      <c r="D5" s="7">
        <f>IF(SUMIF(Participation_Entry!B:B,A5,Participation_Entry!L:L)=0,"",SUMIF(Participation_Entry!B:B,A5,Participation_Entry!L:L))</f>
        <v>108.97889999999998</v>
      </c>
    </row>
    <row r="6" spans="1:4" hidden="1">
      <c r="A6" s="6">
        <v>478308</v>
      </c>
      <c r="B6" s="7" t="str">
        <f>IFERROR(VLOOKUP(A6,Employee_Master!A:B,2,0),"")</f>
        <v xml:space="preserve">Abhishek savita </v>
      </c>
      <c r="C6" s="7" t="str">
        <f>IFERROR(VLOOKUP(A6,Employee_Master!A:B,3,0),"")</f>
        <v/>
      </c>
      <c r="D6" s="7">
        <f>IF(SUMIF(Participation_Entry!B:B,A6,Participation_Entry!L:L)=0,"",SUMIF(Participation_Entry!B:B,A6,Participation_Entry!L:L))</f>
        <v>152.47220000000002</v>
      </c>
    </row>
    <row r="7" spans="1:4" hidden="1">
      <c r="A7" s="6">
        <v>478266</v>
      </c>
      <c r="B7" s="7" t="str">
        <f>IFERROR(VLOOKUP(A7,Employee_Master!A:B,2,0),"")</f>
        <v xml:space="preserve">Abhishek Sharma </v>
      </c>
      <c r="C7" s="7" t="str">
        <f>IFERROR(VLOOKUP(A7,Employee_Master!A:B,3,0),"")</f>
        <v/>
      </c>
      <c r="D7" s="7">
        <f>IF(SUMIF(Participation_Entry!B:B,A7,Participation_Entry!L:L)=0,"",SUMIF(Participation_Entry!B:B,A7,Participation_Entry!L:L))</f>
        <v>72.153399999999991</v>
      </c>
    </row>
    <row r="8" spans="1:4" hidden="1">
      <c r="A8" s="6">
        <v>466167</v>
      </c>
      <c r="B8" s="7" t="str">
        <f>IFERROR(VLOOKUP(A8,Employee_Master!A:B,2,0),"")</f>
        <v>Aishwarya Sharma</v>
      </c>
      <c r="C8" s="7" t="str">
        <f>IFERROR(VLOOKUP(A8,Employee_Master!A:B,3,0),"")</f>
        <v/>
      </c>
      <c r="D8" s="7">
        <f>IF(SUMIF(Participation_Entry!B:B,A8,Participation_Entry!L:L)=0,"",SUMIF(Participation_Entry!B:B,A8,Participation_Entry!L:L))</f>
        <v>269.40879999999999</v>
      </c>
    </row>
    <row r="9" spans="1:4" hidden="1">
      <c r="A9" s="6">
        <v>712428</v>
      </c>
      <c r="B9" s="7" t="str">
        <f>IFERROR(VLOOKUP(A9,Employee_Master!A:B,2,0),"")</f>
        <v>Akanksha Gangwar</v>
      </c>
      <c r="C9" s="7" t="str">
        <f>IFERROR(VLOOKUP(A9,Employee_Master!A:B,3,0),"")</f>
        <v/>
      </c>
      <c r="D9" s="7">
        <f>IF(SUMIF(Participation_Entry!B:B,A9,Participation_Entry!L:L)=0,"",SUMIF(Participation_Entry!B:B,A9,Participation_Entry!L:L))</f>
        <v>302.91280000000006</v>
      </c>
    </row>
    <row r="10" spans="1:4" hidden="1">
      <c r="A10" s="6">
        <v>454456</v>
      </c>
      <c r="B10" s="7" t="str">
        <f>IFERROR(VLOOKUP(A10,Employee_Master!A:B,2,0),"")</f>
        <v>Akash Deshmukh</v>
      </c>
      <c r="C10" s="7" t="str">
        <f>IFERROR(VLOOKUP(A10,Employee_Master!A:B,3,0),"")</f>
        <v/>
      </c>
      <c r="D10" s="7">
        <f>IF(SUMIF(Participation_Entry!B:B,A10,Participation_Entry!L:L)=0,"",SUMIF(Participation_Entry!B:B,A10,Participation_Entry!L:L))</f>
        <v>198.71929999999998</v>
      </c>
    </row>
    <row r="11" spans="1:4" hidden="1">
      <c r="A11" s="6">
        <v>452119</v>
      </c>
      <c r="B11" s="7" t="str">
        <f>IFERROR(VLOOKUP(A11,Employee_Master!A:B,2,0),"")</f>
        <v>Akhil Tiwari</v>
      </c>
      <c r="C11" s="7" t="str">
        <f>IFERROR(VLOOKUP(A11,Employee_Master!A:B,3,0),"")</f>
        <v/>
      </c>
      <c r="D11" s="7">
        <f>IF(SUMIF(Participation_Entry!B:B,A11,Participation_Entry!L:L)=0,"",SUMIF(Participation_Entry!B:B,A11,Participation_Entry!L:L))</f>
        <v>153.37799999999999</v>
      </c>
    </row>
    <row r="12" spans="1:4" hidden="1">
      <c r="A12" s="6">
        <v>430977</v>
      </c>
      <c r="B12" s="7" t="str">
        <f>IFERROR(VLOOKUP(A12,Employee_Master!A:B,2,0),"")</f>
        <v>Akshit Sood</v>
      </c>
      <c r="C12" s="7" t="str">
        <f>IFERROR(VLOOKUP(A12,Employee_Master!A:B,3,0),"")</f>
        <v/>
      </c>
      <c r="D12" s="7">
        <f>IF(SUMIF(Participation_Entry!B:B,A12,Participation_Entry!L:L)=0,"",SUMIF(Participation_Entry!B:B,A12,Participation_Entry!L:L))</f>
        <v>197.2518</v>
      </c>
    </row>
    <row r="13" spans="1:4" hidden="1">
      <c r="A13" s="6">
        <v>451857</v>
      </c>
      <c r="B13" s="7" t="str">
        <f>IFERROR(VLOOKUP(A13,Employee_Master!A:B,2,0),"")</f>
        <v xml:space="preserve">Amar Kumar </v>
      </c>
      <c r="C13" s="7" t="str">
        <f>IFERROR(VLOOKUP(A13,Employee_Master!A:B,3,0),"")</f>
        <v/>
      </c>
      <c r="D13" s="7">
        <f>IF(SUMIF(Participation_Entry!B:B,A13,Participation_Entry!L:L)=0,"",SUMIF(Participation_Entry!B:B,A13,Participation_Entry!L:L))</f>
        <v>142.98699999999999</v>
      </c>
    </row>
    <row r="14" spans="1:4" hidden="1">
      <c r="A14" s="6">
        <v>427568</v>
      </c>
      <c r="B14" s="7" t="str">
        <f>IFERROR(VLOOKUP(A14,Employee_Master!A:B,2,0),"")</f>
        <v>Anjali Sundrani</v>
      </c>
      <c r="C14" s="7" t="str">
        <f>IFERROR(VLOOKUP(A14,Employee_Master!A:B,3,0),"")</f>
        <v/>
      </c>
      <c r="D14" s="7">
        <f>IF(SUMIF(Participation_Entry!B:B,A14,Participation_Entry!L:L)=0,"",SUMIF(Participation_Entry!B:B,A14,Participation_Entry!L:L))</f>
        <v>67.755300000000005</v>
      </c>
    </row>
    <row r="15" spans="1:4" hidden="1">
      <c r="A15" s="6">
        <v>469899</v>
      </c>
      <c r="B15" s="7" t="str">
        <f>IFERROR(VLOOKUP(A15,Employee_Master!A:B,2,0),"")</f>
        <v>Ankit</v>
      </c>
      <c r="C15" s="7" t="str">
        <f>IFERROR(VLOOKUP(A15,Employee_Master!A:B,3,0),"")</f>
        <v/>
      </c>
      <c r="D15" s="7">
        <f>IF(SUMIF(Participation_Entry!B:B,A15,Participation_Entry!L:L)=0,"",SUMIF(Participation_Entry!B:B,A15,Participation_Entry!L:L))</f>
        <v>50.001100000000001</v>
      </c>
    </row>
    <row r="16" spans="1:4" hidden="1">
      <c r="A16" s="6">
        <v>451858</v>
      </c>
      <c r="B16" s="7" t="str">
        <f>IFERROR(VLOOKUP(A16,Employee_Master!A:B,2,0),"")</f>
        <v>Ankit Bhardwaj</v>
      </c>
      <c r="C16" s="7" t="str">
        <f>IFERROR(VLOOKUP(A16,Employee_Master!A:B,3,0),"")</f>
        <v/>
      </c>
      <c r="D16" s="7">
        <f>IF(SUMIF(Participation_Entry!B:B,A16,Participation_Entry!L:L)=0,"",SUMIF(Participation_Entry!B:B,A16,Participation_Entry!L:L))</f>
        <v>75.646900000000002</v>
      </c>
    </row>
    <row r="17" spans="1:4" hidden="1">
      <c r="A17" s="6">
        <v>486309</v>
      </c>
      <c r="B17" s="7" t="str">
        <f>IFERROR(VLOOKUP(A17,Employee_Master!A:B,2,0),"")</f>
        <v>Ankit Bhatt</v>
      </c>
      <c r="C17" s="7" t="str">
        <f>IFERROR(VLOOKUP(A17,Employee_Master!A:B,3,0),"")</f>
        <v/>
      </c>
      <c r="D17" s="7">
        <f>IF(SUMIF(Participation_Entry!B:B,A17,Participation_Entry!L:L)=0,"",SUMIF(Participation_Entry!B:B,A17,Participation_Entry!L:L))</f>
        <v>157.65620000000001</v>
      </c>
    </row>
    <row r="18" spans="1:4" hidden="1">
      <c r="A18" s="6">
        <v>470301</v>
      </c>
      <c r="B18" s="7" t="str">
        <f>IFERROR(VLOOKUP(A18,Employee_Master!A:B,2,0),"")</f>
        <v>Ankit Kumar</v>
      </c>
      <c r="C18" s="7" t="str">
        <f>IFERROR(VLOOKUP(A18,Employee_Master!A:B,3,0),"")</f>
        <v/>
      </c>
      <c r="D18" s="7">
        <f>IF(SUMIF(Participation_Entry!B:B,A18,Participation_Entry!L:L)=0,"",SUMIF(Participation_Entry!B:B,A18,Participation_Entry!L:L))</f>
        <v>133.12870000000001</v>
      </c>
    </row>
    <row r="19" spans="1:4" hidden="1">
      <c r="A19" s="6">
        <v>468157</v>
      </c>
      <c r="B19" s="7" t="str">
        <f>IFERROR(VLOOKUP(A19,Employee_Master!A:B,2,0),"")</f>
        <v>Ankit Tiwari</v>
      </c>
      <c r="C19" s="7" t="str">
        <f>IFERROR(VLOOKUP(A19,Employee_Master!A:B,3,0),"")</f>
        <v/>
      </c>
      <c r="D19" s="7">
        <f>IF(SUMIF(Participation_Entry!B:B,A19,Participation_Entry!L:L)=0,"",SUMIF(Participation_Entry!B:B,A19,Participation_Entry!L:L))</f>
        <v>80.676400000000015</v>
      </c>
    </row>
    <row r="20" spans="1:4" hidden="1">
      <c r="A20" s="6">
        <v>452115</v>
      </c>
      <c r="B20" s="7" t="str">
        <f>IFERROR(VLOOKUP(A20,Employee_Master!A:B,2,0),"")</f>
        <v xml:space="preserve">Anshul Sharma </v>
      </c>
      <c r="C20" s="7" t="str">
        <f>IFERROR(VLOOKUP(A20,Employee_Master!A:B,3,0),"")</f>
        <v/>
      </c>
      <c r="D20" s="7">
        <f>IF(SUMIF(Participation_Entry!B:B,A20,Participation_Entry!L:L)=0,"",SUMIF(Participation_Entry!B:B,A20,Participation_Entry!L:L))</f>
        <v>20</v>
      </c>
    </row>
    <row r="21" spans="1:4" hidden="1">
      <c r="A21" s="6">
        <v>467068</v>
      </c>
      <c r="B21" s="7" t="str">
        <f>IFERROR(VLOOKUP(A21,Employee_Master!A:B,2,0),"")</f>
        <v>Anuj Kumar</v>
      </c>
      <c r="C21" s="7" t="str">
        <f>IFERROR(VLOOKUP(A21,Employee_Master!A:B,3,0),"")</f>
        <v/>
      </c>
      <c r="D21" s="7">
        <f>IF(SUMIF(Participation_Entry!B:B,A21,Participation_Entry!L:L)=0,"",SUMIF(Participation_Entry!B:B,A21,Participation_Entry!L:L))</f>
        <v>155.6302</v>
      </c>
    </row>
    <row r="22" spans="1:4" hidden="1">
      <c r="A22" s="6">
        <v>466367</v>
      </c>
      <c r="B22" s="7" t="str">
        <f>IFERROR(VLOOKUP(A22,Employee_Master!A:B,2,0),"")</f>
        <v>Arjun Sharma</v>
      </c>
      <c r="C22" s="7" t="str">
        <f>IFERROR(VLOOKUP(A22,Employee_Master!A:B,3,0),"")</f>
        <v/>
      </c>
      <c r="D22" s="7">
        <f>IF(SUMIF(Participation_Entry!B:B,A22,Participation_Entry!L:L)=0,"",SUMIF(Participation_Entry!B:B,A22,Participation_Entry!L:L))</f>
        <v>30</v>
      </c>
    </row>
    <row r="23" spans="1:4" hidden="1">
      <c r="A23" s="6">
        <v>492857</v>
      </c>
      <c r="B23" s="7" t="str">
        <f>IFERROR(VLOOKUP(A23,Employee_Master!A:B,2,0),"")</f>
        <v>Arnima Thakur</v>
      </c>
      <c r="C23" s="7" t="str">
        <f>IFERROR(VLOOKUP(A23,Employee_Master!A:B,3,0),"")</f>
        <v/>
      </c>
      <c r="D23" s="7">
        <f>IF(SUMIF(Participation_Entry!B:B,A23,Participation_Entry!L:L)=0,"",SUMIF(Participation_Entry!B:B,A23,Participation_Entry!L:L))</f>
        <v>92.285200000000003</v>
      </c>
    </row>
    <row r="24" spans="1:4" hidden="1">
      <c r="A24" s="6">
        <v>408262</v>
      </c>
      <c r="B24" s="7" t="str">
        <f>IFERROR(VLOOKUP(A24,Employee_Master!A:B,2,0),"")</f>
        <v>Arpanjot Singh</v>
      </c>
      <c r="C24" s="7" t="str">
        <f>IFERROR(VLOOKUP(A24,Employee_Master!A:B,3,0),"")</f>
        <v/>
      </c>
      <c r="D24" s="7">
        <f>IF(SUMIF(Participation_Entry!B:B,A24,Participation_Entry!L:L)=0,"",SUMIF(Participation_Entry!B:B,A24,Participation_Entry!L:L))</f>
        <v>30</v>
      </c>
    </row>
    <row r="25" spans="1:4" hidden="1">
      <c r="A25" s="6">
        <v>453089</v>
      </c>
      <c r="B25" s="7" t="str">
        <f>IFERROR(VLOOKUP(A25,Employee_Master!A:B,2,0),"")</f>
        <v>Arun Lamba</v>
      </c>
      <c r="C25" s="7" t="str">
        <f>IFERROR(VLOOKUP(A25,Employee_Master!A:B,3,0),"")</f>
        <v/>
      </c>
      <c r="D25" s="7">
        <f>IF(SUMIF(Participation_Entry!B:B,A25,Participation_Entry!L:L)=0,"",SUMIF(Participation_Entry!B:B,A25,Participation_Entry!L:L))</f>
        <v>20</v>
      </c>
    </row>
    <row r="26" spans="1:4" hidden="1">
      <c r="A26" s="6">
        <v>449890</v>
      </c>
      <c r="B26" s="7" t="str">
        <f>IFERROR(VLOOKUP(A26,Employee_Master!A:B,2,0),"")</f>
        <v xml:space="preserve">Ashish Baghel </v>
      </c>
      <c r="C26" s="7" t="str">
        <f>IFERROR(VLOOKUP(A26,Employee_Master!A:B,3,0),"")</f>
        <v/>
      </c>
      <c r="D26" s="7">
        <f>IF(SUMIF(Participation_Entry!B:B,A26,Participation_Entry!L:L)=0,"",SUMIF(Participation_Entry!B:B,A26,Participation_Entry!L:L))</f>
        <v>112.47739999999999</v>
      </c>
    </row>
    <row r="27" spans="1:4" hidden="1">
      <c r="A27" s="6">
        <v>453948</v>
      </c>
      <c r="B27" s="7" t="str">
        <f>IFERROR(VLOOKUP(A27,Employee_Master!A:B,2,0),"")</f>
        <v>Ashish Bhardwaj</v>
      </c>
      <c r="C27" s="7" t="str">
        <f>IFERROR(VLOOKUP(A27,Employee_Master!A:B,3,0),"")</f>
        <v/>
      </c>
      <c r="D27" s="7">
        <f>IF(SUMIF(Participation_Entry!B:B,A27,Participation_Entry!L:L)=0,"",SUMIF(Participation_Entry!B:B,A27,Participation_Entry!L:L))</f>
        <v>136.51240000000001</v>
      </c>
    </row>
    <row r="28" spans="1:4" hidden="1">
      <c r="A28" s="6">
        <v>478084</v>
      </c>
      <c r="B28" s="7" t="str">
        <f>IFERROR(VLOOKUP(A28,Employee_Master!A:B,2,0),"")</f>
        <v>Ashish Mishra</v>
      </c>
      <c r="C28" s="7" t="str">
        <f>IFERROR(VLOOKUP(A28,Employee_Master!A:B,3,0),"")</f>
        <v/>
      </c>
      <c r="D28" s="7">
        <f>IF(SUMIF(Participation_Entry!B:B,A28,Participation_Entry!L:L)=0,"",SUMIF(Participation_Entry!B:B,A28,Participation_Entry!L:L))</f>
        <v>102.2955</v>
      </c>
    </row>
    <row r="29" spans="1:4" hidden="1">
      <c r="A29" s="6">
        <v>722356</v>
      </c>
      <c r="B29" s="7" t="str">
        <f>IFERROR(VLOOKUP(A29,Employee_Master!A:B,2,0),"")</f>
        <v>Ashita Munjley</v>
      </c>
      <c r="C29" s="7" t="str">
        <f>IFERROR(VLOOKUP(A29,Employee_Master!A:B,3,0),"")</f>
        <v/>
      </c>
      <c r="D29" s="7">
        <f>IF(SUMIF(Participation_Entry!B:B,A29,Participation_Entry!L:L)=0,"",SUMIF(Participation_Entry!B:B,A29,Participation_Entry!L:L))</f>
        <v>85.544499999999999</v>
      </c>
    </row>
    <row r="30" spans="1:4">
      <c r="A30" s="6">
        <v>411573</v>
      </c>
      <c r="B30" s="7" t="str">
        <f>IFERROR(VLOOKUP(A30,Employee_Master!A:B,2,0),"")</f>
        <v/>
      </c>
      <c r="C30" s="7" t="str">
        <f>IFERROR(VLOOKUP(A30,Employee_Master!A:B,3,0),"")</f>
        <v/>
      </c>
      <c r="D30" s="7" t="str">
        <f>IF(SUMIF(Participation_Entry!B:B,A30,Participation_Entry!L:L)=0,"",SUMIF(Participation_Entry!B:B,A30,Participation_Entry!L:L))</f>
        <v/>
      </c>
    </row>
    <row r="31" spans="1:4">
      <c r="A31" s="6">
        <v>468456</v>
      </c>
      <c r="B31" s="7" t="str">
        <f>IFERROR(VLOOKUP(A31,Employee_Master!A:B,2,0),"")</f>
        <v/>
      </c>
      <c r="C31" s="7" t="str">
        <f>IFERROR(VLOOKUP(A31,Employee_Master!A:B,3,0),"")</f>
        <v/>
      </c>
      <c r="D31" s="7" t="str">
        <f>IF(SUMIF(Participation_Entry!B:B,A31,Participation_Entry!L:L)=0,"",SUMIF(Participation_Entry!B:B,A31,Participation_Entry!L:L))</f>
        <v/>
      </c>
    </row>
    <row r="32" spans="1:4" hidden="1">
      <c r="A32" s="14">
        <v>466445</v>
      </c>
      <c r="B32" s="7" t="str">
        <f>IFERROR(VLOOKUP(A32,Employee_Master!A:B,2,0),"")</f>
        <v>Ayush Kumar</v>
      </c>
      <c r="C32" s="7" t="str">
        <f>IFERROR(VLOOKUP(A32,Employee_Master!A:B,3,0),"")</f>
        <v/>
      </c>
      <c r="D32" s="7">
        <f>IF(SUMIF(Participation_Entry!B:B,A32,Participation_Entry!L:L)=0,"",SUMIF(Participation_Entry!B:B,A32,Participation_Entry!L:L))</f>
        <v>121.6617</v>
      </c>
    </row>
    <row r="33" spans="1:4" hidden="1">
      <c r="A33" s="14">
        <v>365114</v>
      </c>
      <c r="B33" s="7" t="str">
        <f>IFERROR(VLOOKUP(A33,Employee_Master!A:B,2,0),"")</f>
        <v>Bhanu Sirohi</v>
      </c>
      <c r="C33" s="7" t="str">
        <f>IFERROR(VLOOKUP(A33,Employee_Master!A:B,3,0),"")</f>
        <v/>
      </c>
      <c r="D33" s="7">
        <f>IF(SUMIF(Participation_Entry!B:B,A33,Participation_Entry!L:L)=0,"",SUMIF(Participation_Entry!B:B,A33,Participation_Entry!L:L))</f>
        <v>358.52940000000001</v>
      </c>
    </row>
    <row r="34" spans="1:4" hidden="1">
      <c r="A34" s="6">
        <v>452058</v>
      </c>
      <c r="B34" s="7" t="str">
        <f>IFERROR(VLOOKUP(A34,Employee_Master!A:B,2,0),"")</f>
        <v>Bhavya Gupta</v>
      </c>
      <c r="C34" s="7" t="str">
        <f>IFERROR(VLOOKUP(A34,Employee_Master!A:B,3,0),"")</f>
        <v/>
      </c>
      <c r="D34" s="7">
        <f>IF(SUMIF(Participation_Entry!B:B,A34,Participation_Entry!L:L)=0,"",SUMIF(Participation_Entry!B:B,A34,Participation_Entry!L:L))</f>
        <v>223.21250000000001</v>
      </c>
    </row>
    <row r="35" spans="1:4" hidden="1">
      <c r="A35" s="6">
        <v>721766</v>
      </c>
      <c r="B35" s="7" t="str">
        <f>IFERROR(VLOOKUP(A35,Employee_Master!A:B,2,0),"")</f>
        <v>BHAWNA SHARMA</v>
      </c>
      <c r="C35" s="7" t="str">
        <f>IFERROR(VLOOKUP(A35,Employee_Master!A:B,3,0),"")</f>
        <v/>
      </c>
      <c r="D35" s="7">
        <f>IF(SUMIF(Participation_Entry!B:B,A35,Participation_Entry!L:L)=0,"",SUMIF(Participation_Entry!B:B,A35,Participation_Entry!L:L))</f>
        <v>61.321899999999999</v>
      </c>
    </row>
    <row r="36" spans="1:4" hidden="1">
      <c r="A36" s="14">
        <v>420109</v>
      </c>
      <c r="B36" s="7" t="str">
        <f>IFERROR(VLOOKUP(A36,Employee_Master!A:B,2,0),"")</f>
        <v>Chandraprakash Nandwana</v>
      </c>
      <c r="C36" s="7" t="str">
        <f>IFERROR(VLOOKUP(A36,Employee_Master!A:B,3,0),"")</f>
        <v/>
      </c>
      <c r="D36" s="7">
        <f>IF(SUMIF(Participation_Entry!B:B,A36,Participation_Entry!L:L)=0,"",SUMIF(Participation_Entry!B:B,A36,Participation_Entry!L:L))</f>
        <v>149.52959999999999</v>
      </c>
    </row>
    <row r="37" spans="1:4">
      <c r="A37" s="6">
        <v>456743</v>
      </c>
      <c r="B37" s="7" t="str">
        <f>IFERROR(VLOOKUP(A37,Employee_Master!A:B,2,0),"")</f>
        <v/>
      </c>
      <c r="C37" s="7" t="str">
        <f>IFERROR(VLOOKUP(A37,Employee_Master!A:B,3,0),"")</f>
        <v/>
      </c>
      <c r="D37" s="7" t="str">
        <f>IF(SUMIF(Participation_Entry!B:B,A37,Participation_Entry!L:L)=0,"",SUMIF(Participation_Entry!B:B,A37,Participation_Entry!L:L))</f>
        <v/>
      </c>
    </row>
    <row r="38" spans="1:4" hidden="1">
      <c r="A38" s="6">
        <v>464500</v>
      </c>
      <c r="B38" s="7" t="str">
        <f>IFERROR(VLOOKUP(A38,Employee_Master!A:B,2,0),"")</f>
        <v>Dalip Sharma</v>
      </c>
      <c r="C38" s="7" t="str">
        <f>IFERROR(VLOOKUP(A38,Employee_Master!A:B,3,0),"")</f>
        <v/>
      </c>
      <c r="D38" s="7">
        <f>IF(SUMIF(Participation_Entry!B:B,A38,Participation_Entry!L:L)=0,"",SUMIF(Participation_Entry!B:B,A38,Participation_Entry!L:L))</f>
        <v>182.22569999999999</v>
      </c>
    </row>
    <row r="39" spans="1:4" hidden="1">
      <c r="A39" s="6">
        <v>456706</v>
      </c>
      <c r="B39" s="7" t="str">
        <f>IFERROR(VLOOKUP(A39,Employee_Master!A:B,2,0),"")</f>
        <v>Daljit Singh</v>
      </c>
      <c r="C39" s="7" t="str">
        <f>IFERROR(VLOOKUP(A39,Employee_Master!A:B,3,0),"")</f>
        <v/>
      </c>
      <c r="D39" s="7">
        <f>IF(SUMIF(Participation_Entry!B:B,A39,Participation_Entry!L:L)=0,"",SUMIF(Participation_Entry!B:B,A39,Participation_Entry!L:L))</f>
        <v>60.234099999999998</v>
      </c>
    </row>
    <row r="40" spans="1:4" hidden="1">
      <c r="A40" s="14">
        <v>460812</v>
      </c>
      <c r="B40" s="7" t="str">
        <f>IFERROR(VLOOKUP(A40,Employee_Master!A:B,2,0),"")</f>
        <v>Deepak Sharma</v>
      </c>
      <c r="C40" s="7" t="str">
        <f>IFERROR(VLOOKUP(A40,Employee_Master!A:B,3,0),"")</f>
        <v/>
      </c>
      <c r="D40" s="7">
        <f>IF(SUMIF(Participation_Entry!B:B,A40,Participation_Entry!L:L)=0,"",SUMIF(Participation_Entry!B:B,A40,Participation_Entry!L:L))</f>
        <v>136.90629999999999</v>
      </c>
    </row>
    <row r="41" spans="1:4">
      <c r="A41" s="6">
        <v>410040</v>
      </c>
      <c r="B41" s="7" t="str">
        <f>IFERROR(VLOOKUP(A41,Employee_Master!A:B,2,0),"")</f>
        <v/>
      </c>
      <c r="C41" s="7" t="str">
        <f>IFERROR(VLOOKUP(A41,Employee_Master!A:B,3,0),"")</f>
        <v/>
      </c>
      <c r="D41" s="7" t="str">
        <f>IF(SUMIF(Participation_Entry!B:B,A41,Participation_Entry!L:L)=0,"",SUMIF(Participation_Entry!B:B,A41,Participation_Entry!L:L))</f>
        <v/>
      </c>
    </row>
    <row r="42" spans="1:4" hidden="1">
      <c r="A42" s="6">
        <v>447096</v>
      </c>
      <c r="B42" s="7" t="str">
        <f>IFERROR(VLOOKUP(A42,Employee_Master!A:B,2,0),"")</f>
        <v>Deepak Tiwari</v>
      </c>
      <c r="C42" s="7" t="str">
        <f>IFERROR(VLOOKUP(A42,Employee_Master!A:B,3,0),"")</f>
        <v/>
      </c>
      <c r="D42" s="7">
        <f>IF(SUMIF(Participation_Entry!B:B,A42,Participation_Entry!L:L)=0,"",SUMIF(Participation_Entry!B:B,A42,Participation_Entry!L:L))</f>
        <v>84.733400000000003</v>
      </c>
    </row>
    <row r="43" spans="1:4" hidden="1">
      <c r="A43" s="6">
        <v>455024</v>
      </c>
      <c r="B43" s="7" t="str">
        <f>IFERROR(VLOOKUP(A43,Employee_Master!A:B,2,0),"")</f>
        <v>Dileep Kumar</v>
      </c>
      <c r="C43" s="7" t="str">
        <f>IFERROR(VLOOKUP(A43,Employee_Master!A:B,3,0),"")</f>
        <v/>
      </c>
      <c r="D43" s="7">
        <f>IF(SUMIF(Participation_Entry!B:B,A43,Participation_Entry!L:L)=0,"",SUMIF(Participation_Entry!B:B,A43,Participation_Entry!L:L))</f>
        <v>103.9289</v>
      </c>
    </row>
    <row r="44" spans="1:4" hidden="1">
      <c r="A44" s="6">
        <v>460513</v>
      </c>
      <c r="B44" s="7" t="str">
        <f>IFERROR(VLOOKUP(A44,Employee_Master!A:B,2,0),"")</f>
        <v>Dinesh Kumar</v>
      </c>
      <c r="C44" s="7" t="str">
        <f>IFERROR(VLOOKUP(A44,Employee_Master!A:B,3,0),"")</f>
        <v/>
      </c>
      <c r="D44" s="7">
        <f>IF(SUMIF(Participation_Entry!B:B,A44,Participation_Entry!L:L)=0,"",SUMIF(Participation_Entry!B:B,A44,Participation_Entry!L:L))</f>
        <v>148.5712</v>
      </c>
    </row>
    <row r="45" spans="1:4" hidden="1">
      <c r="A45" s="6">
        <v>451567</v>
      </c>
      <c r="B45" s="7" t="str">
        <f>IFERROR(VLOOKUP(A45,Employee_Master!A:B,2,0),"")</f>
        <v xml:space="preserve">Gaurav Kumar  </v>
      </c>
      <c r="C45" s="7" t="str">
        <f>IFERROR(VLOOKUP(A45,Employee_Master!A:B,3,0),"")</f>
        <v/>
      </c>
      <c r="D45" s="7">
        <f>IF(SUMIF(Participation_Entry!B:B,A45,Participation_Entry!L:L)=0,"",SUMIF(Participation_Entry!B:B,A45,Participation_Entry!L:L))</f>
        <v>30</v>
      </c>
    </row>
    <row r="46" spans="1:4" hidden="1">
      <c r="A46" s="6">
        <v>420533</v>
      </c>
      <c r="B46" s="7" t="str">
        <f>IFERROR(VLOOKUP(A46,Employee_Master!A:B,2,0),"")</f>
        <v>Gaurav Saxena</v>
      </c>
      <c r="C46" s="7" t="str">
        <f>IFERROR(VLOOKUP(A46,Employee_Master!A:B,3,0),"")</f>
        <v/>
      </c>
      <c r="D46" s="7">
        <f>IF(SUMIF(Participation_Entry!B:B,A46,Participation_Entry!L:L)=0,"",SUMIF(Participation_Entry!B:B,A46,Participation_Entry!L:L))</f>
        <v>79.083699999999993</v>
      </c>
    </row>
    <row r="47" spans="1:4">
      <c r="A47" s="6">
        <v>465181</v>
      </c>
      <c r="B47" s="7" t="str">
        <f>IFERROR(VLOOKUP(A47,Employee_Master!A:B,2,0),"")</f>
        <v/>
      </c>
      <c r="C47" s="7" t="str">
        <f>IFERROR(VLOOKUP(A47,Employee_Master!A:B,3,0),"")</f>
        <v/>
      </c>
      <c r="D47" s="7" t="str">
        <f>IF(SUMIF(Participation_Entry!B:B,A47,Participation_Entry!L:L)=0,"",SUMIF(Participation_Entry!B:B,A47,Participation_Entry!L:L))</f>
        <v/>
      </c>
    </row>
    <row r="48" spans="1:4" hidden="1">
      <c r="A48" s="6">
        <v>452991</v>
      </c>
      <c r="B48" s="7" t="str">
        <f>IFERROR(VLOOKUP(A48,Employee_Master!A:B,2,0),"")</f>
        <v>Gourav Rohilla</v>
      </c>
      <c r="C48" s="7" t="str">
        <f>IFERROR(VLOOKUP(A48,Employee_Master!A:B,3,0),"")</f>
        <v/>
      </c>
      <c r="D48" s="7">
        <f>IF(SUMIF(Participation_Entry!B:B,A48,Participation_Entry!L:L)=0,"",SUMIF(Participation_Entry!B:B,A48,Participation_Entry!L:L))</f>
        <v>73.977499999999992</v>
      </c>
    </row>
    <row r="49" spans="1:4" hidden="1">
      <c r="A49" s="6">
        <v>408627</v>
      </c>
      <c r="B49" s="7" t="str">
        <f>IFERROR(VLOOKUP(A49,Employee_Master!A:B,2,0),"")</f>
        <v>Govind Rai</v>
      </c>
      <c r="C49" s="7" t="str">
        <f>IFERROR(VLOOKUP(A49,Employee_Master!A:B,3,0),"")</f>
        <v/>
      </c>
      <c r="D49" s="7">
        <f>IF(SUMIF(Participation_Entry!B:B,A49,Participation_Entry!L:L)=0,"",SUMIF(Participation_Entry!B:B,A49,Participation_Entry!L:L))</f>
        <v>87.617699999999999</v>
      </c>
    </row>
    <row r="50" spans="1:4">
      <c r="A50" s="6">
        <v>450436</v>
      </c>
      <c r="B50" s="7" t="str">
        <f>IFERROR(VLOOKUP(A50,Employee_Master!A:B,2,0),"")</f>
        <v/>
      </c>
      <c r="C50" s="7" t="str">
        <f>IFERROR(VLOOKUP(A50,Employee_Master!A:B,3,0),"")</f>
        <v/>
      </c>
      <c r="D50" s="7" t="str">
        <f>IF(SUMIF(Participation_Entry!B:B,A50,Participation_Entry!L:L)=0,"",SUMIF(Participation_Entry!B:B,A50,Participation_Entry!L:L))</f>
        <v/>
      </c>
    </row>
    <row r="51" spans="1:4" hidden="1">
      <c r="A51" s="6">
        <v>463097</v>
      </c>
      <c r="B51" s="7" t="str">
        <f>IFERROR(VLOOKUP(A51,Employee_Master!A:B,2,0),"")</f>
        <v>Gurkamalpreet Singh</v>
      </c>
      <c r="C51" s="7" t="str">
        <f>IFERROR(VLOOKUP(A51,Employee_Master!A:B,3,0),"")</f>
        <v/>
      </c>
      <c r="D51" s="7">
        <f>IF(SUMIF(Participation_Entry!B:B,A51,Participation_Entry!L:L)=0,"",SUMIF(Participation_Entry!B:B,A51,Participation_Entry!L:L))</f>
        <v>20</v>
      </c>
    </row>
    <row r="52" spans="1:4" hidden="1">
      <c r="A52" s="6">
        <v>435548</v>
      </c>
      <c r="B52" s="7" t="str">
        <f>IFERROR(VLOOKUP(A52,Employee_Master!A:B,2,0),"")</f>
        <v>Gurwant Sran</v>
      </c>
      <c r="C52" s="7" t="str">
        <f>IFERROR(VLOOKUP(A52,Employee_Master!A:B,3,0),"")</f>
        <v/>
      </c>
      <c r="D52" s="7">
        <f>IF(SUMIF(Participation_Entry!B:B,A52,Participation_Entry!L:L)=0,"",SUMIF(Participation_Entry!B:B,A52,Participation_Entry!L:L))</f>
        <v>209.4041</v>
      </c>
    </row>
    <row r="53" spans="1:4" hidden="1">
      <c r="A53" s="6">
        <v>448882</v>
      </c>
      <c r="B53" s="7" t="str">
        <f>IFERROR(VLOOKUP(A53,Employee_Master!A:B,2,0),"")</f>
        <v>Gurwinder Singh</v>
      </c>
      <c r="C53" s="7" t="str">
        <f>IFERROR(VLOOKUP(A53,Employee_Master!A:B,3,0),"")</f>
        <v/>
      </c>
      <c r="D53" s="7">
        <f>IF(SUMIF(Participation_Entry!B:B,A53,Participation_Entry!L:L)=0,"",SUMIF(Participation_Entry!B:B,A53,Participation_Entry!L:L))</f>
        <v>69.605100000000007</v>
      </c>
    </row>
    <row r="54" spans="1:4" hidden="1">
      <c r="A54" s="6">
        <v>428544</v>
      </c>
      <c r="B54" s="7" t="str">
        <f>IFERROR(VLOOKUP(A54,Employee_Master!A:B,2,0),"")</f>
        <v>Harjot Singh</v>
      </c>
      <c r="C54" s="7" t="str">
        <f>IFERROR(VLOOKUP(A54,Employee_Master!A:B,3,0),"")</f>
        <v/>
      </c>
      <c r="D54" s="7">
        <f>IF(SUMIF(Participation_Entry!B:B,A54,Participation_Entry!L:L)=0,"",SUMIF(Participation_Entry!B:B,A54,Participation_Entry!L:L))</f>
        <v>163.40690000000001</v>
      </c>
    </row>
    <row r="55" spans="1:4" hidden="1">
      <c r="A55" s="6">
        <v>479348</v>
      </c>
      <c r="B55" s="7" t="str">
        <f>IFERROR(VLOOKUP(A55,Employee_Master!A:B,2,0),"")</f>
        <v>Harmandeep</v>
      </c>
      <c r="C55" s="7" t="str">
        <f>IFERROR(VLOOKUP(A55,Employee_Master!A:B,3,0),"")</f>
        <v/>
      </c>
      <c r="D55" s="7">
        <f>IF(SUMIF(Participation_Entry!B:B,A55,Participation_Entry!L:L)=0,"",SUMIF(Participation_Entry!B:B,A55,Participation_Entry!L:L))</f>
        <v>54.667199999999994</v>
      </c>
    </row>
    <row r="56" spans="1:4" hidden="1">
      <c r="A56" s="6">
        <v>722183</v>
      </c>
      <c r="B56" s="7" t="str">
        <f>IFERROR(VLOOKUP(A56,Employee_Master!A:B,2,0),"")</f>
        <v>Harpreet Kaur Malik</v>
      </c>
      <c r="C56" s="7" t="str">
        <f>IFERROR(VLOOKUP(A56,Employee_Master!A:B,3,0),"")</f>
        <v/>
      </c>
      <c r="D56" s="7">
        <f>IF(SUMIF(Participation_Entry!B:B,A56,Participation_Entry!L:L)=0,"",SUMIF(Participation_Entry!B:B,A56,Participation_Entry!L:L))</f>
        <v>228.6558</v>
      </c>
    </row>
    <row r="57" spans="1:4">
      <c r="A57" s="6">
        <v>452116</v>
      </c>
      <c r="B57" s="7" t="str">
        <f>IFERROR(VLOOKUP(A57,Employee_Master!A:B,2,0),"")</f>
        <v/>
      </c>
      <c r="C57" s="7" t="str">
        <f>IFERROR(VLOOKUP(A57,Employee_Master!A:B,3,0),"")</f>
        <v/>
      </c>
      <c r="D57" s="7" t="str">
        <f>IF(SUMIF(Participation_Entry!B:B,A57,Participation_Entry!L:L)=0,"",SUMIF(Participation_Entry!B:B,A57,Participation_Entry!L:L))</f>
        <v/>
      </c>
    </row>
    <row r="58" spans="1:4" hidden="1">
      <c r="A58" s="6">
        <v>487476</v>
      </c>
      <c r="B58" s="7" t="str">
        <f>IFERROR(VLOOKUP(A58,Employee_Master!A:B,2,0),"")</f>
        <v>Harshdeep Singh</v>
      </c>
      <c r="C58" s="7" t="str">
        <f>IFERROR(VLOOKUP(A58,Employee_Master!A:B,3,0),"")</f>
        <v/>
      </c>
      <c r="D58" s="7" t="str">
        <f>IF(SUMIF(Participation_Entry!B:B,A58,Participation_Entry!L:L)=0,"",SUMIF(Participation_Entry!B:B,A58,Participation_Entry!L:L))</f>
        <v/>
      </c>
    </row>
    <row r="59" spans="1:4" hidden="1">
      <c r="A59" s="6">
        <v>464193</v>
      </c>
      <c r="B59" s="7" t="str">
        <f>IFERROR(VLOOKUP(A59,Employee_Master!A:B,2,0),"")</f>
        <v>Hemant Singh</v>
      </c>
      <c r="C59" s="7" t="str">
        <f>IFERROR(VLOOKUP(A59,Employee_Master!A:B,3,0),"")</f>
        <v/>
      </c>
      <c r="D59" s="7">
        <f>IF(SUMIF(Participation_Entry!B:B,A59,Participation_Entry!L:L)=0,"",SUMIF(Participation_Entry!B:B,A59,Participation_Entry!L:L))</f>
        <v>126.96260000000001</v>
      </c>
    </row>
    <row r="60" spans="1:4" hidden="1">
      <c r="A60" s="6">
        <v>464188</v>
      </c>
      <c r="B60" s="7" t="str">
        <f>IFERROR(VLOOKUP(A60,Employee_Master!A:B,2,0),"")</f>
        <v>Himanshu Saini</v>
      </c>
      <c r="C60" s="7" t="str">
        <f>IFERROR(VLOOKUP(A60,Employee_Master!A:B,3,0),"")</f>
        <v/>
      </c>
      <c r="D60" s="7">
        <f>IF(SUMIF(Participation_Entry!B:B,A60,Participation_Entry!L:L)=0,"",SUMIF(Participation_Entry!B:B,A60,Participation_Entry!L:L))</f>
        <v>216.4675</v>
      </c>
    </row>
    <row r="61" spans="1:4" hidden="1">
      <c r="A61" s="6">
        <v>437534</v>
      </c>
      <c r="B61" s="7" t="str">
        <f>IFERROR(VLOOKUP(A61,Employee_Master!A:B,2,0),"")</f>
        <v>Himanshu Sangar</v>
      </c>
      <c r="C61" s="7" t="str">
        <f>IFERROR(VLOOKUP(A61,Employee_Master!A:B,3,0),"")</f>
        <v/>
      </c>
      <c r="D61" s="7">
        <f>IF(SUMIF(Participation_Entry!B:B,A61,Participation_Entry!L:L)=0,"",SUMIF(Participation_Entry!B:B,A61,Participation_Entry!L:L))</f>
        <v>386.58439999999996</v>
      </c>
    </row>
    <row r="62" spans="1:4" hidden="1">
      <c r="A62" s="6">
        <v>460764</v>
      </c>
      <c r="B62" s="7" t="str">
        <f>IFERROR(VLOOKUP(A62,Employee_Master!A:B,2,0),"")</f>
        <v>Himanshu Yadav</v>
      </c>
      <c r="C62" s="7" t="str">
        <f>IFERROR(VLOOKUP(A62,Employee_Master!A:B,3,0),"")</f>
        <v/>
      </c>
      <c r="D62" s="7">
        <f>IF(SUMIF(Participation_Entry!B:B,A62,Participation_Entry!L:L)=0,"",SUMIF(Participation_Entry!B:B,A62,Participation_Entry!L:L))</f>
        <v>58.929700000000004</v>
      </c>
    </row>
    <row r="63" spans="1:4" hidden="1">
      <c r="A63" s="6">
        <v>479724</v>
      </c>
      <c r="B63" s="7" t="str">
        <f>IFERROR(VLOOKUP(A63,Employee_Master!A:B,2,0),"")</f>
        <v>Honey</v>
      </c>
      <c r="C63" s="7" t="str">
        <f>IFERROR(VLOOKUP(A63,Employee_Master!A:B,3,0),"")</f>
        <v/>
      </c>
      <c r="D63" s="7">
        <f>IF(SUMIF(Participation_Entry!B:B,A63,Participation_Entry!L:L)=0,"",SUMIF(Participation_Entry!B:B,A63,Participation_Entry!L:L))</f>
        <v>131.0642</v>
      </c>
    </row>
    <row r="64" spans="1:4" hidden="1">
      <c r="A64" s="6">
        <v>478270</v>
      </c>
      <c r="B64" s="7" t="str">
        <f>IFERROR(VLOOKUP(A64,Employee_Master!A:B,2,0),"")</f>
        <v xml:space="preserve">Inzmam Ali </v>
      </c>
      <c r="C64" s="7" t="str">
        <f>IFERROR(VLOOKUP(A64,Employee_Master!A:B,3,0),"")</f>
        <v/>
      </c>
      <c r="D64" s="7">
        <f>IF(SUMIF(Participation_Entry!B:B,A64,Participation_Entry!L:L)=0,"",SUMIF(Participation_Entry!B:B,A64,Participation_Entry!L:L))</f>
        <v>30.583300000000001</v>
      </c>
    </row>
    <row r="65" spans="1:4" hidden="1">
      <c r="A65" s="6">
        <v>478377</v>
      </c>
      <c r="B65" s="7" t="str">
        <f>IFERROR(VLOOKUP(A65,Employee_Master!A:B,2,0),"")</f>
        <v xml:space="preserve">Ishi Verma </v>
      </c>
      <c r="C65" s="7" t="str">
        <f>IFERROR(VLOOKUP(A65,Employee_Master!A:B,3,0),"")</f>
        <v/>
      </c>
      <c r="D65" s="7">
        <f>IF(SUMIF(Participation_Entry!B:B,A65,Participation_Entry!L:L)=0,"",SUMIF(Participation_Entry!B:B,A65,Participation_Entry!L:L))</f>
        <v>128.62200000000001</v>
      </c>
    </row>
    <row r="66" spans="1:4" hidden="1">
      <c r="A66" s="6">
        <v>458702</v>
      </c>
      <c r="B66" s="7" t="str">
        <f>IFERROR(VLOOKUP(A66,Employee_Master!A:B,2,0),"")</f>
        <v>Jasbeer Singh</v>
      </c>
      <c r="C66" s="7" t="str">
        <f>IFERROR(VLOOKUP(A66,Employee_Master!A:B,3,0),"")</f>
        <v/>
      </c>
      <c r="D66" s="7">
        <f>IF(SUMIF(Participation_Entry!B:B,A66,Participation_Entry!L:L)=0,"",SUMIF(Participation_Entry!B:B,A66,Participation_Entry!L:L))</f>
        <v>352.71990000000005</v>
      </c>
    </row>
    <row r="67" spans="1:4" hidden="1">
      <c r="A67" s="6">
        <v>473266</v>
      </c>
      <c r="B67" s="7" t="str">
        <f>IFERROR(VLOOKUP(A67,Employee_Master!A:B,2,0),"")</f>
        <v>Jitender Yadav</v>
      </c>
      <c r="C67" s="7" t="str">
        <f>IFERROR(VLOOKUP(A67,Employee_Master!A:B,3,0),"")</f>
        <v/>
      </c>
      <c r="D67" s="7">
        <f>IF(SUMIF(Participation_Entry!B:B,A67,Participation_Entry!L:L)=0,"",SUMIF(Participation_Entry!B:B,A67,Participation_Entry!L:L))</f>
        <v>161.10769999999999</v>
      </c>
    </row>
    <row r="68" spans="1:4" hidden="1">
      <c r="A68" s="6">
        <v>710555</v>
      </c>
      <c r="B68" s="7" t="str">
        <f>IFERROR(VLOOKUP(A68,Employee_Master!A:B,2,0),"")</f>
        <v>Jyoti Chauhan</v>
      </c>
      <c r="C68" s="7" t="str">
        <f>IFERROR(VLOOKUP(A68,Employee_Master!A:B,3,0),"")</f>
        <v/>
      </c>
      <c r="D68" s="7">
        <f>IF(SUMIF(Participation_Entry!B:B,A68,Participation_Entry!L:L)=0,"",SUMIF(Participation_Entry!B:B,A68,Participation_Entry!L:L))</f>
        <v>66.108199999999997</v>
      </c>
    </row>
    <row r="69" spans="1:4" hidden="1">
      <c r="A69" s="6">
        <v>710013</v>
      </c>
      <c r="B69" s="7" t="str">
        <f>IFERROR(VLOOKUP(A69,Employee_Master!A:B,2,0),"")</f>
        <v>Jyoti Saini</v>
      </c>
      <c r="C69" s="7" t="str">
        <f>IFERROR(VLOOKUP(A69,Employee_Master!A:B,3,0),"")</f>
        <v/>
      </c>
      <c r="D69" s="7">
        <f>IF(SUMIF(Participation_Entry!B:B,A69,Participation_Entry!L:L)=0,"",SUMIF(Participation_Entry!B:B,A69,Participation_Entry!L:L))</f>
        <v>158.42850000000001</v>
      </c>
    </row>
    <row r="70" spans="1:4" hidden="1">
      <c r="A70" s="6">
        <v>450256</v>
      </c>
      <c r="B70" s="7" t="str">
        <f>IFERROR(VLOOKUP(A70,Employee_Master!A:B,2,0),"")</f>
        <v>Jyotish  Patar</v>
      </c>
      <c r="C70" s="7" t="str">
        <f>IFERROR(VLOOKUP(A70,Employee_Master!A:B,3,0),"")</f>
        <v/>
      </c>
      <c r="D70" s="7">
        <f>IF(SUMIF(Participation_Entry!B:B,A70,Participation_Entry!L:L)=0,"",SUMIF(Participation_Entry!B:B,A70,Participation_Entry!L:L))</f>
        <v>103.12729999999999</v>
      </c>
    </row>
    <row r="71" spans="1:4" hidden="1">
      <c r="A71" s="6">
        <v>436468</v>
      </c>
      <c r="B71" s="7" t="str">
        <f>IFERROR(VLOOKUP(A71,Employee_Master!A:B,2,0),"")</f>
        <v>Karan Singh</v>
      </c>
      <c r="C71" s="7" t="str">
        <f>IFERROR(VLOOKUP(A71,Employee_Master!A:B,3,0),"")</f>
        <v/>
      </c>
      <c r="D71" s="7">
        <f>IF(SUMIF(Participation_Entry!B:B,A71,Participation_Entry!L:L)=0,"",SUMIF(Participation_Entry!B:B,A71,Participation_Entry!L:L))</f>
        <v>27.152999999999999</v>
      </c>
    </row>
    <row r="72" spans="1:4" hidden="1">
      <c r="A72" s="6">
        <v>463833</v>
      </c>
      <c r="B72" s="7" t="str">
        <f>IFERROR(VLOOKUP(A72,Employee_Master!A:B,2,0),"")</f>
        <v>Kartik Shakya</v>
      </c>
      <c r="C72" s="7" t="str">
        <f>IFERROR(VLOOKUP(A72,Employee_Master!A:B,3,0),"")</f>
        <v/>
      </c>
      <c r="D72" s="7">
        <f>IF(SUMIF(Participation_Entry!B:B,A72,Participation_Entry!L:L)=0,"",SUMIF(Participation_Entry!B:B,A72,Participation_Entry!L:L))</f>
        <v>219.9375</v>
      </c>
    </row>
    <row r="73" spans="1:4" hidden="1">
      <c r="A73" s="6">
        <v>709664</v>
      </c>
      <c r="B73" s="7" t="str">
        <f>IFERROR(VLOOKUP(A73,Employee_Master!A:B,2,0),"")</f>
        <v>Kavita Rathore</v>
      </c>
      <c r="C73" s="7" t="str">
        <f>IFERROR(VLOOKUP(A73,Employee_Master!A:B,3,0),"")</f>
        <v/>
      </c>
      <c r="D73" s="7">
        <f>IF(SUMIF(Participation_Entry!B:B,A73,Participation_Entry!L:L)=0,"",SUMIF(Participation_Entry!B:B,A73,Participation_Entry!L:L))</f>
        <v>123.2654</v>
      </c>
    </row>
    <row r="74" spans="1:4" hidden="1">
      <c r="A74" s="6">
        <v>450694</v>
      </c>
      <c r="B74" s="7" t="str">
        <f>IFERROR(VLOOKUP(A74,Employee_Master!A:B,2,0),"")</f>
        <v>Kawaljot Kaur</v>
      </c>
      <c r="C74" s="7" t="str">
        <f>IFERROR(VLOOKUP(A74,Employee_Master!A:B,3,0),"")</f>
        <v/>
      </c>
      <c r="D74" s="7">
        <f>IF(SUMIF(Participation_Entry!B:B,A74,Participation_Entry!L:L)=0,"",SUMIF(Participation_Entry!B:B,A74,Participation_Entry!L:L))</f>
        <v>113.4609</v>
      </c>
    </row>
    <row r="75" spans="1:4" hidden="1">
      <c r="A75" s="6">
        <v>416828</v>
      </c>
      <c r="B75" s="7" t="str">
        <f>IFERROR(VLOOKUP(A75,Employee_Master!A:B,2,0),"")</f>
        <v>Keshav Dev</v>
      </c>
      <c r="C75" s="7" t="str">
        <f>IFERROR(VLOOKUP(A75,Employee_Master!A:B,3,0),"")</f>
        <v/>
      </c>
      <c r="D75" s="7">
        <f>IF(SUMIF(Participation_Entry!B:B,A75,Participation_Entry!L:L)=0,"",SUMIF(Participation_Entry!B:B,A75,Participation_Entry!L:L))</f>
        <v>188.24850000000004</v>
      </c>
    </row>
    <row r="76" spans="1:4" hidden="1">
      <c r="A76" s="14">
        <v>396485</v>
      </c>
      <c r="B76" s="7" t="str">
        <f>IFERROR(VLOOKUP(A76,Employee_Master!A:B,2,0),"")</f>
        <v>Khushbir Singh</v>
      </c>
      <c r="C76" s="7" t="str">
        <f>IFERROR(VLOOKUP(A76,Employee_Master!A:B,3,0),"")</f>
        <v/>
      </c>
      <c r="D76" s="7">
        <f>IF(SUMIF(Participation_Entry!B:B,A76,Participation_Entry!L:L)=0,"",SUMIF(Participation_Entry!B:B,A76,Participation_Entry!L:L))</f>
        <v>287.0018</v>
      </c>
    </row>
    <row r="77" spans="1:4" hidden="1">
      <c r="A77" s="6">
        <v>721899</v>
      </c>
      <c r="B77" s="7" t="str">
        <f>IFERROR(VLOOKUP(A77,Employee_Master!A:B,2,0),"")</f>
        <v>Khushboo Yadav</v>
      </c>
      <c r="C77" s="7" t="str">
        <f>IFERROR(VLOOKUP(A77,Employee_Master!A:B,3,0),"")</f>
        <v/>
      </c>
      <c r="D77" s="7">
        <f>IF(SUMIF(Participation_Entry!B:B,A77,Participation_Entry!L:L)=0,"",SUMIF(Participation_Entry!B:B,A77,Participation_Entry!L:L))</f>
        <v>84.089500000000001</v>
      </c>
    </row>
    <row r="78" spans="1:4" hidden="1">
      <c r="A78" s="6">
        <v>449891</v>
      </c>
      <c r="B78" s="7" t="str">
        <f>IFERROR(VLOOKUP(A78,Employee_Master!A:B,2,0),"")</f>
        <v>Komalpreet</v>
      </c>
      <c r="C78" s="7" t="str">
        <f>IFERROR(VLOOKUP(A78,Employee_Master!A:B,3,0),"")</f>
        <v/>
      </c>
      <c r="D78" s="7">
        <f>IF(SUMIF(Participation_Entry!B:B,A78,Participation_Entry!L:L)=0,"",SUMIF(Participation_Entry!B:B,A78,Participation_Entry!L:L))</f>
        <v>229.83539999999999</v>
      </c>
    </row>
    <row r="79" spans="1:4" hidden="1">
      <c r="A79" s="6">
        <v>722393</v>
      </c>
      <c r="B79" s="7" t="str">
        <f>IFERROR(VLOOKUP(A79,Employee_Master!A:B,2,0),"")</f>
        <v>Koteswara Devireddy</v>
      </c>
      <c r="C79" s="7" t="str">
        <f>IFERROR(VLOOKUP(A79,Employee_Master!A:B,3,0),"")</f>
        <v/>
      </c>
      <c r="D79" s="7">
        <f>IF(SUMIF(Participation_Entry!B:B,A79,Participation_Entry!L:L)=0,"",SUMIF(Participation_Entry!B:B,A79,Participation_Entry!L:L))</f>
        <v>187.8758</v>
      </c>
    </row>
    <row r="80" spans="1:4" hidden="1">
      <c r="A80" s="6">
        <v>440620</v>
      </c>
      <c r="B80" s="7" t="str">
        <f>IFERROR(VLOOKUP(A80,Employee_Master!A:B,2,0),"")</f>
        <v>Kuldeep Singh</v>
      </c>
      <c r="C80" s="7" t="str">
        <f>IFERROR(VLOOKUP(A80,Employee_Master!A:B,3,0),"")</f>
        <v/>
      </c>
      <c r="D80" s="7">
        <f>IF(SUMIF(Participation_Entry!B:B,A80,Participation_Entry!L:L)=0,"",SUMIF(Participation_Entry!B:B,A80,Participation_Entry!L:L))</f>
        <v>157.3716</v>
      </c>
    </row>
    <row r="81" spans="1:4" hidden="1">
      <c r="A81" s="6">
        <v>476372</v>
      </c>
      <c r="B81" s="7" t="str">
        <f>IFERROR(VLOOKUP(A81,Employee_Master!A:B,2,0),"")</f>
        <v>Laksh</v>
      </c>
      <c r="C81" s="7" t="str">
        <f>IFERROR(VLOOKUP(A81,Employee_Master!A:B,3,0),"")</f>
        <v/>
      </c>
      <c r="D81" s="7">
        <f>IF(SUMIF(Participation_Entry!B:B,A81,Participation_Entry!L:L)=0,"",SUMIF(Participation_Entry!B:B,A81,Participation_Entry!L:L))</f>
        <v>121.708</v>
      </c>
    </row>
    <row r="82" spans="1:4" hidden="1">
      <c r="A82" s="6">
        <v>450224</v>
      </c>
      <c r="B82" s="7" t="str">
        <f>IFERROR(VLOOKUP(A82,Employee_Master!A:B,2,0),"")</f>
        <v>Lalit Nagar</v>
      </c>
      <c r="C82" s="7" t="str">
        <f>IFERROR(VLOOKUP(A82,Employee_Master!A:B,3,0),"")</f>
        <v/>
      </c>
      <c r="D82" s="7">
        <f>IF(SUMIF(Participation_Entry!B:B,A82,Participation_Entry!L:L)=0,"",SUMIF(Participation_Entry!B:B,A82,Participation_Entry!L:L))</f>
        <v>96.713600000000014</v>
      </c>
    </row>
    <row r="83" spans="1:4" hidden="1">
      <c r="A83" s="6">
        <v>460284</v>
      </c>
      <c r="B83" s="7" t="str">
        <f>IFERROR(VLOOKUP(A83,Employee_Master!A:B,2,0),"")</f>
        <v>Madhu Aggu</v>
      </c>
      <c r="C83" s="7" t="str">
        <f>IFERROR(VLOOKUP(A83,Employee_Master!A:B,3,0),"")</f>
        <v/>
      </c>
      <c r="D83" s="7">
        <f>IF(SUMIF(Participation_Entry!B:B,A83,Participation_Entry!L:L)=0,"",SUMIF(Participation_Entry!B:B,A83,Participation_Entry!L:L))</f>
        <v>89.449600000000004</v>
      </c>
    </row>
    <row r="84" spans="1:4" hidden="1">
      <c r="A84" s="6">
        <v>452059</v>
      </c>
      <c r="B84" s="7" t="str">
        <f>IFERROR(VLOOKUP(A84,Employee_Master!A:B,2,0),"")</f>
        <v>Mahi Singh</v>
      </c>
      <c r="C84" s="7" t="str">
        <f>IFERROR(VLOOKUP(A84,Employee_Master!A:B,3,0),"")</f>
        <v/>
      </c>
      <c r="D84" s="7">
        <f>IF(SUMIF(Participation_Entry!B:B,A84,Participation_Entry!L:L)=0,"",SUMIF(Participation_Entry!B:B,A84,Participation_Entry!L:L))</f>
        <v>72.911299999999997</v>
      </c>
    </row>
    <row r="85" spans="1:4">
      <c r="A85" s="6">
        <v>457795</v>
      </c>
      <c r="B85" s="7" t="str">
        <f>IFERROR(VLOOKUP(A85,Employee_Master!A:B,2,0),"")</f>
        <v/>
      </c>
      <c r="C85" s="7" t="str">
        <f>IFERROR(VLOOKUP(A85,Employee_Master!A:B,3,0),"")</f>
        <v/>
      </c>
      <c r="D85" s="7">
        <f>IF(SUMIF(Participation_Entry!B:B,A85,Participation_Entry!L:L)=0,"",SUMIF(Participation_Entry!B:B,A85,Participation_Entry!L:L))</f>
        <v>10.002700000000001</v>
      </c>
    </row>
    <row r="86" spans="1:4" hidden="1">
      <c r="A86" s="6">
        <v>434518</v>
      </c>
      <c r="B86" s="7" t="str">
        <f>IFERROR(VLOOKUP(A86,Employee_Master!A:B,2,0),"")</f>
        <v>Maneesh Mohan</v>
      </c>
      <c r="C86" s="7" t="str">
        <f>IFERROR(VLOOKUP(A86,Employee_Master!A:B,3,0),"")</f>
        <v/>
      </c>
      <c r="D86" s="7">
        <f>IF(SUMIF(Participation_Entry!B:B,A86,Participation_Entry!L:L)=0,"",SUMIF(Participation_Entry!B:B,A86,Participation_Entry!L:L))</f>
        <v>292.66610000000003</v>
      </c>
    </row>
    <row r="87" spans="1:4" hidden="1">
      <c r="A87" s="6">
        <v>450030</v>
      </c>
      <c r="B87" s="7" t="str">
        <f>IFERROR(VLOOKUP(A87,Employee_Master!A:B,2,0),"")</f>
        <v xml:space="preserve">Manish bisht </v>
      </c>
      <c r="C87" s="7" t="str">
        <f>IFERROR(VLOOKUP(A87,Employee_Master!A:B,3,0),"")</f>
        <v/>
      </c>
      <c r="D87" s="7">
        <f>IF(SUMIF(Participation_Entry!B:B,A87,Participation_Entry!L:L)=0,"",SUMIF(Participation_Entry!B:B,A87,Participation_Entry!L:L))</f>
        <v>186.44289999999998</v>
      </c>
    </row>
    <row r="88" spans="1:4" hidden="1">
      <c r="A88" s="6">
        <v>487107</v>
      </c>
      <c r="B88" s="7" t="str">
        <f>IFERROR(VLOOKUP(A88,Employee_Master!A:B,2,0),"")</f>
        <v>Manish Kr. Singh</v>
      </c>
      <c r="C88" s="7" t="str">
        <f>IFERROR(VLOOKUP(A88,Employee_Master!A:B,3,0),"")</f>
        <v/>
      </c>
      <c r="D88" s="7">
        <f>IF(SUMIF(Participation_Entry!B:B,A88,Participation_Entry!L:L)=0,"",SUMIF(Participation_Entry!B:B,A88,Participation_Entry!L:L))</f>
        <v>141.8998</v>
      </c>
    </row>
    <row r="89" spans="1:4" hidden="1">
      <c r="A89" s="6">
        <v>452799</v>
      </c>
      <c r="B89" s="7" t="str">
        <f>IFERROR(VLOOKUP(A89,Employee_Master!A:B,2,0),"")</f>
        <v>Manish Kukreti</v>
      </c>
      <c r="C89" s="7" t="str">
        <f>IFERROR(VLOOKUP(A89,Employee_Master!A:B,3,0),"")</f>
        <v/>
      </c>
      <c r="D89" s="7">
        <f>IF(SUMIF(Participation_Entry!B:B,A89,Participation_Entry!L:L)=0,"",SUMIF(Participation_Entry!B:B,A89,Participation_Entry!L:L))</f>
        <v>198.62699999999998</v>
      </c>
    </row>
    <row r="90" spans="1:4" hidden="1">
      <c r="A90" s="6">
        <v>433939</v>
      </c>
      <c r="B90" s="7" t="str">
        <f>IFERROR(VLOOKUP(A90,Employee_Master!A:B,2,0),"")</f>
        <v>Manish Kumar</v>
      </c>
      <c r="C90" s="7" t="str">
        <f>IFERROR(VLOOKUP(A90,Employee_Master!A:B,3,0),"")</f>
        <v/>
      </c>
      <c r="D90" s="7">
        <f>IF(SUMIF(Participation_Entry!B:B,A90,Participation_Entry!L:L)=0,"",SUMIF(Participation_Entry!B:B,A90,Participation_Entry!L:L))</f>
        <v>125.447</v>
      </c>
    </row>
    <row r="91" spans="1:4" hidden="1">
      <c r="A91" s="6">
        <v>457430</v>
      </c>
      <c r="B91" s="7" t="str">
        <f>IFERROR(VLOOKUP(A91,Employee_Master!A:B,2,0),"")</f>
        <v>Manish Kumar</v>
      </c>
      <c r="C91" s="7" t="str">
        <f>IFERROR(VLOOKUP(A91,Employee_Master!A:B,3,0),"")</f>
        <v/>
      </c>
      <c r="D91" s="7">
        <f>IF(SUMIF(Participation_Entry!B:B,A91,Participation_Entry!L:L)=0,"",SUMIF(Participation_Entry!B:B,A91,Participation_Entry!L:L))</f>
        <v>119.31460000000001</v>
      </c>
    </row>
    <row r="92" spans="1:4" hidden="1">
      <c r="A92" s="6">
        <v>459464</v>
      </c>
      <c r="B92" s="7" t="str">
        <f>IFERROR(VLOOKUP(A92,Employee_Master!A:B,2,0),"")</f>
        <v>Manish Kumar Maury</v>
      </c>
      <c r="C92" s="7" t="str">
        <f>IFERROR(VLOOKUP(A92,Employee_Master!A:B,3,0),"")</f>
        <v/>
      </c>
      <c r="D92" s="7">
        <f>IF(SUMIF(Participation_Entry!B:B,A92,Participation_Entry!L:L)=0,"",SUMIF(Participation_Entry!B:B,A92,Participation_Entry!L:L))</f>
        <v>77.955799999999996</v>
      </c>
    </row>
    <row r="93" spans="1:4" hidden="1">
      <c r="A93" s="6">
        <v>458749</v>
      </c>
      <c r="B93" s="7" t="str">
        <f>IFERROR(VLOOKUP(A93,Employee_Master!A:B,2,0),"")</f>
        <v>Manoj Kumar Jangra</v>
      </c>
      <c r="C93" s="7" t="str">
        <f>IFERROR(VLOOKUP(A93,Employee_Master!A:B,3,0),"")</f>
        <v/>
      </c>
      <c r="D93" s="7">
        <f>IF(SUMIF(Participation_Entry!B:B,A93,Participation_Entry!L:L)=0,"",SUMIF(Participation_Entry!B:B,A93,Participation_Entry!L:L))</f>
        <v>130.8965</v>
      </c>
    </row>
    <row r="94" spans="1:4" hidden="1">
      <c r="A94" s="6">
        <v>416087</v>
      </c>
      <c r="B94" s="7" t="str">
        <f>IFERROR(VLOOKUP(A94,Employee_Master!A:B,2,0),"")</f>
        <v>Manoj Singh</v>
      </c>
      <c r="C94" s="7" t="str">
        <f>IFERROR(VLOOKUP(A94,Employee_Master!A:B,3,0),"")</f>
        <v/>
      </c>
      <c r="D94" s="7">
        <f>IF(SUMIF(Participation_Entry!B:B,A94,Participation_Entry!L:L)=0,"",SUMIF(Participation_Entry!B:B,A94,Participation_Entry!L:L))</f>
        <v>40</v>
      </c>
    </row>
    <row r="95" spans="1:4" hidden="1">
      <c r="A95" s="6">
        <v>450171</v>
      </c>
      <c r="B95" s="7" t="str">
        <f>IFERROR(VLOOKUP(A95,Employee_Master!A:B,2,0),"")</f>
        <v>Manpreet Kaur</v>
      </c>
      <c r="C95" s="7" t="str">
        <f>IFERROR(VLOOKUP(A95,Employee_Master!A:B,3,0),"")</f>
        <v/>
      </c>
      <c r="D95" s="7">
        <f>IF(SUMIF(Participation_Entry!B:B,A95,Participation_Entry!L:L)=0,"",SUMIF(Participation_Entry!B:B,A95,Participation_Entry!L:L))</f>
        <v>162.43670000000003</v>
      </c>
    </row>
    <row r="96" spans="1:4" hidden="1">
      <c r="A96" s="6">
        <v>452075</v>
      </c>
      <c r="B96" s="7" t="str">
        <f>IFERROR(VLOOKUP(A96,Employee_Master!A:B,2,0),"")</f>
        <v>Mansi Yadav</v>
      </c>
      <c r="C96" s="7" t="str">
        <f>IFERROR(VLOOKUP(A96,Employee_Master!A:B,3,0),"")</f>
        <v/>
      </c>
      <c r="D96" s="7">
        <f>IF(SUMIF(Participation_Entry!B:B,A96,Participation_Entry!L:L)=0,"",SUMIF(Participation_Entry!B:B,A96,Participation_Entry!L:L))</f>
        <v>43.0837</v>
      </c>
    </row>
    <row r="97" spans="1:4" hidden="1">
      <c r="A97" s="14">
        <v>460692</v>
      </c>
      <c r="B97" s="7" t="str">
        <f>IFERROR(VLOOKUP(A97,Employee_Master!A:B,2,0),"")</f>
        <v>Mayank Arya</v>
      </c>
      <c r="C97" s="7" t="str">
        <f>IFERROR(VLOOKUP(A97,Employee_Master!A:B,3,0),"")</f>
        <v/>
      </c>
      <c r="D97" s="7">
        <f>IF(SUMIF(Participation_Entry!B:B,A97,Participation_Entry!L:L)=0,"",SUMIF(Participation_Entry!B:B,A97,Participation_Entry!L:L))</f>
        <v>170.72250000000003</v>
      </c>
    </row>
    <row r="98" spans="1:4" hidden="1">
      <c r="A98" s="6">
        <v>440774</v>
      </c>
      <c r="B98" s="7" t="str">
        <f>IFERROR(VLOOKUP(A98,Employee_Master!A:B,2,0),"")</f>
        <v>Mehnga Singh</v>
      </c>
      <c r="C98" s="7" t="str">
        <f>IFERROR(VLOOKUP(A98,Employee_Master!A:B,3,0),"")</f>
        <v/>
      </c>
      <c r="D98" s="7">
        <f>IF(SUMIF(Participation_Entry!B:B,A98,Participation_Entry!L:L)=0,"",SUMIF(Participation_Entry!B:B,A98,Participation_Entry!L:L))</f>
        <v>59.578499999999998</v>
      </c>
    </row>
    <row r="99" spans="1:4" hidden="1">
      <c r="A99" s="6">
        <v>468224</v>
      </c>
      <c r="B99" s="7" t="str">
        <f>IFERROR(VLOOKUP(A99,Employee_Master!A:B,2,0),"")</f>
        <v>Mohit Kumar</v>
      </c>
      <c r="C99" s="7" t="str">
        <f>IFERROR(VLOOKUP(A99,Employee_Master!A:B,3,0),"")</f>
        <v/>
      </c>
      <c r="D99" s="7">
        <f>IF(SUMIF(Participation_Entry!B:B,A99,Participation_Entry!L:L)=0,"",SUMIF(Participation_Entry!B:B,A99,Participation_Entry!L:L))</f>
        <v>86.85499999999999</v>
      </c>
    </row>
    <row r="100" spans="1:4" hidden="1">
      <c r="A100" s="6">
        <v>464871</v>
      </c>
      <c r="B100" s="7" t="str">
        <f>IFERROR(VLOOKUP(A100,Employee_Master!A:B,2,0),"")</f>
        <v>Mohit Sahu</v>
      </c>
      <c r="C100" s="7" t="str">
        <f>IFERROR(VLOOKUP(A100,Employee_Master!A:B,3,0),"")</f>
        <v/>
      </c>
      <c r="D100" s="7">
        <f>IF(SUMIF(Participation_Entry!B:B,A100,Participation_Entry!L:L)=0,"",SUMIF(Participation_Entry!B:B,A100,Participation_Entry!L:L))</f>
        <v>196.60309999999998</v>
      </c>
    </row>
    <row r="101" spans="1:4" hidden="1">
      <c r="A101" s="6">
        <v>465255</v>
      </c>
      <c r="B101" s="7" t="str">
        <f>IFERROR(VLOOKUP(A101,Employee_Master!A:B,2,0),"")</f>
        <v>Mukul Suman</v>
      </c>
      <c r="C101" s="7" t="str">
        <f>IFERROR(VLOOKUP(A101,Employee_Master!A:B,3,0),"")</f>
        <v/>
      </c>
      <c r="D101" s="7">
        <f>IF(SUMIF(Participation_Entry!B:B,A101,Participation_Entry!L:L)=0,"",SUMIF(Participation_Entry!B:B,A101,Participation_Entry!L:L))</f>
        <v>201.636</v>
      </c>
    </row>
    <row r="102" spans="1:4" hidden="1">
      <c r="A102" s="6">
        <v>465254</v>
      </c>
      <c r="B102" s="7" t="str">
        <f>IFERROR(VLOOKUP(A102,Employee_Master!A:B,2,0),"")</f>
        <v>Narender Kumar</v>
      </c>
      <c r="C102" s="7" t="str">
        <f>IFERROR(VLOOKUP(A102,Employee_Master!A:B,3,0),"")</f>
        <v/>
      </c>
      <c r="D102" s="7">
        <f>IF(SUMIF(Participation_Entry!B:B,A102,Participation_Entry!L:L)=0,"",SUMIF(Participation_Entry!B:B,A102,Participation_Entry!L:L))</f>
        <v>145.49760000000001</v>
      </c>
    </row>
    <row r="103" spans="1:4" hidden="1">
      <c r="A103" s="6">
        <v>424332</v>
      </c>
      <c r="B103" s="7" t="str">
        <f>IFERROR(VLOOKUP(A103,Employee_Master!A:B,2,0),"")</f>
        <v>Naresh Kumar</v>
      </c>
      <c r="C103" s="7" t="str">
        <f>IFERROR(VLOOKUP(A103,Employee_Master!A:B,3,0),"")</f>
        <v/>
      </c>
      <c r="D103" s="7">
        <f>IF(SUMIF(Participation_Entry!B:B,A103,Participation_Entry!L:L)=0,"",SUMIF(Participation_Entry!B:B,A103,Participation_Entry!L:L))</f>
        <v>157.2193</v>
      </c>
    </row>
    <row r="104" spans="1:4" hidden="1">
      <c r="A104" s="6">
        <v>716610</v>
      </c>
      <c r="B104" s="7" t="str">
        <f>IFERROR(VLOOKUP(A104,Employee_Master!A:B,2,0),"")</f>
        <v>Naval Singh</v>
      </c>
      <c r="C104" s="7" t="str">
        <f>IFERROR(VLOOKUP(A104,Employee_Master!A:B,3,0),"")</f>
        <v/>
      </c>
      <c r="D104" s="7">
        <f>IF(SUMIF(Participation_Entry!B:B,A104,Participation_Entry!L:L)=0,"",SUMIF(Participation_Entry!B:B,A104,Participation_Entry!L:L))</f>
        <v>277.39069999999998</v>
      </c>
    </row>
    <row r="105" spans="1:4" hidden="1">
      <c r="A105" s="14">
        <v>453949</v>
      </c>
      <c r="B105" s="7" t="str">
        <f>IFERROR(VLOOKUP(A105,Employee_Master!A:B,2,0),"")</f>
        <v>Naveen Kumar</v>
      </c>
      <c r="C105" s="7" t="str">
        <f>IFERROR(VLOOKUP(A105,Employee_Master!A:B,3,0),"")</f>
        <v/>
      </c>
      <c r="D105" s="7">
        <f>IF(SUMIF(Participation_Entry!B:B,A105,Participation_Entry!L:L)=0,"",SUMIF(Participation_Entry!B:B,A105,Participation_Entry!L:L))</f>
        <v>98.147499999999994</v>
      </c>
    </row>
    <row r="106" spans="1:4" hidden="1">
      <c r="A106" s="6">
        <v>471387</v>
      </c>
      <c r="B106" s="7" t="str">
        <f>IFERROR(VLOOKUP(A106,Employee_Master!A:B,2,0),"")</f>
        <v>Neeraj</v>
      </c>
      <c r="C106" s="7" t="str">
        <f>IFERROR(VLOOKUP(A106,Employee_Master!A:B,3,0),"")</f>
        <v/>
      </c>
      <c r="D106" s="7">
        <f>IF(SUMIF(Participation_Entry!B:B,A106,Participation_Entry!L:L)=0,"",SUMIF(Participation_Entry!B:B,A106,Participation_Entry!L:L))</f>
        <v>44.9998</v>
      </c>
    </row>
    <row r="107" spans="1:4" hidden="1">
      <c r="A107" s="14">
        <v>488518</v>
      </c>
      <c r="B107" s="7" t="str">
        <f>IFERROR(VLOOKUP(A107,Employee_Master!A:B,2,0),"")</f>
        <v>Neha Chaturvedi</v>
      </c>
      <c r="C107" s="7" t="str">
        <f>IFERROR(VLOOKUP(A107,Employee_Master!A:B,3,0),"")</f>
        <v/>
      </c>
      <c r="D107" s="7">
        <f>IF(SUMIF(Participation_Entry!B:B,A107,Participation_Entry!L:L)=0,"",SUMIF(Participation_Entry!B:B,A107,Participation_Entry!L:L))</f>
        <v>64.856899999999996</v>
      </c>
    </row>
    <row r="108" spans="1:4" hidden="1">
      <c r="A108" s="6">
        <v>450225</v>
      </c>
      <c r="B108" s="7" t="str">
        <f>IFERROR(VLOOKUP(A108,Employee_Master!A:B,2,0),"")</f>
        <v>Nikita</v>
      </c>
      <c r="C108" s="7" t="str">
        <f>IFERROR(VLOOKUP(A108,Employee_Master!A:B,3,0),"")</f>
        <v/>
      </c>
      <c r="D108" s="7">
        <f>IF(SUMIF(Participation_Entry!B:B,A108,Participation_Entry!L:L)=0,"",SUMIF(Participation_Entry!B:B,A108,Participation_Entry!L:L))</f>
        <v>73.96459999999999</v>
      </c>
    </row>
    <row r="109" spans="1:4" hidden="1">
      <c r="A109" s="6">
        <v>452121</v>
      </c>
      <c r="B109" s="7" t="str">
        <f>IFERROR(VLOOKUP(A109,Employee_Master!A:B,2,0),"")</f>
        <v>Nishi Singh</v>
      </c>
      <c r="C109" s="7" t="str">
        <f>IFERROR(VLOOKUP(A109,Employee_Master!A:B,3,0),"")</f>
        <v/>
      </c>
      <c r="D109" s="7">
        <f>IF(SUMIF(Participation_Entry!B:B,A109,Participation_Entry!L:L)=0,"",SUMIF(Participation_Entry!B:B,A109,Participation_Entry!L:L))</f>
        <v>189.79939999999999</v>
      </c>
    </row>
    <row r="110" spans="1:4" hidden="1">
      <c r="A110" s="6">
        <v>451513</v>
      </c>
      <c r="B110" s="7" t="str">
        <f>IFERROR(VLOOKUP(A110,Employee_Master!A:B,2,0),"")</f>
        <v>Nishith Soni</v>
      </c>
      <c r="C110" s="7" t="str">
        <f>IFERROR(VLOOKUP(A110,Employee_Master!A:B,3,0),"")</f>
        <v/>
      </c>
      <c r="D110" s="7" t="str">
        <f>IF(SUMIF(Participation_Entry!B:B,A110,Participation_Entry!L:L)=0,"",SUMIF(Participation_Entry!B:B,A110,Participation_Entry!L:L))</f>
        <v/>
      </c>
    </row>
    <row r="111" spans="1:4" hidden="1">
      <c r="A111" s="14">
        <v>435877</v>
      </c>
      <c r="B111" s="7" t="str">
        <f>IFERROR(VLOOKUP(A111,Employee_Master!A:B,2,0),"")</f>
        <v>Pardeep Kumar</v>
      </c>
      <c r="C111" s="7" t="str">
        <f>IFERROR(VLOOKUP(A111,Employee_Master!A:B,3,0),"")</f>
        <v/>
      </c>
      <c r="D111" s="7">
        <f>IF(SUMIF(Participation_Entry!B:B,A111,Participation_Entry!L:L)=0,"",SUMIF(Participation_Entry!B:B,A111,Participation_Entry!L:L))</f>
        <v>67.702100000000002</v>
      </c>
    </row>
    <row r="112" spans="1:4" hidden="1">
      <c r="A112" s="6">
        <v>445891</v>
      </c>
      <c r="B112" s="7" t="str">
        <f>IFERROR(VLOOKUP(A112,Employee_Master!A:B,2,0),"")</f>
        <v>Parmvir Singh</v>
      </c>
      <c r="C112" s="7" t="str">
        <f>IFERROR(VLOOKUP(A112,Employee_Master!A:B,3,0),"")</f>
        <v/>
      </c>
      <c r="D112" s="7">
        <f>IF(SUMIF(Participation_Entry!B:B,A112,Participation_Entry!L:L)=0,"",SUMIF(Participation_Entry!B:B,A112,Participation_Entry!L:L))</f>
        <v>37.414300000000004</v>
      </c>
    </row>
    <row r="113" spans="1:4" hidden="1">
      <c r="A113" s="6">
        <v>473015</v>
      </c>
      <c r="B113" s="7" t="str">
        <f>IFERROR(VLOOKUP(A113,Employee_Master!A:B,2,0),"")</f>
        <v>Partap</v>
      </c>
      <c r="C113" s="7" t="str">
        <f>IFERROR(VLOOKUP(A113,Employee_Master!A:B,3,0),"")</f>
        <v/>
      </c>
      <c r="D113" s="7">
        <f>IF(SUMIF(Participation_Entry!B:B,A113,Participation_Entry!L:L)=0,"",SUMIF(Participation_Entry!B:B,A113,Participation_Entry!L:L))</f>
        <v>100.354</v>
      </c>
    </row>
    <row r="114" spans="1:4" hidden="1">
      <c r="A114" s="6">
        <v>463059</v>
      </c>
      <c r="B114" s="7" t="str">
        <f>IFERROR(VLOOKUP(A114,Employee_Master!A:B,2,0),"")</f>
        <v>Parvinder</v>
      </c>
      <c r="C114" s="7" t="str">
        <f>IFERROR(VLOOKUP(A114,Employee_Master!A:B,3,0),"")</f>
        <v/>
      </c>
      <c r="D114" s="7">
        <f>IF(SUMIF(Participation_Entry!B:B,A114,Participation_Entry!L:L)=0,"",SUMIF(Participation_Entry!B:B,A114,Participation_Entry!L:L))</f>
        <v>158.31909999999999</v>
      </c>
    </row>
    <row r="115" spans="1:4">
      <c r="A115" s="6">
        <v>468887</v>
      </c>
      <c r="B115" s="7" t="str">
        <f>IFERROR(VLOOKUP(A115,Employee_Master!A:B,2,0),"")</f>
        <v/>
      </c>
      <c r="C115" s="7" t="str">
        <f>IFERROR(VLOOKUP(A115,Employee_Master!A:B,3,0),"")</f>
        <v/>
      </c>
      <c r="D115" s="7" t="str">
        <f>IF(SUMIF(Participation_Entry!B:B,A115,Participation_Entry!L:L)=0,"",SUMIF(Participation_Entry!B:B,A115,Participation_Entry!L:L))</f>
        <v/>
      </c>
    </row>
    <row r="116" spans="1:4" hidden="1">
      <c r="A116" s="6">
        <v>484877</v>
      </c>
      <c r="B116" s="7" t="str">
        <f>IFERROR(VLOOKUP(A116,Employee_Master!A:B,2,0),"")</f>
        <v>Prashant Gupta</v>
      </c>
      <c r="C116" s="7" t="str">
        <f>IFERROR(VLOOKUP(A116,Employee_Master!A:B,3,0),"")</f>
        <v/>
      </c>
      <c r="D116" s="7">
        <f>IF(SUMIF(Participation_Entry!B:B,A116,Participation_Entry!L:L)=0,"",SUMIF(Participation_Entry!B:B,A116,Participation_Entry!L:L))</f>
        <v>146.43189999999998</v>
      </c>
    </row>
    <row r="117" spans="1:4" hidden="1">
      <c r="A117" s="6">
        <v>440317</v>
      </c>
      <c r="B117" s="7" t="str">
        <f>IFERROR(VLOOKUP(A117,Employee_Master!A:B,2,0),"")</f>
        <v>Praveen Chandel</v>
      </c>
      <c r="C117" s="7" t="str">
        <f>IFERROR(VLOOKUP(A117,Employee_Master!A:B,3,0),"")</f>
        <v/>
      </c>
      <c r="D117" s="7">
        <f>IF(SUMIF(Participation_Entry!B:B,A117,Participation_Entry!L:L)=0,"",SUMIF(Participation_Entry!B:B,A117,Participation_Entry!L:L))</f>
        <v>120.3939</v>
      </c>
    </row>
    <row r="118" spans="1:4" hidden="1">
      <c r="A118" s="6">
        <v>707131</v>
      </c>
      <c r="B118" s="7" t="str">
        <f>IFERROR(VLOOKUP(A118,Employee_Master!A:B,2,0),"")</f>
        <v>Puja Bhalotia</v>
      </c>
      <c r="C118" s="7" t="str">
        <f>IFERROR(VLOOKUP(A118,Employee_Master!A:B,3,0),"")</f>
        <v/>
      </c>
      <c r="D118" s="7">
        <f>IF(SUMIF(Participation_Entry!B:B,A118,Participation_Entry!L:L)=0,"",SUMIF(Participation_Entry!B:B,A118,Participation_Entry!L:L))</f>
        <v>132.41649999999998</v>
      </c>
    </row>
    <row r="119" spans="1:4">
      <c r="A119" s="6">
        <v>467915</v>
      </c>
      <c r="B119" s="7" t="str">
        <f>IFERROR(VLOOKUP(A119,Employee_Master!A:B,2,0),"")</f>
        <v/>
      </c>
      <c r="C119" s="7" t="str">
        <f>IFERROR(VLOOKUP(A119,Employee_Master!A:B,3,0),"")</f>
        <v/>
      </c>
      <c r="D119" s="7" t="str">
        <f>IF(SUMIF(Participation_Entry!B:B,A119,Participation_Entry!L:L)=0,"",SUMIF(Participation_Entry!B:B,A119,Participation_Entry!L:L))</f>
        <v/>
      </c>
    </row>
    <row r="120" spans="1:4" hidden="1">
      <c r="A120" s="6">
        <v>469627</v>
      </c>
      <c r="B120" s="7" t="str">
        <f>IFERROR(VLOOKUP(A120,Employee_Master!A:B,2,0),"")</f>
        <v>Rahul Kumar</v>
      </c>
      <c r="C120" s="7" t="str">
        <f>IFERROR(VLOOKUP(A120,Employee_Master!A:B,3,0),"")</f>
        <v/>
      </c>
      <c r="D120" s="7" t="str">
        <f>IF(SUMIF(Participation_Entry!B:B,A120,Participation_Entry!L:L)=0,"",SUMIF(Participation_Entry!B:B,A120,Participation_Entry!L:L))</f>
        <v/>
      </c>
    </row>
    <row r="121" spans="1:4" hidden="1">
      <c r="A121" s="6">
        <v>438864</v>
      </c>
      <c r="B121" s="7" t="str">
        <f>IFERROR(VLOOKUP(A121,Employee_Master!A:B,2,0),"")</f>
        <v>Rajan Gupta</v>
      </c>
      <c r="C121" s="7" t="str">
        <f>IFERROR(VLOOKUP(A121,Employee_Master!A:B,3,0),"")</f>
        <v/>
      </c>
      <c r="D121" s="7">
        <f>IF(SUMIF(Participation_Entry!B:B,A121,Participation_Entry!L:L)=0,"",SUMIF(Participation_Entry!B:B,A121,Participation_Entry!L:L))</f>
        <v>118.63289999999999</v>
      </c>
    </row>
    <row r="122" spans="1:4" hidden="1">
      <c r="A122" s="6">
        <v>447836</v>
      </c>
      <c r="B122" s="7" t="str">
        <f>IFERROR(VLOOKUP(A122,Employee_Master!A:B,2,0),"")</f>
        <v>Rakesh S</v>
      </c>
      <c r="C122" s="7" t="str">
        <f>IFERROR(VLOOKUP(A122,Employee_Master!A:B,3,0),"")</f>
        <v/>
      </c>
      <c r="D122" s="7">
        <f>IF(SUMIF(Participation_Entry!B:B,A122,Participation_Entry!L:L)=0,"",SUMIF(Participation_Entry!B:B,A122,Participation_Entry!L:L))</f>
        <v>56.311899999999994</v>
      </c>
    </row>
    <row r="123" spans="1:4" hidden="1">
      <c r="A123" s="6">
        <v>449551</v>
      </c>
      <c r="B123" s="7" t="str">
        <f>IFERROR(VLOOKUP(A123,Employee_Master!A:B,2,0),"")</f>
        <v>Ramesh Kumar</v>
      </c>
      <c r="C123" s="7" t="str">
        <f>IFERROR(VLOOKUP(A123,Employee_Master!A:B,3,0),"")</f>
        <v/>
      </c>
      <c r="D123" s="7">
        <f>IF(SUMIF(Participation_Entry!B:B,A123,Participation_Entry!L:L)=0,"",SUMIF(Participation_Entry!B:B,A123,Participation_Entry!L:L))</f>
        <v>94.115499999999997</v>
      </c>
    </row>
    <row r="124" spans="1:4" hidden="1">
      <c r="A124" s="6">
        <v>438957</v>
      </c>
      <c r="B124" s="7" t="str">
        <f>IFERROR(VLOOKUP(A124,Employee_Master!A:B,2,0),"")</f>
        <v>Risha Bansal</v>
      </c>
      <c r="C124" s="7" t="str">
        <f>IFERROR(VLOOKUP(A124,Employee_Master!A:B,3,0),"")</f>
        <v/>
      </c>
      <c r="D124" s="7">
        <f>IF(SUMIF(Participation_Entry!B:B,A124,Participation_Entry!L:L)=0,"",SUMIF(Participation_Entry!B:B,A124,Participation_Entry!L:L))</f>
        <v>10</v>
      </c>
    </row>
    <row r="125" spans="1:4" hidden="1">
      <c r="A125" s="6">
        <v>459234</v>
      </c>
      <c r="B125" s="7" t="str">
        <f>IFERROR(VLOOKUP(A125,Employee_Master!A:B,2,0),"")</f>
        <v>Ritik Kumar</v>
      </c>
      <c r="C125" s="7" t="str">
        <f>IFERROR(VLOOKUP(A125,Employee_Master!A:B,3,0),"")</f>
        <v/>
      </c>
      <c r="D125" s="7" t="str">
        <f>IF(SUMIF(Participation_Entry!B:B,A125,Participation_Entry!L:L)=0,"",SUMIF(Participation_Entry!B:B,A125,Participation_Entry!L:L))</f>
        <v/>
      </c>
    </row>
    <row r="126" spans="1:4" hidden="1">
      <c r="A126" s="6">
        <v>467075</v>
      </c>
      <c r="B126" s="7" t="str">
        <f>IFERROR(VLOOKUP(A126,Employee_Master!A:B,2,0),"")</f>
        <v>Ritish</v>
      </c>
      <c r="C126" s="7" t="str">
        <f>IFERROR(VLOOKUP(A126,Employee_Master!A:B,3,0),"")</f>
        <v/>
      </c>
      <c r="D126" s="7">
        <f>IF(SUMIF(Participation_Entry!B:B,A126,Participation_Entry!L:L)=0,"",SUMIF(Participation_Entry!B:B,A126,Participation_Entry!L:L))</f>
        <v>62.639200000000002</v>
      </c>
    </row>
    <row r="127" spans="1:4" hidden="1">
      <c r="A127" s="6">
        <v>452118</v>
      </c>
      <c r="B127" s="7" t="str">
        <f>IFERROR(VLOOKUP(A127,Employee_Master!A:B,2,0),"")</f>
        <v>Riya Kumari</v>
      </c>
      <c r="C127" s="7" t="str">
        <f>IFERROR(VLOOKUP(A127,Employee_Master!A:B,3,0),"")</f>
        <v/>
      </c>
      <c r="D127" s="7">
        <f>IF(SUMIF(Participation_Entry!B:B,A127,Participation_Entry!L:L)=0,"",SUMIF(Participation_Entry!B:B,A127,Participation_Entry!L:L))</f>
        <v>104.714</v>
      </c>
    </row>
    <row r="128" spans="1:4" hidden="1">
      <c r="A128" s="6">
        <v>427154</v>
      </c>
      <c r="B128" s="7" t="str">
        <f>IFERROR(VLOOKUP(A128,Employee_Master!A:B,2,0),"")</f>
        <v>Rohan Mehra</v>
      </c>
      <c r="C128" s="7" t="str">
        <f>IFERROR(VLOOKUP(A128,Employee_Master!A:B,3,0),"")</f>
        <v/>
      </c>
      <c r="D128" s="7">
        <f>IF(SUMIF(Participation_Entry!B:B,A128,Participation_Entry!L:L)=0,"",SUMIF(Participation_Entry!B:B,A128,Participation_Entry!L:L))</f>
        <v>195.75620000000001</v>
      </c>
    </row>
    <row r="129" spans="1:4" hidden="1">
      <c r="A129" s="6">
        <v>463660</v>
      </c>
      <c r="B129" s="7" t="str">
        <f>IFERROR(VLOOKUP(A129,Employee_Master!A:B,2,0),"")</f>
        <v>Rohit Sharma</v>
      </c>
      <c r="C129" s="7" t="str">
        <f>IFERROR(VLOOKUP(A129,Employee_Master!A:B,3,0),"")</f>
        <v/>
      </c>
      <c r="D129" s="7">
        <f>IF(SUMIF(Participation_Entry!B:B,A129,Participation_Entry!L:L)=0,"",SUMIF(Participation_Entry!B:B,A129,Participation_Entry!L:L))</f>
        <v>98.785699999999991</v>
      </c>
    </row>
    <row r="130" spans="1:4" hidden="1">
      <c r="A130" s="6">
        <v>474194</v>
      </c>
      <c r="B130" s="7" t="str">
        <f>IFERROR(VLOOKUP(A130,Employee_Master!A:B,2,0),"")</f>
        <v>Rohit Yadav</v>
      </c>
      <c r="C130" s="7" t="str">
        <f>IFERROR(VLOOKUP(A130,Employee_Master!A:B,3,0),"")</f>
        <v/>
      </c>
      <c r="D130" s="7">
        <f>IF(SUMIF(Participation_Entry!B:B,A130,Participation_Entry!L:L)=0,"",SUMIF(Participation_Entry!B:B,A130,Participation_Entry!L:L))</f>
        <v>338.12979999999993</v>
      </c>
    </row>
    <row r="131" spans="1:4" hidden="1">
      <c r="A131" s="6">
        <v>452056</v>
      </c>
      <c r="B131" s="7" t="str">
        <f>IFERROR(VLOOKUP(A131,Employee_Master!A:B,2,0),"")</f>
        <v xml:space="preserve">Rupesh </v>
      </c>
      <c r="C131" s="7" t="str">
        <f>IFERROR(VLOOKUP(A131,Employee_Master!A:B,3,0),"")</f>
        <v/>
      </c>
      <c r="D131" s="7">
        <f>IF(SUMIF(Participation_Entry!B:B,A131,Participation_Entry!L:L)=0,"",SUMIF(Participation_Entry!B:B,A131,Participation_Entry!L:L))</f>
        <v>251.5445</v>
      </c>
    </row>
    <row r="132" spans="1:4" hidden="1">
      <c r="A132" s="6">
        <v>432865</v>
      </c>
      <c r="B132" s="7" t="str">
        <f>IFERROR(VLOOKUP(A132,Employee_Master!A:B,2,0),"")</f>
        <v>Rupesh Gandhi</v>
      </c>
      <c r="C132" s="7" t="str">
        <f>IFERROR(VLOOKUP(A132,Employee_Master!A:B,3,0),"")</f>
        <v/>
      </c>
      <c r="D132" s="7">
        <f>IF(SUMIF(Participation_Entry!B:B,A132,Participation_Entry!L:L)=0,"",SUMIF(Participation_Entry!B:B,A132,Participation_Entry!L:L))</f>
        <v>173.75229999999999</v>
      </c>
    </row>
    <row r="133" spans="1:4" hidden="1">
      <c r="A133" s="6">
        <v>457157</v>
      </c>
      <c r="B133" s="7" t="str">
        <f>IFERROR(VLOOKUP(A133,Employee_Master!A:B,2,0),"")</f>
        <v>Sachin Kashyap</v>
      </c>
      <c r="C133" s="7" t="str">
        <f>IFERROR(VLOOKUP(A133,Employee_Master!A:B,3,0),"")</f>
        <v/>
      </c>
      <c r="D133" s="7">
        <f>IF(SUMIF(Participation_Entry!B:B,A133,Participation_Entry!L:L)=0,"",SUMIF(Participation_Entry!B:B,A133,Participation_Entry!L:L))</f>
        <v>388.26310000000007</v>
      </c>
    </row>
    <row r="134" spans="1:4" hidden="1">
      <c r="A134" s="6">
        <v>450693</v>
      </c>
      <c r="B134" s="7" t="str">
        <f>IFERROR(VLOOKUP(A134,Employee_Master!A:B,2,0),"")</f>
        <v>Sagar rana</v>
      </c>
      <c r="C134" s="7" t="str">
        <f>IFERROR(VLOOKUP(A134,Employee_Master!A:B,3,0),"")</f>
        <v/>
      </c>
      <c r="D134" s="7">
        <f>IF(SUMIF(Participation_Entry!B:B,A134,Participation_Entry!L:L)=0,"",SUMIF(Participation_Entry!B:B,A134,Participation_Entry!L:L))</f>
        <v>4.9561999999999999</v>
      </c>
    </row>
    <row r="135" spans="1:4" hidden="1">
      <c r="A135" s="6">
        <v>452057</v>
      </c>
      <c r="B135" s="7" t="str">
        <f>IFERROR(VLOOKUP(A135,Employee_Master!A:B,2,0),"")</f>
        <v xml:space="preserve">Sahil Thakur </v>
      </c>
      <c r="C135" s="7" t="str">
        <f>IFERROR(VLOOKUP(A135,Employee_Master!A:B,3,0),"")</f>
        <v/>
      </c>
      <c r="D135" s="7">
        <f>IF(SUMIF(Participation_Entry!B:B,A135,Participation_Entry!L:L)=0,"",SUMIF(Participation_Entry!B:B,A135,Participation_Entry!L:L))</f>
        <v>40.4848</v>
      </c>
    </row>
    <row r="136" spans="1:4" hidden="1">
      <c r="A136" s="6">
        <v>705995</v>
      </c>
      <c r="B136" s="7" t="str">
        <f>IFERROR(VLOOKUP(A136,Employee_Master!A:B,2,0),"")</f>
        <v>Sahil.</v>
      </c>
      <c r="C136" s="7" t="str">
        <f>IFERROR(VLOOKUP(A136,Employee_Master!A:B,3,0),"")</f>
        <v/>
      </c>
      <c r="D136" s="7">
        <f>IF(SUMIF(Participation_Entry!B:B,A136,Participation_Entry!L:L)=0,"",SUMIF(Participation_Entry!B:B,A136,Participation_Entry!L:L))</f>
        <v>106.59120000000001</v>
      </c>
    </row>
    <row r="137" spans="1:4" hidden="1">
      <c r="A137" s="6">
        <v>468660</v>
      </c>
      <c r="B137" s="7" t="str">
        <f>IFERROR(VLOOKUP(A137,Employee_Master!A:B,2,0),"")</f>
        <v>Samay Raj</v>
      </c>
      <c r="C137" s="7" t="str">
        <f>IFERROR(VLOOKUP(A137,Employee_Master!A:B,3,0),"")</f>
        <v/>
      </c>
      <c r="D137" s="7">
        <f>IF(SUMIF(Participation_Entry!B:B,A137,Participation_Entry!L:L)=0,"",SUMIF(Participation_Entry!B:B,A137,Participation_Entry!L:L))</f>
        <v>198.6386</v>
      </c>
    </row>
    <row r="138" spans="1:4" hidden="1">
      <c r="A138" s="14">
        <v>412273</v>
      </c>
      <c r="B138" s="7" t="str">
        <f>IFERROR(VLOOKUP(A138,Employee_Master!A:B,2,0),"")</f>
        <v>Sandeep Sengar</v>
      </c>
      <c r="C138" s="7" t="str">
        <f>IFERROR(VLOOKUP(A138,Employee_Master!A:B,3,0),"")</f>
        <v/>
      </c>
      <c r="D138" s="7">
        <f>IF(SUMIF(Participation_Entry!B:B,A138,Participation_Entry!L:L)=0,"",SUMIF(Participation_Entry!B:B,A138,Participation_Entry!L:L))</f>
        <v>56.263600000000011</v>
      </c>
    </row>
    <row r="139" spans="1:4" hidden="1">
      <c r="A139" s="6">
        <v>407302</v>
      </c>
      <c r="B139" s="7" t="str">
        <f>IFERROR(VLOOKUP(A139,Employee_Master!A:B,2,0),"")</f>
        <v>Sanjaya Sahoo</v>
      </c>
      <c r="C139" s="7" t="str">
        <f>IFERROR(VLOOKUP(A139,Employee_Master!A:B,3,0),"")</f>
        <v/>
      </c>
      <c r="D139" s="7">
        <f>IF(SUMIF(Participation_Entry!B:B,A139,Participation_Entry!L:L)=0,"",SUMIF(Participation_Entry!B:B,A139,Participation_Entry!L:L))</f>
        <v>87.815600000000003</v>
      </c>
    </row>
    <row r="140" spans="1:4" hidden="1">
      <c r="A140" s="6">
        <v>472322</v>
      </c>
      <c r="B140" s="7" t="str">
        <f>IFERROR(VLOOKUP(A140,Employee_Master!A:B,2,0),"")</f>
        <v>Sanjeet Kumar</v>
      </c>
      <c r="C140" s="7" t="str">
        <f>IFERROR(VLOOKUP(A140,Employee_Master!A:B,3,0),"")</f>
        <v/>
      </c>
      <c r="D140" s="7">
        <f>IF(SUMIF(Participation_Entry!B:B,A140,Participation_Entry!L:L)=0,"",SUMIF(Participation_Entry!B:B,A140,Participation_Entry!L:L))</f>
        <v>152.64440000000002</v>
      </c>
    </row>
    <row r="141" spans="1:4" hidden="1">
      <c r="A141" s="14">
        <v>438679</v>
      </c>
      <c r="B141" s="7" t="str">
        <f>IFERROR(VLOOKUP(A141,Employee_Master!A:B,2,0),"")</f>
        <v>Saurabh Kumar</v>
      </c>
      <c r="C141" s="7" t="str">
        <f>IFERROR(VLOOKUP(A141,Employee_Master!A:B,3,0),"")</f>
        <v/>
      </c>
      <c r="D141" s="7">
        <f>IF(SUMIF(Participation_Entry!B:B,A141,Participation_Entry!L:L)=0,"",SUMIF(Participation_Entry!B:B,A141,Participation_Entry!L:L))</f>
        <v>340.59810000000004</v>
      </c>
    </row>
    <row r="142" spans="1:4" hidden="1">
      <c r="A142" s="6">
        <v>478269</v>
      </c>
      <c r="B142" s="7" t="str">
        <f>IFERROR(VLOOKUP(A142,Employee_Master!A:B,2,0),"")</f>
        <v xml:space="preserve">Saurabh kumar </v>
      </c>
      <c r="C142" s="7" t="str">
        <f>IFERROR(VLOOKUP(A142,Employee_Master!A:B,3,0),"")</f>
        <v/>
      </c>
      <c r="D142" s="7">
        <f>IF(SUMIF(Participation_Entry!B:B,A142,Participation_Entry!L:L)=0,"",SUMIF(Participation_Entry!B:B,A142,Participation_Entry!L:L))</f>
        <v>31.773</v>
      </c>
    </row>
    <row r="143" spans="1:4" hidden="1">
      <c r="A143" s="6">
        <v>700216</v>
      </c>
      <c r="B143" s="7" t="str">
        <f>IFERROR(VLOOKUP(A143,Employee_Master!A:B,2,0),"")</f>
        <v>Shivam Rani</v>
      </c>
      <c r="C143" s="7" t="str">
        <f>IFERROR(VLOOKUP(A143,Employee_Master!A:B,3,0),"")</f>
        <v/>
      </c>
      <c r="D143" s="7">
        <f>IF(SUMIF(Participation_Entry!B:B,A143,Participation_Entry!L:L)=0,"",SUMIF(Participation_Entry!B:B,A143,Participation_Entry!L:L))</f>
        <v>222.35130000000001</v>
      </c>
    </row>
    <row r="144" spans="1:4" hidden="1">
      <c r="A144" s="6">
        <v>452076</v>
      </c>
      <c r="B144" s="7" t="str">
        <f>IFERROR(VLOOKUP(A144,Employee_Master!A:B,2,0),"")</f>
        <v>Shraddha Singh</v>
      </c>
      <c r="C144" s="7" t="str">
        <f>IFERROR(VLOOKUP(A144,Employee_Master!A:B,3,0),"")</f>
        <v/>
      </c>
      <c r="D144" s="7">
        <f>IF(SUMIF(Participation_Entry!B:B,A144,Participation_Entry!L:L)=0,"",SUMIF(Participation_Entry!B:B,A144,Participation_Entry!L:L))</f>
        <v>256.3897</v>
      </c>
    </row>
    <row r="145" spans="1:4" hidden="1">
      <c r="A145" s="6">
        <v>450228</v>
      </c>
      <c r="B145" s="7" t="str">
        <f>IFERROR(VLOOKUP(A145,Employee_Master!A:B,2,0),"")</f>
        <v>Shubham Sharma</v>
      </c>
      <c r="C145" s="7" t="str">
        <f>IFERROR(VLOOKUP(A145,Employee_Master!A:B,3,0),"")</f>
        <v/>
      </c>
      <c r="D145" s="7">
        <f>IF(SUMIF(Participation_Entry!B:B,A145,Participation_Entry!L:L)=0,"",SUMIF(Participation_Entry!B:B,A145,Participation_Entry!L:L))</f>
        <v>140.40990000000002</v>
      </c>
    </row>
    <row r="146" spans="1:4" hidden="1">
      <c r="A146" s="6">
        <v>708792</v>
      </c>
      <c r="B146" s="7" t="str">
        <f>IFERROR(VLOOKUP(A146,Employee_Master!A:B,2,0),"")</f>
        <v>Shubhanshu Pandey</v>
      </c>
      <c r="C146" s="7" t="str">
        <f>IFERROR(VLOOKUP(A146,Employee_Master!A:B,3,0),"")</f>
        <v/>
      </c>
      <c r="D146" s="7">
        <f>IF(SUMIF(Participation_Entry!B:B,A146,Participation_Entry!L:L)=0,"",SUMIF(Participation_Entry!B:B,A146,Participation_Entry!L:L))</f>
        <v>106.2743</v>
      </c>
    </row>
    <row r="147" spans="1:4" hidden="1">
      <c r="A147" s="6">
        <v>446300</v>
      </c>
      <c r="B147" s="7" t="str">
        <f>IFERROR(VLOOKUP(A147,Employee_Master!A:B,2,0),"")</f>
        <v>Simranjit Singh</v>
      </c>
      <c r="C147" s="7" t="str">
        <f>IFERROR(VLOOKUP(A147,Employee_Master!A:B,3,0),"")</f>
        <v/>
      </c>
      <c r="D147" s="7">
        <f>IF(SUMIF(Participation_Entry!B:B,A147,Participation_Entry!L:L)=0,"",SUMIF(Participation_Entry!B:B,A147,Participation_Entry!L:L))</f>
        <v>196.03909999999996</v>
      </c>
    </row>
    <row r="148" spans="1:4" hidden="1">
      <c r="A148" s="6">
        <v>450325</v>
      </c>
      <c r="B148" s="7" t="str">
        <f>IFERROR(VLOOKUP(A148,Employee_Master!A:B,2,0),"")</f>
        <v>Simratpal Singh</v>
      </c>
      <c r="C148" s="7" t="str">
        <f>IFERROR(VLOOKUP(A148,Employee_Master!A:B,3,0),"")</f>
        <v/>
      </c>
      <c r="D148" s="7">
        <f>IF(SUMIF(Participation_Entry!B:B,A148,Participation_Entry!L:L)=0,"",SUMIF(Participation_Entry!B:B,A148,Participation_Entry!L:L))</f>
        <v>126.95599999999999</v>
      </c>
    </row>
    <row r="149" spans="1:4" hidden="1">
      <c r="A149" s="6">
        <v>720995</v>
      </c>
      <c r="B149" s="7" t="str">
        <f>IFERROR(VLOOKUP(A149,Employee_Master!A:B,2,0),"")</f>
        <v>Sinjan Bhar</v>
      </c>
      <c r="C149" s="7" t="str">
        <f>IFERROR(VLOOKUP(A149,Employee_Master!A:B,3,0),"")</f>
        <v/>
      </c>
      <c r="D149" s="7">
        <f>IF(SUMIF(Participation_Entry!B:B,A149,Participation_Entry!L:L)=0,"",SUMIF(Participation_Entry!B:B,A149,Participation_Entry!L:L))</f>
        <v>75.520299999999992</v>
      </c>
    </row>
    <row r="150" spans="1:4" hidden="1">
      <c r="A150" s="6">
        <v>469617</v>
      </c>
      <c r="B150" s="7" t="str">
        <f>IFERROR(VLOOKUP(A150,Employee_Master!A:B,2,0),"")</f>
        <v>Siyaram</v>
      </c>
      <c r="C150" s="7" t="str">
        <f>IFERROR(VLOOKUP(A150,Employee_Master!A:B,3,0),"")</f>
        <v/>
      </c>
      <c r="D150" s="7">
        <f>IF(SUMIF(Participation_Entry!B:B,A150,Participation_Entry!L:L)=0,"",SUMIF(Participation_Entry!B:B,A150,Participation_Entry!L:L))</f>
        <v>10</v>
      </c>
    </row>
    <row r="151" spans="1:4" hidden="1">
      <c r="A151" s="6">
        <v>460628</v>
      </c>
      <c r="B151" s="7" t="str">
        <f>IFERROR(VLOOKUP(A151,Employee_Master!A:B,2,0),"")</f>
        <v>Smarth</v>
      </c>
      <c r="C151" s="7" t="str">
        <f>IFERROR(VLOOKUP(A151,Employee_Master!A:B,3,0),"")</f>
        <v/>
      </c>
      <c r="D151" s="7">
        <f>IF(SUMIF(Participation_Entry!B:B,A151,Participation_Entry!L:L)=0,"",SUMIF(Participation_Entry!B:B,A151,Participation_Entry!L:L))</f>
        <v>10</v>
      </c>
    </row>
    <row r="152" spans="1:4" hidden="1">
      <c r="A152" s="6">
        <v>721765</v>
      </c>
      <c r="B152" s="7" t="str">
        <f>IFERROR(VLOOKUP(A152,Employee_Master!A:B,2,0),"")</f>
        <v>Sneha .</v>
      </c>
      <c r="C152" s="7" t="str">
        <f>IFERROR(VLOOKUP(A152,Employee_Master!A:B,3,0),"")</f>
        <v/>
      </c>
      <c r="D152" s="7">
        <f>IF(SUMIF(Participation_Entry!B:B,A152,Participation_Entry!L:L)=0,"",SUMIF(Participation_Entry!B:B,A152,Participation_Entry!L:L))</f>
        <v>42.773600000000002</v>
      </c>
    </row>
    <row r="153" spans="1:4" hidden="1">
      <c r="A153" s="6">
        <v>452074</v>
      </c>
      <c r="B153" s="7" t="str">
        <f>IFERROR(VLOOKUP(A153,Employee_Master!A:B,2,0),"")</f>
        <v>Sneha Singh</v>
      </c>
      <c r="C153" s="7" t="str">
        <f>IFERROR(VLOOKUP(A153,Employee_Master!A:B,3,0),"")</f>
        <v/>
      </c>
      <c r="D153" s="7">
        <f>IF(SUMIF(Participation_Entry!B:B,A153,Participation_Entry!L:L)=0,"",SUMIF(Participation_Entry!B:B,A153,Participation_Entry!L:L))</f>
        <v>53.237299999999998</v>
      </c>
    </row>
    <row r="154" spans="1:4" hidden="1">
      <c r="A154" s="14">
        <v>706181</v>
      </c>
      <c r="B154" s="7" t="str">
        <f>IFERROR(VLOOKUP(A154,Employee_Master!A:B,2,0),"")</f>
        <v>Sonam Kachhap</v>
      </c>
      <c r="C154" s="7" t="str">
        <f>IFERROR(VLOOKUP(A154,Employee_Master!A:B,3,0),"")</f>
        <v/>
      </c>
      <c r="D154" s="7">
        <f>IF(SUMIF(Participation_Entry!B:B,A154,Participation_Entry!L:L)=0,"",SUMIF(Participation_Entry!B:B,A154,Participation_Entry!L:L))</f>
        <v>137.73440000000002</v>
      </c>
    </row>
    <row r="155" spans="1:4" hidden="1">
      <c r="A155" s="6">
        <v>706306</v>
      </c>
      <c r="B155" s="7" t="str">
        <f>IFERROR(VLOOKUP(A155,Employee_Master!A:B,2,0),"")</f>
        <v>Subhashree Nayak</v>
      </c>
      <c r="C155" s="7" t="str">
        <f>IFERROR(VLOOKUP(A155,Employee_Master!A:B,3,0),"")</f>
        <v/>
      </c>
      <c r="D155" s="7">
        <f>IF(SUMIF(Participation_Entry!B:B,A155,Participation_Entry!L:L)=0,"",SUMIF(Participation_Entry!B:B,A155,Participation_Entry!L:L))</f>
        <v>95.699299999999994</v>
      </c>
    </row>
    <row r="156" spans="1:4" hidden="1">
      <c r="A156" s="14">
        <v>479827</v>
      </c>
      <c r="B156" s="7" t="str">
        <f>IFERROR(VLOOKUP(A156,Employee_Master!A:B,2,0),"")</f>
        <v>Sunil Kr. Singh</v>
      </c>
      <c r="C156" s="7" t="str">
        <f>IFERROR(VLOOKUP(A156,Employee_Master!A:B,3,0),"")</f>
        <v/>
      </c>
      <c r="D156" s="7">
        <f>IF(SUMIF(Participation_Entry!B:B,A156,Participation_Entry!L:L)=0,"",SUMIF(Participation_Entry!B:B,A156,Participation_Entry!L:L))</f>
        <v>96.663399999999996</v>
      </c>
    </row>
    <row r="157" spans="1:4" hidden="1">
      <c r="A157" s="6">
        <v>472840</v>
      </c>
      <c r="B157" s="7" t="str">
        <f>IFERROR(VLOOKUP(A157,Employee_Master!A:B,2,0),"")</f>
        <v>Supravat Adhikary</v>
      </c>
      <c r="C157" s="7" t="str">
        <f>IFERROR(VLOOKUP(A157,Employee_Master!A:B,3,0),"")</f>
        <v/>
      </c>
      <c r="D157" s="7">
        <f>IF(SUMIF(Participation_Entry!B:B,A157,Participation_Entry!L:L)=0,"",SUMIF(Participation_Entry!B:B,A157,Participation_Entry!L:L))</f>
        <v>124.68459999999999</v>
      </c>
    </row>
    <row r="158" spans="1:4">
      <c r="A158" s="6">
        <v>460627</v>
      </c>
      <c r="B158" s="7" t="str">
        <f>IFERROR(VLOOKUP(A158,Employee_Master!A:B,2,0),"")</f>
        <v/>
      </c>
      <c r="C158" s="7" t="str">
        <f>IFERROR(VLOOKUP(A158,Employee_Master!A:B,3,0),"")</f>
        <v/>
      </c>
      <c r="D158" s="7" t="str">
        <f>IF(SUMIF(Participation_Entry!B:B,A158,Participation_Entry!L:L)=0,"",SUMIF(Participation_Entry!B:B,A158,Participation_Entry!L:L))</f>
        <v/>
      </c>
    </row>
    <row r="159" spans="1:4" hidden="1">
      <c r="A159" s="6">
        <v>449635</v>
      </c>
      <c r="B159" s="7" t="str">
        <f>IFERROR(VLOOKUP(A159,Employee_Master!A:B,2,0),"")</f>
        <v>Sushma Tiwari</v>
      </c>
      <c r="C159" s="7" t="str">
        <f>IFERROR(VLOOKUP(A159,Employee_Master!A:B,3,0),"")</f>
        <v/>
      </c>
      <c r="D159" s="7">
        <f>IF(SUMIF(Participation_Entry!B:B,A159,Participation_Entry!L:L)=0,"",SUMIF(Participation_Entry!B:B,A159,Participation_Entry!L:L))</f>
        <v>139.7029</v>
      </c>
    </row>
    <row r="160" spans="1:4" hidden="1">
      <c r="A160" s="6">
        <v>705909</v>
      </c>
      <c r="B160" s="7" t="str">
        <f>IFERROR(VLOOKUP(A160,Employee_Master!A:B,2,0),"")</f>
        <v>Tanmay Ghosal</v>
      </c>
      <c r="C160" s="7" t="str">
        <f>IFERROR(VLOOKUP(A160,Employee_Master!A:B,3,0),"")</f>
        <v/>
      </c>
      <c r="D160" s="7" t="str">
        <f>IF(SUMIF(Participation_Entry!B:B,A160,Participation_Entry!L:L)=0,"",SUMIF(Participation_Entry!B:B,A160,Participation_Entry!L:L))</f>
        <v/>
      </c>
    </row>
    <row r="161" spans="1:4" hidden="1">
      <c r="A161" s="14">
        <v>423859</v>
      </c>
      <c r="B161" s="7" t="str">
        <f>IFERROR(VLOOKUP(A161,Employee_Master!A:B,2,0),"")</f>
        <v>Tilak Raj</v>
      </c>
      <c r="C161" s="7" t="str">
        <f>IFERROR(VLOOKUP(A161,Employee_Master!A:B,3,0),"")</f>
        <v/>
      </c>
      <c r="D161" s="7">
        <f>IF(SUMIF(Participation_Entry!B:B,A161,Participation_Entry!L:L)=0,"",SUMIF(Participation_Entry!B:B,A161,Participation_Entry!L:L))</f>
        <v>20</v>
      </c>
    </row>
    <row r="162" spans="1:4" hidden="1">
      <c r="A162" s="14">
        <v>450437</v>
      </c>
      <c r="B162" s="7" t="str">
        <f>IFERROR(VLOOKUP(A162,Employee_Master!A:B,2,0),"")</f>
        <v xml:space="preserve">Tinku Shekhawat </v>
      </c>
      <c r="C162" s="7" t="str">
        <f>IFERROR(VLOOKUP(A162,Employee_Master!A:B,3,0),"")</f>
        <v/>
      </c>
      <c r="D162" s="7">
        <f>IF(SUMIF(Participation_Entry!B:B,A162,Participation_Entry!L:L)=0,"",SUMIF(Participation_Entry!B:B,A162,Participation_Entry!L:L))</f>
        <v>123.22669999999999</v>
      </c>
    </row>
    <row r="163" spans="1:4" hidden="1">
      <c r="A163" s="14">
        <v>426232</v>
      </c>
      <c r="B163" s="7" t="str">
        <f>IFERROR(VLOOKUP(A163,Employee_Master!A:B,2,0),"")</f>
        <v>Varish Hussain</v>
      </c>
      <c r="C163" s="7" t="str">
        <f>IFERROR(VLOOKUP(A163,Employee_Master!A:B,3,0),"")</f>
        <v/>
      </c>
      <c r="D163" s="7">
        <f>IF(SUMIF(Participation_Entry!B:B,A163,Participation_Entry!L:L)=0,"",SUMIF(Participation_Entry!B:B,A163,Participation_Entry!L:L))</f>
        <v>119.22969999999999</v>
      </c>
    </row>
    <row r="164" spans="1:4" hidden="1">
      <c r="A164" s="6">
        <v>466562</v>
      </c>
      <c r="B164" s="7" t="str">
        <f>IFERROR(VLOOKUP(A164,Employee_Master!A:B,2,0),"")</f>
        <v>Vikas Bhardwaj</v>
      </c>
      <c r="C164" s="7" t="str">
        <f>IFERROR(VLOOKUP(A164,Employee_Master!A:B,3,0),"")</f>
        <v/>
      </c>
      <c r="D164" s="7">
        <f>IF(SUMIF(Participation_Entry!B:B,A164,Participation_Entry!L:L)=0,"",SUMIF(Participation_Entry!B:B,A164,Participation_Entry!L:L))</f>
        <v>13.106400000000001</v>
      </c>
    </row>
    <row r="165" spans="1:4" hidden="1">
      <c r="A165" s="14">
        <v>438263</v>
      </c>
      <c r="B165" s="7" t="str">
        <f>IFERROR(VLOOKUP(A165,Employee_Master!A:B,2,0),"")</f>
        <v>Vikash Kumar</v>
      </c>
      <c r="C165" s="7" t="str">
        <f>IFERROR(VLOOKUP(A165,Employee_Master!A:B,3,0),"")</f>
        <v/>
      </c>
      <c r="D165" s="7">
        <f>IF(SUMIF(Participation_Entry!B:B,A165,Participation_Entry!L:L)=0,"",SUMIF(Participation_Entry!B:B,A165,Participation_Entry!L:L))</f>
        <v>181.87860000000001</v>
      </c>
    </row>
    <row r="166" spans="1:4" hidden="1">
      <c r="A166" s="14">
        <v>467544</v>
      </c>
      <c r="B166" s="7" t="str">
        <f>IFERROR(VLOOKUP(A166,Employee_Master!A:B,2,0),"")</f>
        <v>Vinay Kumar</v>
      </c>
      <c r="C166" s="7" t="str">
        <f>IFERROR(VLOOKUP(A166,Employee_Master!A:B,3,0),"")</f>
        <v/>
      </c>
      <c r="D166" s="7">
        <f>IF(SUMIF(Participation_Entry!B:B,A166,Participation_Entry!L:L)=0,"",SUMIF(Participation_Entry!B:B,A166,Participation_Entry!L:L))</f>
        <v>172.5154</v>
      </c>
    </row>
    <row r="167" spans="1:4" hidden="1">
      <c r="A167" s="14">
        <v>468536</v>
      </c>
      <c r="B167" s="7" t="str">
        <f>IFERROR(VLOOKUP(A167,Employee_Master!A:B,2,0),"")</f>
        <v>Vinod Kumar</v>
      </c>
      <c r="C167" s="7" t="str">
        <f>IFERROR(VLOOKUP(A167,Employee_Master!A:B,3,0),"")</f>
        <v/>
      </c>
      <c r="D167" s="7">
        <f>IF(SUMIF(Participation_Entry!B:B,A167,Participation_Entry!L:L)=0,"",SUMIF(Participation_Entry!B:B,A167,Participation_Entry!L:L))</f>
        <v>61.540900000000001</v>
      </c>
    </row>
    <row r="168" spans="1:4">
      <c r="A168" s="14">
        <v>470292</v>
      </c>
      <c r="B168" s="7" t="str">
        <f>IFERROR(VLOOKUP(A168,Employee_Master!A:B,2,0),"")</f>
        <v/>
      </c>
      <c r="C168" s="7" t="str">
        <f>IFERROR(VLOOKUP(A168,Employee_Master!A:B,3,0),"")</f>
        <v/>
      </c>
      <c r="D168" s="7" t="str">
        <f>IF(SUMIF(Participation_Entry!B:B,A168,Participation_Entry!L:L)=0,"",SUMIF(Participation_Entry!B:B,A168,Participation_Entry!L:L))</f>
        <v/>
      </c>
    </row>
    <row r="169" spans="1:4" hidden="1">
      <c r="A169" s="14">
        <v>451509</v>
      </c>
      <c r="B169" s="7" t="str">
        <f>IFERROR(VLOOKUP(A169,Employee_Master!A:B,2,0),"")</f>
        <v>Vivek Aswal</v>
      </c>
      <c r="C169" s="7" t="str">
        <f>IFERROR(VLOOKUP(A169,Employee_Master!A:B,3,0),"")</f>
        <v/>
      </c>
      <c r="D169" s="7">
        <f>IF(SUMIF(Participation_Entry!B:B,A169,Participation_Entry!L:L)=0,"",SUMIF(Participation_Entry!B:B,A169,Participation_Entry!L:L))</f>
        <v>121.32640000000001</v>
      </c>
    </row>
    <row r="170" spans="1:4" hidden="1">
      <c r="A170" s="14">
        <v>451609</v>
      </c>
      <c r="B170" s="7" t="str">
        <f>IFERROR(VLOOKUP(A170,Employee_Master!A:B,2,0),"")</f>
        <v>Vivek Kumar Yadav</v>
      </c>
      <c r="C170" s="7" t="str">
        <f>IFERROR(VLOOKUP(A170,Employee_Master!A:B,3,0),"")</f>
        <v/>
      </c>
      <c r="D170" s="7">
        <f>IF(SUMIF(Participation_Entry!B:B,A170,Participation_Entry!L:L)=0,"",SUMIF(Participation_Entry!B:B,A170,Participation_Entry!L:L))</f>
        <v>190.53960000000004</v>
      </c>
    </row>
    <row r="171" spans="1:4" hidden="1">
      <c r="A171" s="14">
        <v>467519</v>
      </c>
      <c r="B171" s="7" t="str">
        <f>IFERROR(VLOOKUP(A171,Employee_Master!A:B,2,0),"")</f>
        <v>Vivek Tiwari</v>
      </c>
      <c r="C171" s="7" t="str">
        <f>IFERROR(VLOOKUP(A171,Employee_Master!A:B,3,0),"")</f>
        <v/>
      </c>
      <c r="D171" s="7">
        <f>IF(SUMIF(Participation_Entry!B:B,A171,Participation_Entry!L:L)=0,"",SUMIF(Participation_Entry!B:B,A171,Participation_Entry!L:L))</f>
        <v>147.77979999999999</v>
      </c>
    </row>
    <row r="172" spans="1:4" hidden="1">
      <c r="A172" s="14">
        <v>460888</v>
      </c>
      <c r="B172" s="7" t="str">
        <f>IFERROR(VLOOKUP(A172,Employee_Master!A:B,2,0),"")</f>
        <v>Yatin</v>
      </c>
      <c r="C172" s="7" t="str">
        <f>IFERROR(VLOOKUP(A172,Employee_Master!A:B,3,0),"")</f>
        <v/>
      </c>
      <c r="D172" s="7">
        <f>IF(SUMIF(Participation_Entry!B:B,A172,Participation_Entry!L:L)=0,"",SUMIF(Participation_Entry!B:B,A172,Participation_Entry!L:L))</f>
        <v>5.5999999999999999E-3</v>
      </c>
    </row>
    <row r="173" spans="1:4" hidden="1">
      <c r="A173" s="14">
        <v>722751</v>
      </c>
      <c r="B173" s="7" t="str">
        <f>IFERROR(VLOOKUP(A173,Employee_Master!A:B,2,0),"")</f>
        <v>Palak</v>
      </c>
      <c r="C173" s="7" t="str">
        <f>IFERROR(VLOOKUP(A173,Employee_Master!A:B,3,0),"")</f>
        <v/>
      </c>
      <c r="D173" s="7">
        <f>IF(SUMIF(Participation_Entry!B:B,A173,Participation_Entry!L:L)=0,"",SUMIF(Participation_Entry!B:B,A173,Participation_Entry!L:L))</f>
        <v>107.1332</v>
      </c>
    </row>
    <row r="174" spans="1:4" hidden="1">
      <c r="A174" s="14">
        <v>722783</v>
      </c>
      <c r="B174" s="7" t="str">
        <f>IFERROR(VLOOKUP(A174,Employee_Master!A:B,2,0),"")</f>
        <v>Anjali</v>
      </c>
      <c r="C174" s="7" t="str">
        <f>IFERROR(VLOOKUP(A174,Employee_Master!A:B,3,0),"")</f>
        <v/>
      </c>
      <c r="D174" s="7">
        <f>IF(SUMIF(Participation_Entry!B:B,A174,Participation_Entry!L:L)=0,"",SUMIF(Participation_Entry!B:B,A174,Participation_Entry!L:L))</f>
        <v>30</v>
      </c>
    </row>
    <row r="175" spans="1:4" hidden="1">
      <c r="A175" s="14">
        <v>723888</v>
      </c>
      <c r="B175" s="7" t="str">
        <f>IFERROR(VLOOKUP(A175,Employee_Master!A:B,2,0),"")</f>
        <v>Deepak Tiwari</v>
      </c>
      <c r="C175" s="7" t="str">
        <f>IFERROR(VLOOKUP(A175,Employee_Master!A:B,3,0),"")</f>
        <v/>
      </c>
      <c r="D175" s="7">
        <f>IF(SUMIF(Participation_Entry!B:B,A175,Participation_Entry!L:L)=0,"",SUMIF(Participation_Entry!B:B,A175,Participation_Entry!L:L))</f>
        <v>10</v>
      </c>
    </row>
    <row r="176" spans="1:4" hidden="1">
      <c r="A176" s="14">
        <v>722752</v>
      </c>
      <c r="B176" s="7" t="str">
        <f>IFERROR(VLOOKUP(A176,Employee_Master!A:B,2,0),"")</f>
        <v>Monika Jain</v>
      </c>
      <c r="C176" s="7" t="str">
        <f>IFERROR(VLOOKUP(A176,Employee_Master!A:B,3,0),"")</f>
        <v/>
      </c>
      <c r="D176" s="7">
        <f>IF(SUMIF(Participation_Entry!B:B,A176,Participation_Entry!L:L)=0,"",SUMIF(Participation_Entry!B:B,A176,Participation_Entry!L:L))</f>
        <v>10</v>
      </c>
    </row>
    <row r="177" spans="1:4" hidden="1">
      <c r="A177" s="14">
        <v>725073</v>
      </c>
      <c r="B177" s="7" t="str">
        <f>IFERROR(VLOOKUP(A177,Employee_Master!A:B,2,0),"")</f>
        <v>Pinki Gupta</v>
      </c>
      <c r="C177" s="7" t="str">
        <f>IFERROR(VLOOKUP(A177,Employee_Master!A:B,3,0),"")</f>
        <v/>
      </c>
      <c r="D177" s="7">
        <f>IF(SUMIF(Participation_Entry!B:B,A177,Participation_Entry!L:L)=0,"",SUMIF(Participation_Entry!B:B,A177,Participation_Entry!L:L))</f>
        <v>96.542000000000002</v>
      </c>
    </row>
    <row r="178" spans="1:4" hidden="1">
      <c r="A178" s="14">
        <v>722782</v>
      </c>
      <c r="B178" s="7" t="str">
        <f>IFERROR(VLOOKUP(A178,Employee_Master!A:B,2,0),"")</f>
        <v>Kriti</v>
      </c>
      <c r="C178" s="7" t="str">
        <f>IFERROR(VLOOKUP(A178,Employee_Master!A:B,3,0),"")</f>
        <v/>
      </c>
      <c r="D178" s="7">
        <f>IF(SUMIF(Participation_Entry!B:B,A178,Participation_Entry!L:L)=0,"",SUMIF(Participation_Entry!B:B,A178,Participation_Entry!L:L))</f>
        <v>43.405299999999997</v>
      </c>
    </row>
    <row r="179" spans="1:4" hidden="1">
      <c r="A179" s="14">
        <v>724729</v>
      </c>
      <c r="B179" s="7" t="str">
        <f>IFERROR(VLOOKUP(A179,Employee_Master!A:B,2,0),"")</f>
        <v>Akash Kumar</v>
      </c>
      <c r="C179" s="7" t="str">
        <f>IFERROR(VLOOKUP(A179,Employee_Master!A:B,3,0),"")</f>
        <v/>
      </c>
      <c r="D179" s="7">
        <f>IF(SUMIF(Participation_Entry!B:B,A179,Participation_Entry!L:L)=0,"",SUMIF(Participation_Entry!B:B,A179,Participation_Entry!L:L))</f>
        <v>50.488799999999998</v>
      </c>
    </row>
    <row r="180" spans="1:4" hidden="1">
      <c r="A180" s="14">
        <v>725373</v>
      </c>
      <c r="B180" s="7" t="str">
        <f>IFERROR(VLOOKUP(A180,Employee_Master!A:B,2,0),"")</f>
        <v>Ishan Kalia</v>
      </c>
      <c r="C180" s="7" t="str">
        <f>IFERROR(VLOOKUP(A180,Employee_Master!A:B,3,0),"")</f>
        <v/>
      </c>
      <c r="D180" s="7">
        <f>IF(SUMIF(Participation_Entry!B:B,A180,Participation_Entry!L:L)=0,"",SUMIF(Participation_Entry!B:B,A180,Participation_Entry!L:L))</f>
        <v>89.035699999999991</v>
      </c>
    </row>
    <row r="181" spans="1:4" hidden="1">
      <c r="A181" s="14">
        <v>726234</v>
      </c>
      <c r="B181" s="7" t="str">
        <f>IFERROR(VLOOKUP(A181,Employee_Master!A:B,2,0),"")</f>
        <v>Jaspal Singh</v>
      </c>
      <c r="C181" s="7" t="str">
        <f>IFERROR(VLOOKUP(A181,Employee_Master!A:B,3,0),"")</f>
        <v/>
      </c>
      <c r="D181" s="7">
        <f>IF(SUMIF(Participation_Entry!B:B,A181,Participation_Entry!L:L)=0,"",SUMIF(Participation_Entry!B:B,A181,Participation_Entry!L:L))</f>
        <v>26.761600000000001</v>
      </c>
    </row>
    <row r="182" spans="1:4">
      <c r="A182" s="14">
        <v>726299</v>
      </c>
      <c r="B182" s="7" t="str">
        <f>IFERROR(VLOOKUP(A182,Employee_Master!A:B,2,0),"")</f>
        <v>Anu Devi</v>
      </c>
      <c r="C182" s="7" t="str">
        <f>IFERROR(VLOOKUP(A182,Employee_Master!A:B,3,0),"")</f>
        <v/>
      </c>
      <c r="D182" s="7" t="str">
        <f>IF(SUMIF(Participation_Entry!B:B,A182,Participation_Entry!L:L)=0,"",SUMIF(Participation_Entry!B:B,A182,Participation_Entry!L:L))</f>
        <v/>
      </c>
    </row>
  </sheetData>
  <autoFilter ref="A1:D182" xr:uid="{00000000-0001-0000-0400-000000000000}">
    <filterColumn colId="1">
      <filters blank="1"/>
    </filterColumn>
  </autoFilter>
  <conditionalFormatting sqref="A2:A182">
    <cfRule type="duplicateValues" dxfId="1" priority="1"/>
  </conditionalFormatting>
  <conditionalFormatting sqref="D1:D1048576">
    <cfRule type="top10" dxfId="0" priority="2" percent="1" rank="10"/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>
      <selection activeCell="E7" sqref="E7"/>
    </sheetView>
  </sheetViews>
  <sheetFormatPr defaultColWidth="9" defaultRowHeight="15"/>
  <cols>
    <col min="1" max="1" width="21.42578125" style="1" bestFit="1" customWidth="1"/>
    <col min="2" max="2" width="18.85546875" style="1" customWidth="1"/>
  </cols>
  <sheetData>
    <row r="1" spans="1:2">
      <c r="A1" s="2" t="s">
        <v>223</v>
      </c>
      <c r="B1" s="2" t="s">
        <v>295</v>
      </c>
    </row>
    <row r="2" spans="1:2">
      <c r="A2" s="15" t="s">
        <v>296</v>
      </c>
      <c r="B2" s="9" t="s">
        <v>297</v>
      </c>
    </row>
    <row r="3" spans="1:2">
      <c r="A3" s="6" t="s">
        <v>298</v>
      </c>
      <c r="B3" s="9" t="s">
        <v>297</v>
      </c>
    </row>
    <row r="4" spans="1:2">
      <c r="A4" s="9" t="s">
        <v>299</v>
      </c>
      <c r="B4" s="3"/>
    </row>
    <row r="5" spans="1:2">
      <c r="A5" s="1" t="s">
        <v>206</v>
      </c>
      <c r="B5" s="4"/>
    </row>
    <row r="6" spans="1:2">
      <c r="B6" s="4"/>
    </row>
    <row r="7" spans="1:2">
      <c r="B7" s="4"/>
    </row>
    <row r="8" spans="1:2">
      <c r="B8" s="4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87a5f5e-f97e-4aec-bab8-6e4187ef4f1c}" enabled="0" method="" siteId="{f87a5f5e-f97e-4aec-bab8-6e4187ef4f1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Employee_Master</vt:lpstr>
      <vt:lpstr>Event_Master</vt:lpstr>
      <vt:lpstr>Score_Table</vt:lpstr>
      <vt:lpstr>Participation_Entry</vt:lpstr>
      <vt:lpstr>Sheet1</vt:lpstr>
      <vt:lpstr>Leaderboard</vt:lpstr>
      <vt:lpstr>Schedule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Jasbeer Singh</cp:lastModifiedBy>
  <cp:revision/>
  <dcterms:created xsi:type="dcterms:W3CDTF">2026-02-23T02:01:00Z</dcterms:created>
  <dcterms:modified xsi:type="dcterms:W3CDTF">2026-09-05T07:30:56Z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10C22BE682594C57BB258A13A3C69EAD_13</vt:lpwstr>
  </property>
  <property fmtid="{D5CDD505-2E9C-101B-9397-08002B2CF9AE}" pid="3" name="KSOProductBuildVer">
    <vt:lpwstr>1033-12.2.0.23196</vt:lpwstr>
  </property>
</Properties>
</file>