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00"/>
  </bookViews>
  <sheets>
    <sheet name="Employee_Master" sheetId="1" r:id="rId1"/>
    <sheet name="Event_Master" sheetId="2" r:id="rId2"/>
    <sheet name="Score_Table" sheetId="6" r:id="rId3"/>
    <sheet name="Participation_Entry" sheetId="3" r:id="rId4"/>
    <sheet name="Leaderboard" sheetId="4" r:id="rId5"/>
    <sheet name="Schedule" sheetId="5" r:id="rId6"/>
  </sheets>
  <definedNames>
    <definedName name="_xlnm._FilterDatabase" localSheetId="3" hidden="1">Participation_Entry!$A$1:$L$200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<sst xmlns="http://schemas.openxmlformats.org/spreadsheetml/2006/main" count="475" uniqueCount="219">
  <si>
    <t>Employee_ID</t>
  </si>
  <si>
    <t>Employee_Name</t>
  </si>
  <si>
    <t>Department</t>
  </si>
  <si>
    <t>Sanjaya Sahoo</t>
  </si>
  <si>
    <t>Engineering</t>
  </si>
  <si>
    <t>Arpanjot Singh</t>
  </si>
  <si>
    <t>Govind Rai</t>
  </si>
  <si>
    <t>Deepak Singh</t>
  </si>
  <si>
    <t>Atishay Dwivedi</t>
  </si>
  <si>
    <t>Keshav Dev</t>
  </si>
  <si>
    <t>Procurement</t>
  </si>
  <si>
    <t>Chandraprakash Nandwana</t>
  </si>
  <si>
    <t>Gaurav Saxena</t>
  </si>
  <si>
    <t>Naresh Kumar</t>
  </si>
  <si>
    <t>EHS</t>
  </si>
  <si>
    <t>Rohan Mehra</t>
  </si>
  <si>
    <t>Anjali Sundrani</t>
  </si>
  <si>
    <t>Harjot Singh</t>
  </si>
  <si>
    <t>Finance &amp; Stores</t>
  </si>
  <si>
    <t>Akshit Sood</t>
  </si>
  <si>
    <t>Rupesh Gandhi</t>
  </si>
  <si>
    <t>Materials</t>
  </si>
  <si>
    <t>Manish Kumar</t>
  </si>
  <si>
    <t>Maneesh Mohan</t>
  </si>
  <si>
    <t>Pardeep Kumar</t>
  </si>
  <si>
    <t>QA</t>
  </si>
  <si>
    <t>Karan Singh</t>
  </si>
  <si>
    <t>Himanshu Sangar</t>
  </si>
  <si>
    <t>HR &amp; Admin</t>
  </si>
  <si>
    <t>Vikash Kumar</t>
  </si>
  <si>
    <t>Saurabh Kumar</t>
  </si>
  <si>
    <t>Planning</t>
  </si>
  <si>
    <t>Rajan Gupta</t>
  </si>
  <si>
    <t>Risha Bansal</t>
  </si>
  <si>
    <t>Praveen Chandel</t>
  </si>
  <si>
    <t>EB</t>
  </si>
  <si>
    <t>Kuldeep Singh</t>
  </si>
  <si>
    <t>WPB</t>
  </si>
  <si>
    <t>Mehnga Singh</t>
  </si>
  <si>
    <t>Sourabh Chhabra</t>
  </si>
  <si>
    <t>Parmvir Singh</t>
  </si>
  <si>
    <t>Simranjit Singh</t>
  </si>
  <si>
    <t>Deepak Tiwari</t>
  </si>
  <si>
    <t>Rakesh S</t>
  </si>
  <si>
    <t>Gurwinder Singh</t>
  </si>
  <si>
    <t>Ramesh Kumar</t>
  </si>
  <si>
    <t>Sushma Tiwari</t>
  </si>
  <si>
    <t>ABHAY KUMAR</t>
  </si>
  <si>
    <t>Packing</t>
  </si>
  <si>
    <t xml:space="preserve">ASHISH BAGHEL </t>
  </si>
  <si>
    <t>KOMALPREET</t>
  </si>
  <si>
    <t xml:space="preserve">MANISH BISHT </t>
  </si>
  <si>
    <t>MANPREET KAUR</t>
  </si>
  <si>
    <t>LALIT NAGAR</t>
  </si>
  <si>
    <t>NIKITA</t>
  </si>
  <si>
    <t>NITESH YADAV</t>
  </si>
  <si>
    <t>SHUBHAM SHARMA</t>
  </si>
  <si>
    <t>AARTI GUPTA</t>
  </si>
  <si>
    <t>Jyotish Kumar</t>
  </si>
  <si>
    <t>SIMRATPAL SINGH</t>
  </si>
  <si>
    <t>GOVIND SAINI</t>
  </si>
  <si>
    <t xml:space="preserve">TINKU SHEKHAWAT </t>
  </si>
  <si>
    <t>SAGAR RANA</t>
  </si>
  <si>
    <t>KAWALJOT KAUR</t>
  </si>
  <si>
    <t>Vivek Aswal</t>
  </si>
  <si>
    <t>Nishith Soni</t>
  </si>
  <si>
    <t>Gaurav Kumar</t>
  </si>
  <si>
    <t>Vivek Kumar Yadav</t>
  </si>
  <si>
    <t xml:space="preserve">AMAR KUMAR </t>
  </si>
  <si>
    <t>ANKIT BHARDWAJ</t>
  </si>
  <si>
    <t xml:space="preserve">RUPESH </t>
  </si>
  <si>
    <t xml:space="preserve">SAHIL THAKUR </t>
  </si>
  <si>
    <t>BHAVYA GUPTA</t>
  </si>
  <si>
    <t>MAHI SINGH</t>
  </si>
  <si>
    <t xml:space="preserve">AASHISH </t>
  </si>
  <si>
    <t>SNEHA SINGH</t>
  </si>
  <si>
    <t>MANSI YADAV</t>
  </si>
  <si>
    <t>SHRADDHA SINGH</t>
  </si>
  <si>
    <t xml:space="preserve">ANSHUL SHARMA </t>
  </si>
  <si>
    <t xml:space="preserve">HARSH </t>
  </si>
  <si>
    <t>VISHAL YADAV</t>
  </si>
  <si>
    <t>RIYA KUMARI</t>
  </si>
  <si>
    <t>AKHIL TIWARI</t>
  </si>
  <si>
    <t>NISHI SINGH</t>
  </si>
  <si>
    <t>Manish Kukreti</t>
  </si>
  <si>
    <t>GOURAV ROHILLA</t>
  </si>
  <si>
    <t>ARUN LAMBA</t>
  </si>
  <si>
    <t>Naveen Kumar</t>
  </si>
  <si>
    <t>Akash Deshmukh</t>
  </si>
  <si>
    <t>Dileep Kumar</t>
  </si>
  <si>
    <t>Abhinesh Pandey</t>
  </si>
  <si>
    <t>DALJIT SINGH</t>
  </si>
  <si>
    <t>Chironjee Narvare</t>
  </si>
  <si>
    <t>SACHIN KASHYAP</t>
  </si>
  <si>
    <t>MANISH KUMAR</t>
  </si>
  <si>
    <t>MANBIR</t>
  </si>
  <si>
    <t>Jasbeer Singh</t>
  </si>
  <si>
    <t>Manoj Kumar</t>
  </si>
  <si>
    <t>Ritik Kumar</t>
  </si>
  <si>
    <t>MANISH KUMAR MAURY</t>
  </si>
  <si>
    <t>Madhu Aggu</t>
  </si>
  <si>
    <t>Dinesh Kumar</t>
  </si>
  <si>
    <t>SUSHIL</t>
  </si>
  <si>
    <t>SMARTH</t>
  </si>
  <si>
    <t>Mayank Arya</t>
  </si>
  <si>
    <t>HIMANSHU YADAV</t>
  </si>
  <si>
    <t>Deepak Sharma</t>
  </si>
  <si>
    <t>YATIN</t>
  </si>
  <si>
    <t>ABHAY SINGH</t>
  </si>
  <si>
    <t>Parvinder</t>
  </si>
  <si>
    <t>Gurkamalpreet Singh</t>
  </si>
  <si>
    <t>Shivraj Singh Palawat</t>
  </si>
  <si>
    <t>Rohit Sharma</t>
  </si>
  <si>
    <t>Kartik Shakya</t>
  </si>
  <si>
    <t>Himanshu Saini</t>
  </si>
  <si>
    <t>Hemant Singh</t>
  </si>
  <si>
    <t>Dalip Sharma</t>
  </si>
  <si>
    <t>Mohit Sahu</t>
  </si>
  <si>
    <t>Gaurav Singh Gurjar</t>
  </si>
  <si>
    <t>NARENDER KUMAR</t>
  </si>
  <si>
    <t>MUKUL SUMAN</t>
  </si>
  <si>
    <t>Aishwarya</t>
  </si>
  <si>
    <t>ARJUN SHARMA</t>
  </si>
  <si>
    <t>Ayush Pandey</t>
  </si>
  <si>
    <t>VIKAS BHARDWAJ</t>
  </si>
  <si>
    <t>ANUJ KUMAR</t>
  </si>
  <si>
    <t>Ritish</t>
  </si>
  <si>
    <t>Vivek Tiwari</t>
  </si>
  <si>
    <t>Vinay Kumar</t>
  </si>
  <si>
    <t>Rahul Kinkar</t>
  </si>
  <si>
    <t>Ankit Tiwari</t>
  </si>
  <si>
    <t>MOHIT KUMAR</t>
  </si>
  <si>
    <t>AYUSH JOSHI</t>
  </si>
  <si>
    <t>Vinod Kumar</t>
  </si>
  <si>
    <t>SAMAY RAJ</t>
  </si>
  <si>
    <t>PRACHI SHUKLA</t>
  </si>
  <si>
    <t>SIYARAM</t>
  </si>
  <si>
    <t>RAHUL KUMAR</t>
  </si>
  <si>
    <t>ANKIT</t>
  </si>
  <si>
    <t>Vishal Kumar</t>
  </si>
  <si>
    <t>Ankit Kumar</t>
  </si>
  <si>
    <t>Neeraj</t>
  </si>
  <si>
    <t>SANJEET KUMAR</t>
  </si>
  <si>
    <t>RAJESH MANDAL</t>
  </si>
  <si>
    <t>Supravat Adhikary</t>
  </si>
  <si>
    <t>Partap</t>
  </si>
  <si>
    <t>Jitender Yadav</t>
  </si>
  <si>
    <t>Rohit Yadav</t>
  </si>
  <si>
    <t>LAKSH</t>
  </si>
  <si>
    <t>Ashish Dutt Mishra</t>
  </si>
  <si>
    <t xml:space="preserve">ABHISHEK SHARMA </t>
  </si>
  <si>
    <t xml:space="preserve">SAURABH KUMAR </t>
  </si>
  <si>
    <t xml:space="preserve">INZMAM ALI </t>
  </si>
  <si>
    <t xml:space="preserve">ABHISHEK SAVITA </t>
  </si>
  <si>
    <t xml:space="preserve">ISHI VERMA </t>
  </si>
  <si>
    <t>Harmandeep</t>
  </si>
  <si>
    <t>Honey</t>
  </si>
  <si>
    <t>Sunil Kumar Sharma</t>
  </si>
  <si>
    <t>Prashant Gupta</t>
  </si>
  <si>
    <t>Ankit Bhatt</t>
  </si>
  <si>
    <t>MANISH KUMAR SINGH</t>
  </si>
  <si>
    <t>Harshdeep Singh</t>
  </si>
  <si>
    <t>Arnima Thakur</t>
  </si>
  <si>
    <t>Shivam Rani</t>
  </si>
  <si>
    <t>Sahil</t>
  </si>
  <si>
    <t>Sonam Kachhap</t>
  </si>
  <si>
    <t>SUBHASHREE PRIYADARSHINI NAYAK</t>
  </si>
  <si>
    <t>Tanmay Ghosal</t>
  </si>
  <si>
    <t>Puja Bhalotia</t>
  </si>
  <si>
    <t>Shubhanshu Pandey</t>
  </si>
  <si>
    <t>Kavita Rathore</t>
  </si>
  <si>
    <t>Jyoti</t>
  </si>
  <si>
    <t>VARISH HUSSAIN</t>
  </si>
  <si>
    <t>Jyoti Chauhan</t>
  </si>
  <si>
    <t>Akanksha Gangwar</t>
  </si>
  <si>
    <t>Gurwant Singh Sran</t>
  </si>
  <si>
    <t>Naval Singh</t>
  </si>
  <si>
    <t>Event_ID</t>
  </si>
  <si>
    <t>Event_Name</t>
  </si>
  <si>
    <t>Type</t>
  </si>
  <si>
    <t>Difficulty_Level (Casual/Medium/High)</t>
  </si>
  <si>
    <t>Multiplier</t>
  </si>
  <si>
    <t>Carrom</t>
  </si>
  <si>
    <t>Indoor</t>
  </si>
  <si>
    <t>Casual</t>
  </si>
  <si>
    <t>Chess</t>
  </si>
  <si>
    <t>Medium</t>
  </si>
  <si>
    <t>Fuseball</t>
  </si>
  <si>
    <t>Air Hockey</t>
  </si>
  <si>
    <t>Table tennis</t>
  </si>
  <si>
    <t>Badminton</t>
  </si>
  <si>
    <t>Cricket</t>
  </si>
  <si>
    <t>Outdoor</t>
  </si>
  <si>
    <t>High</t>
  </si>
  <si>
    <t>Vollyball</t>
  </si>
  <si>
    <t>Basket Ball</t>
  </si>
  <si>
    <t>Walk</t>
  </si>
  <si>
    <t>Running</t>
  </si>
  <si>
    <t>Relay</t>
  </si>
  <si>
    <t>Position</t>
  </si>
  <si>
    <t>Winner</t>
  </si>
  <si>
    <t>Runner-up</t>
  </si>
  <si>
    <t>2nd Runner-up</t>
  </si>
  <si>
    <t>Semi</t>
  </si>
  <si>
    <t>Quarter</t>
  </si>
  <si>
    <t>Date</t>
  </si>
  <si>
    <t>Event</t>
  </si>
  <si>
    <t>Registered (Yes/No)</t>
  </si>
  <si>
    <t>Participated (Yes/No)</t>
  </si>
  <si>
    <t>Position (Winner/Runner-up/2nd Runner-up/Semi/Quarter/Participant)</t>
  </si>
  <si>
    <t>Participation_Points</t>
  </si>
  <si>
    <t>Base_Points</t>
  </si>
  <si>
    <t>Game_ Points</t>
  </si>
  <si>
    <t>Final_Event_Points</t>
  </si>
  <si>
    <t>27-02-2026</t>
  </si>
  <si>
    <t>Yes</t>
  </si>
  <si>
    <t>20-03-2026</t>
  </si>
  <si>
    <t>Total_Points</t>
  </si>
  <si>
    <t>Start_Time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</si>
</sst>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/d/yyyy;@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</font>
    <font>
      <sz val="11"/>
      <color theme="1"/>
      <name val="Segoe UI"/>
      <charset val="134"/>
    </font>
    <font>
      <b/>
      <sz val="11"/>
      <name val="Segoe UI"/>
      <charset val="134"/>
    </font>
    <font>
      <b/>
      <sz val="11"/>
      <color theme="1"/>
      <name val="Segoe UI"/>
      <charset val="134"/>
    </font>
    <font>
      <sz val="11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6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8" fontId="0" fillId="0" borderId="0" xfId="0" applyNumberFormat="1" applyAlignment="1">
      <alignment horizontal="center" vertical="center" wrapText="1"/>
    </xf>
    <xf numFmtId="178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58" fontId="0" fillId="0" borderId="0" xfId="0" applyNumberFormat="1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4"/>
  <sheetViews>
    <sheetView tabSelected="1" topLeftCell="A126" workbookViewId="0">
      <selection activeCell="A1" sqref="A1:C164"/>
    </sheetView>
  </sheetViews>
  <sheetFormatPr defaultColWidth="9" defaultRowHeight="16.5" outlineLevelCol="2"/>
  <cols>
    <col min="1" max="1" width="19.8545454545455" customWidth="1"/>
    <col min="2" max="2" width="38.4272727272727" customWidth="1"/>
    <col min="3" max="3" width="27.8545454545455" style="7" customWidth="1"/>
  </cols>
  <sheetData>
    <row r="1" spans="1:3">
      <c r="A1" s="14" t="s">
        <v>0</v>
      </c>
      <c r="B1" s="14" t="s">
        <v>1</v>
      </c>
      <c r="C1" s="14" t="s">
        <v>2</v>
      </c>
    </row>
    <row r="2" spans="1:3">
      <c r="A2" s="7">
        <v>407302</v>
      </c>
      <c r="B2" s="7" t="s">
        <v>3</v>
      </c>
      <c r="C2" s="7" t="s">
        <v>4</v>
      </c>
    </row>
    <row r="3" spans="1:3">
      <c r="A3" s="7">
        <v>408262</v>
      </c>
      <c r="B3" s="7" t="s">
        <v>5</v>
      </c>
      <c r="C3" s="7" t="s">
        <v>4</v>
      </c>
    </row>
    <row r="4" spans="1:3">
      <c r="A4" s="7">
        <v>408627</v>
      </c>
      <c r="B4" s="7" t="s">
        <v>6</v>
      </c>
      <c r="C4" s="7" t="s">
        <v>4</v>
      </c>
    </row>
    <row r="5" spans="1:3">
      <c r="A5" s="7">
        <v>410040</v>
      </c>
      <c r="B5" s="7" t="s">
        <v>7</v>
      </c>
      <c r="C5" s="7" t="s">
        <v>4</v>
      </c>
    </row>
    <row r="6" spans="1:3">
      <c r="A6" s="7">
        <v>411573</v>
      </c>
      <c r="B6" s="7" t="s">
        <v>8</v>
      </c>
      <c r="C6" s="7" t="s">
        <v>4</v>
      </c>
    </row>
    <row r="7" spans="1:3">
      <c r="A7" s="7">
        <v>416828</v>
      </c>
      <c r="B7" s="7" t="s">
        <v>9</v>
      </c>
      <c r="C7" s="7" t="s">
        <v>10</v>
      </c>
    </row>
    <row r="8" spans="1:3">
      <c r="A8" s="7">
        <v>420109</v>
      </c>
      <c r="B8" s="7" t="s">
        <v>11</v>
      </c>
      <c r="C8" s="7" t="s">
        <v>4</v>
      </c>
    </row>
    <row r="9" spans="1:3">
      <c r="A9" s="7">
        <v>420533</v>
      </c>
      <c r="B9" s="7" t="s">
        <v>12</v>
      </c>
      <c r="C9" s="7" t="s">
        <v>4</v>
      </c>
    </row>
    <row r="10" spans="1:3">
      <c r="A10" s="7">
        <v>424332</v>
      </c>
      <c r="B10" s="7" t="s">
        <v>13</v>
      </c>
      <c r="C10" s="7" t="s">
        <v>14</v>
      </c>
    </row>
    <row r="11" spans="1:3">
      <c r="A11" s="7">
        <v>427154</v>
      </c>
      <c r="B11" s="7" t="s">
        <v>15</v>
      </c>
      <c r="C11" s="7" t="s">
        <v>10</v>
      </c>
    </row>
    <row r="12" spans="1:3">
      <c r="A12" s="7">
        <v>427568</v>
      </c>
      <c r="B12" s="7" t="s">
        <v>16</v>
      </c>
      <c r="C12" s="7" t="s">
        <v>4</v>
      </c>
    </row>
    <row r="13" spans="1:3">
      <c r="A13" s="7">
        <v>428544</v>
      </c>
      <c r="B13" s="7" t="s">
        <v>17</v>
      </c>
      <c r="C13" s="7" t="s">
        <v>18</v>
      </c>
    </row>
    <row r="14" spans="1:3">
      <c r="A14" s="7">
        <v>430977</v>
      </c>
      <c r="B14" s="7" t="s">
        <v>19</v>
      </c>
      <c r="C14" s="7" t="s">
        <v>18</v>
      </c>
    </row>
    <row r="15" spans="1:3">
      <c r="A15" s="7">
        <v>432865</v>
      </c>
      <c r="B15" s="7" t="s">
        <v>20</v>
      </c>
      <c r="C15" s="7" t="s">
        <v>21</v>
      </c>
    </row>
    <row r="16" spans="1:3">
      <c r="A16" s="7">
        <v>433939</v>
      </c>
      <c r="B16" s="7" t="s">
        <v>22</v>
      </c>
      <c r="C16" s="7" t="s">
        <v>4</v>
      </c>
    </row>
    <row r="17" spans="1:3">
      <c r="A17" s="7">
        <v>434518</v>
      </c>
      <c r="B17" s="7" t="s">
        <v>23</v>
      </c>
      <c r="C17" s="7" t="s">
        <v>4</v>
      </c>
    </row>
    <row r="18" spans="1:3">
      <c r="A18" s="7">
        <v>435877</v>
      </c>
      <c r="B18" s="7" t="s">
        <v>24</v>
      </c>
      <c r="C18" s="7" t="s">
        <v>25</v>
      </c>
    </row>
    <row r="19" spans="1:3">
      <c r="A19" s="7">
        <v>436468</v>
      </c>
      <c r="B19" s="7" t="s">
        <v>26</v>
      </c>
      <c r="C19" s="7" t="s">
        <v>18</v>
      </c>
    </row>
    <row r="20" spans="1:3">
      <c r="A20" s="7">
        <v>437534</v>
      </c>
      <c r="B20" s="7" t="s">
        <v>27</v>
      </c>
      <c r="C20" s="7" t="s">
        <v>28</v>
      </c>
    </row>
    <row r="21" spans="1:3">
      <c r="A21" s="7">
        <v>438263</v>
      </c>
      <c r="B21" s="7" t="s">
        <v>29</v>
      </c>
      <c r="C21" s="7" t="s">
        <v>4</v>
      </c>
    </row>
    <row r="22" spans="1:3">
      <c r="A22" s="7">
        <v>438679</v>
      </c>
      <c r="B22" s="7" t="s">
        <v>30</v>
      </c>
      <c r="C22" s="7" t="s">
        <v>31</v>
      </c>
    </row>
    <row r="23" spans="1:3">
      <c r="A23" s="7">
        <v>438864</v>
      </c>
      <c r="B23" s="7" t="s">
        <v>32</v>
      </c>
      <c r="C23" s="7" t="s">
        <v>25</v>
      </c>
    </row>
    <row r="24" spans="1:3">
      <c r="A24" s="7">
        <v>438957</v>
      </c>
      <c r="B24" s="7" t="s">
        <v>33</v>
      </c>
      <c r="C24" s="7" t="s">
        <v>18</v>
      </c>
    </row>
    <row r="25" spans="1:3">
      <c r="A25" s="7">
        <v>440317</v>
      </c>
      <c r="B25" s="7" t="s">
        <v>34</v>
      </c>
      <c r="C25" s="7" t="s">
        <v>35</v>
      </c>
    </row>
    <row r="26" spans="1:3">
      <c r="A26" s="7">
        <v>440620</v>
      </c>
      <c r="B26" s="7" t="s">
        <v>36</v>
      </c>
      <c r="C26" s="7" t="s">
        <v>37</v>
      </c>
    </row>
    <row r="27" spans="1:3">
      <c r="A27" s="7">
        <v>440774</v>
      </c>
      <c r="B27" s="7" t="s">
        <v>38</v>
      </c>
      <c r="C27" s="7" t="s">
        <v>21</v>
      </c>
    </row>
    <row r="28" spans="1:3">
      <c r="A28" s="7">
        <v>442720</v>
      </c>
      <c r="B28" s="7" t="s">
        <v>39</v>
      </c>
      <c r="C28" s="7" t="s">
        <v>37</v>
      </c>
    </row>
    <row r="29" spans="1:3">
      <c r="A29" s="7">
        <v>445891</v>
      </c>
      <c r="B29" s="7" t="s">
        <v>40</v>
      </c>
      <c r="C29" s="7" t="s">
        <v>14</v>
      </c>
    </row>
    <row r="30" spans="1:3">
      <c r="A30" s="15">
        <v>446300</v>
      </c>
      <c r="B30" s="15" t="s">
        <v>41</v>
      </c>
      <c r="C30" s="7" t="s">
        <v>35</v>
      </c>
    </row>
    <row r="31" spans="1:3">
      <c r="A31" s="7">
        <v>447096</v>
      </c>
      <c r="B31" s="7" t="s">
        <v>42</v>
      </c>
      <c r="C31" s="7" t="s">
        <v>4</v>
      </c>
    </row>
    <row r="32" spans="1:3">
      <c r="A32" s="7">
        <v>447836</v>
      </c>
      <c r="B32" s="7" t="s">
        <v>43</v>
      </c>
      <c r="C32" s="7" t="s">
        <v>21</v>
      </c>
    </row>
    <row r="33" spans="1:3">
      <c r="A33" s="7">
        <v>448882</v>
      </c>
      <c r="B33" s="7" t="s">
        <v>44</v>
      </c>
      <c r="C33" s="7" t="s">
        <v>37</v>
      </c>
    </row>
    <row r="34" spans="1:3">
      <c r="A34" s="7">
        <v>449551</v>
      </c>
      <c r="B34" s="7" t="s">
        <v>45</v>
      </c>
      <c r="C34" s="7" t="s">
        <v>25</v>
      </c>
    </row>
    <row r="35" spans="1:3">
      <c r="A35" s="7">
        <v>449635</v>
      </c>
      <c r="B35" s="7" t="s">
        <v>46</v>
      </c>
      <c r="C35" s="7" t="s">
        <v>21</v>
      </c>
    </row>
    <row r="36" spans="1:3">
      <c r="A36" s="7">
        <v>449889</v>
      </c>
      <c r="B36" s="7" t="s">
        <v>47</v>
      </c>
      <c r="C36" s="7" t="s">
        <v>48</v>
      </c>
    </row>
    <row r="37" spans="1:3">
      <c r="A37" s="7">
        <v>449890</v>
      </c>
      <c r="B37" s="7" t="s">
        <v>49</v>
      </c>
      <c r="C37" s="7" t="s">
        <v>21</v>
      </c>
    </row>
    <row r="38" spans="1:3">
      <c r="A38" s="7">
        <v>449891</v>
      </c>
      <c r="B38" s="7" t="s">
        <v>50</v>
      </c>
      <c r="C38" s="7" t="s">
        <v>25</v>
      </c>
    </row>
    <row r="39" spans="1:3">
      <c r="A39" s="7">
        <v>450030</v>
      </c>
      <c r="B39" s="7" t="s">
        <v>51</v>
      </c>
      <c r="C39" s="7" t="s">
        <v>21</v>
      </c>
    </row>
    <row r="40" spans="1:3">
      <c r="A40" s="7">
        <v>450171</v>
      </c>
      <c r="B40" s="7" t="s">
        <v>52</v>
      </c>
      <c r="C40" s="7" t="s">
        <v>25</v>
      </c>
    </row>
    <row r="41" spans="1:3">
      <c r="A41" s="7">
        <v>450224</v>
      </c>
      <c r="B41" s="7" t="s">
        <v>53</v>
      </c>
      <c r="C41" s="7" t="s">
        <v>25</v>
      </c>
    </row>
    <row r="42" spans="1:3">
      <c r="A42" s="7">
        <v>450225</v>
      </c>
      <c r="B42" s="7" t="s">
        <v>54</v>
      </c>
      <c r="C42" s="7" t="s">
        <v>37</v>
      </c>
    </row>
    <row r="43" spans="1:3">
      <c r="A43" s="7">
        <v>450226</v>
      </c>
      <c r="B43" s="7" t="s">
        <v>55</v>
      </c>
      <c r="C43" s="7" t="s">
        <v>37</v>
      </c>
    </row>
    <row r="44" spans="1:3">
      <c r="A44" s="7">
        <v>450228</v>
      </c>
      <c r="B44" s="7" t="s">
        <v>56</v>
      </c>
      <c r="C44" s="7" t="s">
        <v>48</v>
      </c>
    </row>
    <row r="45" spans="1:3">
      <c r="A45" s="7">
        <v>450230</v>
      </c>
      <c r="B45" s="7" t="s">
        <v>57</v>
      </c>
      <c r="C45" s="7" t="s">
        <v>25</v>
      </c>
    </row>
    <row r="46" spans="1:3">
      <c r="A46" s="7">
        <v>450256</v>
      </c>
      <c r="B46" s="7" t="s">
        <v>58</v>
      </c>
      <c r="C46" s="7" t="s">
        <v>31</v>
      </c>
    </row>
    <row r="47" spans="1:3">
      <c r="A47" s="7">
        <v>450325</v>
      </c>
      <c r="B47" s="7" t="s">
        <v>59</v>
      </c>
      <c r="C47" s="7" t="s">
        <v>21</v>
      </c>
    </row>
    <row r="48" spans="1:3">
      <c r="A48" s="7">
        <v>450436</v>
      </c>
      <c r="B48" s="7" t="s">
        <v>60</v>
      </c>
      <c r="C48" s="7" t="s">
        <v>37</v>
      </c>
    </row>
    <row r="49" spans="1:3">
      <c r="A49" s="7">
        <v>450437</v>
      </c>
      <c r="B49" s="7" t="s">
        <v>61</v>
      </c>
      <c r="C49" s="7" t="s">
        <v>48</v>
      </c>
    </row>
    <row r="50" spans="1:3">
      <c r="A50" s="7">
        <v>450693</v>
      </c>
      <c r="B50" s="7" t="s">
        <v>62</v>
      </c>
      <c r="C50" s="7" t="s">
        <v>48</v>
      </c>
    </row>
    <row r="51" spans="1:3">
      <c r="A51" s="7">
        <v>450694</v>
      </c>
      <c r="B51" s="7" t="s">
        <v>63</v>
      </c>
      <c r="C51" s="7" t="s">
        <v>37</v>
      </c>
    </row>
    <row r="52" spans="1:3">
      <c r="A52" s="7">
        <v>451509</v>
      </c>
      <c r="B52" s="7" t="s">
        <v>64</v>
      </c>
      <c r="C52" s="7" t="s">
        <v>4</v>
      </c>
    </row>
    <row r="53" spans="1:3">
      <c r="A53" s="7">
        <v>451513</v>
      </c>
      <c r="B53" s="7" t="s">
        <v>65</v>
      </c>
      <c r="C53" s="7" t="s">
        <v>35</v>
      </c>
    </row>
    <row r="54" spans="1:3">
      <c r="A54" s="7">
        <v>451567</v>
      </c>
      <c r="B54" s="7" t="s">
        <v>66</v>
      </c>
      <c r="C54" s="7" t="s">
        <v>4</v>
      </c>
    </row>
    <row r="55" spans="1:3">
      <c r="A55" s="7">
        <v>451609</v>
      </c>
      <c r="B55" s="7" t="s">
        <v>67</v>
      </c>
      <c r="C55" s="7" t="s">
        <v>14</v>
      </c>
    </row>
    <row r="56" spans="1:3">
      <c r="A56" s="7">
        <v>451857</v>
      </c>
      <c r="B56" s="7" t="s">
        <v>68</v>
      </c>
      <c r="C56" s="7" t="s">
        <v>37</v>
      </c>
    </row>
    <row r="57" spans="1:3">
      <c r="A57" s="7">
        <v>451858</v>
      </c>
      <c r="B57" s="7" t="s">
        <v>69</v>
      </c>
      <c r="C57" s="7" t="s">
        <v>37</v>
      </c>
    </row>
    <row r="58" spans="1:3">
      <c r="A58" s="7">
        <v>452056</v>
      </c>
      <c r="B58" s="7" t="s">
        <v>70</v>
      </c>
      <c r="C58" s="7" t="s">
        <v>48</v>
      </c>
    </row>
    <row r="59" spans="1:3">
      <c r="A59" s="7">
        <v>452057</v>
      </c>
      <c r="B59" s="7" t="s">
        <v>71</v>
      </c>
      <c r="C59" s="7" t="s">
        <v>48</v>
      </c>
    </row>
    <row r="60" spans="1:3">
      <c r="A60" s="7">
        <v>452058</v>
      </c>
      <c r="B60" s="7" t="s">
        <v>72</v>
      </c>
      <c r="C60" s="7" t="s">
        <v>31</v>
      </c>
    </row>
    <row r="61" spans="1:3">
      <c r="A61" s="7">
        <v>452059</v>
      </c>
      <c r="B61" s="7" t="s">
        <v>73</v>
      </c>
      <c r="C61" s="7" t="s">
        <v>25</v>
      </c>
    </row>
    <row r="62" spans="1:3">
      <c r="A62" s="7">
        <v>452073</v>
      </c>
      <c r="B62" s="7" t="s">
        <v>74</v>
      </c>
      <c r="C62" s="7" t="s">
        <v>35</v>
      </c>
    </row>
    <row r="63" spans="1:3">
      <c r="A63" s="7">
        <v>452074</v>
      </c>
      <c r="B63" s="7" t="s">
        <v>75</v>
      </c>
      <c r="C63" s="7" t="s">
        <v>37</v>
      </c>
    </row>
    <row r="64" spans="1:3">
      <c r="A64" s="7">
        <v>452075</v>
      </c>
      <c r="B64" s="7" t="s">
        <v>76</v>
      </c>
      <c r="C64" s="7" t="s">
        <v>35</v>
      </c>
    </row>
    <row r="65" spans="1:3">
      <c r="A65" s="7">
        <v>452076</v>
      </c>
      <c r="B65" s="7" t="s">
        <v>77</v>
      </c>
      <c r="C65" s="7" t="s">
        <v>25</v>
      </c>
    </row>
    <row r="66" spans="1:3">
      <c r="A66" s="7">
        <v>452115</v>
      </c>
      <c r="B66" s="7" t="s">
        <v>78</v>
      </c>
      <c r="C66" s="7" t="s">
        <v>48</v>
      </c>
    </row>
    <row r="67" spans="1:3">
      <c r="A67" s="7">
        <v>452116</v>
      </c>
      <c r="B67" s="7" t="s">
        <v>79</v>
      </c>
      <c r="C67" s="7" t="s">
        <v>21</v>
      </c>
    </row>
    <row r="68" spans="1:3">
      <c r="A68" s="7">
        <v>452117</v>
      </c>
      <c r="B68" s="7" t="s">
        <v>80</v>
      </c>
      <c r="C68" s="7" t="s">
        <v>48</v>
      </c>
    </row>
    <row r="69" spans="1:3">
      <c r="A69" s="7">
        <v>452118</v>
      </c>
      <c r="B69" s="7" t="s">
        <v>81</v>
      </c>
      <c r="C69" s="7" t="s">
        <v>37</v>
      </c>
    </row>
    <row r="70" spans="1:3">
      <c r="A70" s="7">
        <v>452119</v>
      </c>
      <c r="B70" s="7" t="s">
        <v>82</v>
      </c>
      <c r="C70" s="7" t="s">
        <v>35</v>
      </c>
    </row>
    <row r="71" spans="1:3">
      <c r="A71" s="7">
        <v>452121</v>
      </c>
      <c r="B71" s="7" t="s">
        <v>83</v>
      </c>
      <c r="C71" s="7" t="s">
        <v>35</v>
      </c>
    </row>
    <row r="72" spans="1:3">
      <c r="A72" s="7">
        <v>452799</v>
      </c>
      <c r="B72" s="7" t="s">
        <v>84</v>
      </c>
      <c r="C72" s="7" t="s">
        <v>25</v>
      </c>
    </row>
    <row r="73" spans="1:3">
      <c r="A73" s="7">
        <v>452991</v>
      </c>
      <c r="B73" s="7" t="s">
        <v>85</v>
      </c>
      <c r="C73" s="7" t="s">
        <v>48</v>
      </c>
    </row>
    <row r="74" spans="1:3">
      <c r="A74" s="7">
        <v>453089</v>
      </c>
      <c r="B74" s="7" t="s">
        <v>86</v>
      </c>
      <c r="C74" s="7" t="s">
        <v>48</v>
      </c>
    </row>
    <row r="75" spans="1:3">
      <c r="A75" s="7">
        <v>453949</v>
      </c>
      <c r="B75" s="7" t="s">
        <v>87</v>
      </c>
      <c r="C75" s="7" t="s">
        <v>48</v>
      </c>
    </row>
    <row r="76" spans="1:3">
      <c r="A76" s="7">
        <v>454456</v>
      </c>
      <c r="B76" s="7" t="s">
        <v>88</v>
      </c>
      <c r="C76" s="7" t="s">
        <v>37</v>
      </c>
    </row>
    <row r="77" spans="1:3">
      <c r="A77" s="7">
        <v>455024</v>
      </c>
      <c r="B77" s="7" t="s">
        <v>89</v>
      </c>
      <c r="C77" s="7" t="s">
        <v>35</v>
      </c>
    </row>
    <row r="78" spans="1:3">
      <c r="A78" s="7">
        <v>456091</v>
      </c>
      <c r="B78" s="7" t="s">
        <v>90</v>
      </c>
      <c r="C78" s="7" t="s">
        <v>14</v>
      </c>
    </row>
    <row r="79" spans="1:3">
      <c r="A79" s="7">
        <v>456706</v>
      </c>
      <c r="B79" s="7" t="s">
        <v>91</v>
      </c>
      <c r="C79" s="7" t="s">
        <v>21</v>
      </c>
    </row>
    <row r="80" spans="1:3">
      <c r="A80" s="7">
        <v>456743</v>
      </c>
      <c r="B80" s="7" t="s">
        <v>92</v>
      </c>
      <c r="C80" s="7" t="s">
        <v>4</v>
      </c>
    </row>
    <row r="81" spans="1:3">
      <c r="A81" s="7">
        <v>457157</v>
      </c>
      <c r="B81" s="7" t="s">
        <v>93</v>
      </c>
      <c r="C81" s="7" t="s">
        <v>21</v>
      </c>
    </row>
    <row r="82" spans="1:3">
      <c r="A82" s="7">
        <v>457430</v>
      </c>
      <c r="B82" s="7" t="s">
        <v>94</v>
      </c>
      <c r="C82" s="7" t="s">
        <v>48</v>
      </c>
    </row>
    <row r="83" spans="1:3">
      <c r="A83" s="7">
        <v>457795</v>
      </c>
      <c r="B83" s="7" t="s">
        <v>95</v>
      </c>
      <c r="C83" s="7" t="s">
        <v>21</v>
      </c>
    </row>
    <row r="84" spans="1:3">
      <c r="A84" s="7">
        <v>458702</v>
      </c>
      <c r="B84" s="7" t="s">
        <v>96</v>
      </c>
      <c r="C84" s="7" t="s">
        <v>21</v>
      </c>
    </row>
    <row r="85" spans="1:3">
      <c r="A85" s="7">
        <v>458749</v>
      </c>
      <c r="B85" s="7" t="s">
        <v>97</v>
      </c>
      <c r="C85" s="7" t="s">
        <v>21</v>
      </c>
    </row>
    <row r="86" spans="1:3">
      <c r="A86" s="7">
        <v>459234</v>
      </c>
      <c r="B86" s="7" t="s">
        <v>98</v>
      </c>
      <c r="C86" s="7" t="s">
        <v>48</v>
      </c>
    </row>
    <row r="87" spans="1:3">
      <c r="A87" s="7">
        <v>459464</v>
      </c>
      <c r="B87" s="7" t="s">
        <v>99</v>
      </c>
      <c r="C87" s="7" t="s">
        <v>37</v>
      </c>
    </row>
    <row r="88" spans="1:3">
      <c r="A88" s="7">
        <v>460284</v>
      </c>
      <c r="B88" s="7" t="s">
        <v>100</v>
      </c>
      <c r="C88" s="7" t="s">
        <v>4</v>
      </c>
    </row>
    <row r="89" spans="1:3">
      <c r="A89" s="7">
        <v>460513</v>
      </c>
      <c r="B89" s="7" t="s">
        <v>101</v>
      </c>
      <c r="C89" s="7" t="s">
        <v>21</v>
      </c>
    </row>
    <row r="90" spans="1:3">
      <c r="A90" s="7">
        <v>460627</v>
      </c>
      <c r="B90" s="7" t="s">
        <v>102</v>
      </c>
      <c r="C90" s="7" t="s">
        <v>48</v>
      </c>
    </row>
    <row r="91" spans="1:3">
      <c r="A91" s="7">
        <v>460628</v>
      </c>
      <c r="B91" s="7" t="s">
        <v>103</v>
      </c>
      <c r="C91" s="7" t="s">
        <v>48</v>
      </c>
    </row>
    <row r="92" spans="1:3">
      <c r="A92" s="7">
        <v>460692</v>
      </c>
      <c r="B92" s="7" t="s">
        <v>104</v>
      </c>
      <c r="C92" s="7" t="s">
        <v>25</v>
      </c>
    </row>
    <row r="93" spans="1:3">
      <c r="A93" s="7">
        <v>460764</v>
      </c>
      <c r="B93" s="7" t="s">
        <v>105</v>
      </c>
      <c r="C93" s="7" t="s">
        <v>21</v>
      </c>
    </row>
    <row r="94" spans="1:3">
      <c r="A94" s="7">
        <v>460812</v>
      </c>
      <c r="B94" s="7" t="s">
        <v>106</v>
      </c>
      <c r="C94" s="7" t="s">
        <v>4</v>
      </c>
    </row>
    <row r="95" spans="1:3">
      <c r="A95" s="7">
        <v>460888</v>
      </c>
      <c r="B95" s="7" t="s">
        <v>107</v>
      </c>
      <c r="C95" s="7" t="s">
        <v>21</v>
      </c>
    </row>
    <row r="96" spans="1:3">
      <c r="A96" s="7">
        <v>461161</v>
      </c>
      <c r="B96" s="7" t="s">
        <v>108</v>
      </c>
      <c r="C96" s="7" t="s">
        <v>48</v>
      </c>
    </row>
    <row r="97" spans="1:3">
      <c r="A97" s="7">
        <v>463059</v>
      </c>
      <c r="B97" s="7" t="s">
        <v>109</v>
      </c>
      <c r="C97" s="7" t="s">
        <v>25</v>
      </c>
    </row>
    <row r="98" spans="1:3">
      <c r="A98" s="7">
        <v>463097</v>
      </c>
      <c r="B98" s="7" t="s">
        <v>110</v>
      </c>
      <c r="C98" s="7" t="s">
        <v>48</v>
      </c>
    </row>
    <row r="99" spans="1:3">
      <c r="A99" s="7">
        <v>463633</v>
      </c>
      <c r="B99" s="7" t="s">
        <v>111</v>
      </c>
      <c r="C99" s="7" t="s">
        <v>48</v>
      </c>
    </row>
    <row r="100" spans="1:3">
      <c r="A100" s="7">
        <v>463660</v>
      </c>
      <c r="B100" s="7" t="s">
        <v>112</v>
      </c>
      <c r="C100" s="7" t="s">
        <v>4</v>
      </c>
    </row>
    <row r="101" spans="1:3">
      <c r="A101" s="7">
        <v>463833</v>
      </c>
      <c r="B101" s="7" t="s">
        <v>113</v>
      </c>
      <c r="C101" s="7" t="s">
        <v>48</v>
      </c>
    </row>
    <row r="102" spans="1:3">
      <c r="A102" s="7">
        <v>464188</v>
      </c>
      <c r="B102" s="7" t="s">
        <v>114</v>
      </c>
      <c r="C102" s="7" t="s">
        <v>4</v>
      </c>
    </row>
    <row r="103" spans="1:3">
      <c r="A103" s="7">
        <v>464193</v>
      </c>
      <c r="B103" s="7" t="s">
        <v>115</v>
      </c>
      <c r="C103" s="7" t="s">
        <v>48</v>
      </c>
    </row>
    <row r="104" spans="1:3">
      <c r="A104" s="7">
        <v>464500</v>
      </c>
      <c r="B104" s="7" t="s">
        <v>116</v>
      </c>
      <c r="C104" s="7" t="s">
        <v>28</v>
      </c>
    </row>
    <row r="105" spans="1:3">
      <c r="A105" s="7">
        <v>464871</v>
      </c>
      <c r="B105" s="7" t="s">
        <v>117</v>
      </c>
      <c r="C105" s="7" t="s">
        <v>21</v>
      </c>
    </row>
    <row r="106" spans="1:3">
      <c r="A106" s="7">
        <v>465181</v>
      </c>
      <c r="B106" s="7" t="s">
        <v>118</v>
      </c>
      <c r="C106" s="7" t="s">
        <v>4</v>
      </c>
    </row>
    <row r="107" spans="1:3">
      <c r="A107" s="7">
        <v>465254</v>
      </c>
      <c r="B107" s="7" t="s">
        <v>119</v>
      </c>
      <c r="C107" s="7" t="s">
        <v>48</v>
      </c>
    </row>
    <row r="108" spans="1:3">
      <c r="A108" s="7">
        <v>465255</v>
      </c>
      <c r="B108" s="7" t="s">
        <v>120</v>
      </c>
      <c r="C108" s="7" t="s">
        <v>48</v>
      </c>
    </row>
    <row r="109" spans="1:3">
      <c r="A109" s="7">
        <v>466167</v>
      </c>
      <c r="B109" s="7" t="s">
        <v>121</v>
      </c>
      <c r="C109" s="7" t="s">
        <v>25</v>
      </c>
    </row>
    <row r="110" spans="1:3">
      <c r="A110" s="7">
        <v>466367</v>
      </c>
      <c r="B110" s="7" t="s">
        <v>122</v>
      </c>
      <c r="C110" s="7" t="s">
        <v>21</v>
      </c>
    </row>
    <row r="111" spans="1:3">
      <c r="A111" s="7">
        <v>466445</v>
      </c>
      <c r="B111" s="7" t="s">
        <v>123</v>
      </c>
      <c r="C111" s="7" t="s">
        <v>21</v>
      </c>
    </row>
    <row r="112" spans="1:3">
      <c r="A112" s="7">
        <v>466562</v>
      </c>
      <c r="B112" s="7" t="s">
        <v>124</v>
      </c>
      <c r="C112" s="7" t="s">
        <v>21</v>
      </c>
    </row>
    <row r="113" spans="1:3">
      <c r="A113" s="7">
        <v>467068</v>
      </c>
      <c r="B113" s="7" t="s">
        <v>125</v>
      </c>
      <c r="C113" s="7" t="s">
        <v>48</v>
      </c>
    </row>
    <row r="114" spans="1:3">
      <c r="A114" s="7">
        <v>467075</v>
      </c>
      <c r="B114" s="7" t="s">
        <v>126</v>
      </c>
      <c r="C114" s="7" t="s">
        <v>48</v>
      </c>
    </row>
    <row r="115" spans="1:3">
      <c r="A115" s="7">
        <v>467519</v>
      </c>
      <c r="B115" s="7" t="s">
        <v>127</v>
      </c>
      <c r="C115" s="7" t="s">
        <v>14</v>
      </c>
    </row>
    <row r="116" spans="1:3">
      <c r="A116" s="7">
        <v>467544</v>
      </c>
      <c r="B116" s="7" t="s">
        <v>128</v>
      </c>
      <c r="C116" s="7" t="s">
        <v>21</v>
      </c>
    </row>
    <row r="117" spans="1:3">
      <c r="A117" s="7">
        <v>467915</v>
      </c>
      <c r="B117" s="7" t="s">
        <v>129</v>
      </c>
      <c r="C117" s="7" t="s">
        <v>37</v>
      </c>
    </row>
    <row r="118" spans="1:3">
      <c r="A118" s="7">
        <v>468157</v>
      </c>
      <c r="B118" s="7" t="s">
        <v>130</v>
      </c>
      <c r="C118" s="7" t="s">
        <v>21</v>
      </c>
    </row>
    <row r="119" spans="1:3">
      <c r="A119" s="7">
        <v>468224</v>
      </c>
      <c r="B119" s="7" t="s">
        <v>131</v>
      </c>
      <c r="C119" s="7" t="s">
        <v>37</v>
      </c>
    </row>
    <row r="120" spans="1:3">
      <c r="A120" s="7">
        <v>468456</v>
      </c>
      <c r="B120" s="7" t="s">
        <v>132</v>
      </c>
      <c r="C120" s="7" t="s">
        <v>31</v>
      </c>
    </row>
    <row r="121" spans="1:3">
      <c r="A121" s="7">
        <v>468536</v>
      </c>
      <c r="B121" s="7" t="s">
        <v>133</v>
      </c>
      <c r="C121" s="7" t="s">
        <v>48</v>
      </c>
    </row>
    <row r="122" spans="1:3">
      <c r="A122" s="7">
        <v>468660</v>
      </c>
      <c r="B122" s="7" t="s">
        <v>134</v>
      </c>
      <c r="C122" s="7" t="s">
        <v>37</v>
      </c>
    </row>
    <row r="123" spans="1:3">
      <c r="A123" s="7">
        <v>468887</v>
      </c>
      <c r="B123" s="7" t="s">
        <v>135</v>
      </c>
      <c r="C123" s="7" t="s">
        <v>25</v>
      </c>
    </row>
    <row r="124" spans="1:3">
      <c r="A124" s="7">
        <v>469617</v>
      </c>
      <c r="B124" s="7" t="s">
        <v>136</v>
      </c>
      <c r="C124" s="7" t="s">
        <v>48</v>
      </c>
    </row>
    <row r="125" spans="1:3">
      <c r="A125" s="7">
        <v>469627</v>
      </c>
      <c r="B125" s="7" t="s">
        <v>137</v>
      </c>
      <c r="C125" s="7" t="s">
        <v>48</v>
      </c>
    </row>
    <row r="126" spans="1:3">
      <c r="A126" s="7">
        <v>469899</v>
      </c>
      <c r="B126" s="7" t="s">
        <v>138</v>
      </c>
      <c r="C126" s="7" t="s">
        <v>48</v>
      </c>
    </row>
    <row r="127" spans="1:3">
      <c r="A127" s="7">
        <v>470292</v>
      </c>
      <c r="B127" s="7" t="s">
        <v>139</v>
      </c>
      <c r="C127" s="7" t="s">
        <v>4</v>
      </c>
    </row>
    <row r="128" spans="1:3">
      <c r="A128" s="7">
        <v>470301</v>
      </c>
      <c r="B128" s="7" t="s">
        <v>140</v>
      </c>
      <c r="C128" s="7" t="s">
        <v>25</v>
      </c>
    </row>
    <row r="129" spans="1:3">
      <c r="A129" s="7">
        <v>471387</v>
      </c>
      <c r="B129" s="7" t="s">
        <v>141</v>
      </c>
      <c r="C129" s="7" t="s">
        <v>25</v>
      </c>
    </row>
    <row r="130" spans="1:3">
      <c r="A130" s="7">
        <v>472322</v>
      </c>
      <c r="B130" s="7" t="s">
        <v>142</v>
      </c>
      <c r="C130" s="7" t="s">
        <v>48</v>
      </c>
    </row>
    <row r="131" spans="1:3">
      <c r="A131" s="7">
        <v>472476</v>
      </c>
      <c r="B131" s="7" t="s">
        <v>143</v>
      </c>
      <c r="C131" s="7" t="s">
        <v>48</v>
      </c>
    </row>
    <row r="132" spans="1:3">
      <c r="A132" s="7">
        <v>472840</v>
      </c>
      <c r="B132" s="7" t="s">
        <v>144</v>
      </c>
      <c r="C132" s="7" t="s">
        <v>21</v>
      </c>
    </row>
    <row r="133" spans="1:3">
      <c r="A133" s="7">
        <v>473015</v>
      </c>
      <c r="B133" s="7" t="s">
        <v>145</v>
      </c>
      <c r="C133" s="7" t="s">
        <v>21</v>
      </c>
    </row>
    <row r="134" spans="1:3">
      <c r="A134" s="7">
        <v>473266</v>
      </c>
      <c r="B134" s="7" t="s">
        <v>146</v>
      </c>
      <c r="C134" s="7" t="s">
        <v>4</v>
      </c>
    </row>
    <row r="135" spans="1:3">
      <c r="A135" s="7">
        <v>474194</v>
      </c>
      <c r="B135" s="7" t="s">
        <v>147</v>
      </c>
      <c r="C135" s="7" t="s">
        <v>21</v>
      </c>
    </row>
    <row r="136" spans="1:3">
      <c r="A136" s="7">
        <v>476372</v>
      </c>
      <c r="B136" s="7" t="s">
        <v>148</v>
      </c>
      <c r="C136" s="7" t="s">
        <v>21</v>
      </c>
    </row>
    <row r="137" spans="1:3">
      <c r="A137" s="7">
        <v>478084</v>
      </c>
      <c r="B137" s="7" t="s">
        <v>149</v>
      </c>
      <c r="C137" s="7" t="s">
        <v>21</v>
      </c>
    </row>
    <row r="138" spans="1:3">
      <c r="A138" s="7">
        <v>478266</v>
      </c>
      <c r="B138" s="7" t="s">
        <v>150</v>
      </c>
      <c r="C138" s="7" t="s">
        <v>25</v>
      </c>
    </row>
    <row r="139" spans="1:3">
      <c r="A139" s="7">
        <v>478269</v>
      </c>
      <c r="B139" s="7" t="s">
        <v>151</v>
      </c>
      <c r="C139" s="7" t="s">
        <v>25</v>
      </c>
    </row>
    <row r="140" spans="1:3">
      <c r="A140" s="7">
        <v>478270</v>
      </c>
      <c r="B140" s="7" t="s">
        <v>152</v>
      </c>
      <c r="C140" s="7" t="s">
        <v>37</v>
      </c>
    </row>
    <row r="141" spans="1:3">
      <c r="A141" s="7">
        <v>478308</v>
      </c>
      <c r="B141" s="7" t="s">
        <v>153</v>
      </c>
      <c r="C141" s="7" t="s">
        <v>35</v>
      </c>
    </row>
    <row r="142" spans="1:3">
      <c r="A142" s="7">
        <v>478377</v>
      </c>
      <c r="B142" s="7" t="s">
        <v>154</v>
      </c>
      <c r="C142" s="7" t="s">
        <v>37</v>
      </c>
    </row>
    <row r="143" spans="1:3">
      <c r="A143" s="7">
        <v>479348</v>
      </c>
      <c r="B143" s="7" t="s">
        <v>155</v>
      </c>
      <c r="C143" s="7" t="s">
        <v>48</v>
      </c>
    </row>
    <row r="144" spans="1:3">
      <c r="A144" s="7">
        <v>479724</v>
      </c>
      <c r="B144" s="7" t="s">
        <v>156</v>
      </c>
      <c r="C144" s="7" t="s">
        <v>48</v>
      </c>
    </row>
    <row r="145" spans="1:3">
      <c r="A145" s="7">
        <v>479827</v>
      </c>
      <c r="B145" s="7" t="s">
        <v>157</v>
      </c>
      <c r="C145" s="7" t="s">
        <v>4</v>
      </c>
    </row>
    <row r="146" spans="1:3">
      <c r="A146" s="7">
        <v>484877</v>
      </c>
      <c r="B146" s="7" t="s">
        <v>158</v>
      </c>
      <c r="C146" s="7" t="s">
        <v>4</v>
      </c>
    </row>
    <row r="147" spans="1:3">
      <c r="A147" s="7">
        <v>486309</v>
      </c>
      <c r="B147" s="7" t="s">
        <v>159</v>
      </c>
      <c r="C147" s="7" t="s">
        <v>35</v>
      </c>
    </row>
    <row r="148" spans="1:3">
      <c r="A148" s="7">
        <v>487107</v>
      </c>
      <c r="B148" s="7" t="s">
        <v>160</v>
      </c>
      <c r="C148" s="7" t="s">
        <v>18</v>
      </c>
    </row>
    <row r="149" spans="1:3">
      <c r="A149" s="7">
        <v>487476</v>
      </c>
      <c r="B149" s="7" t="s">
        <v>161</v>
      </c>
      <c r="C149" s="7" t="s">
        <v>48</v>
      </c>
    </row>
    <row r="150" spans="1:3">
      <c r="A150" s="7">
        <v>492857</v>
      </c>
      <c r="B150" s="7" t="s">
        <v>162</v>
      </c>
      <c r="C150" s="7" t="s">
        <v>28</v>
      </c>
    </row>
    <row r="151" spans="1:3">
      <c r="A151" s="7">
        <v>700216</v>
      </c>
      <c r="B151" s="7" t="s">
        <v>163</v>
      </c>
      <c r="C151" s="7" t="s">
        <v>4</v>
      </c>
    </row>
    <row r="152" spans="1:3">
      <c r="A152" s="7">
        <v>705995</v>
      </c>
      <c r="B152" s="7" t="s">
        <v>164</v>
      </c>
      <c r="C152" s="7" t="s">
        <v>25</v>
      </c>
    </row>
    <row r="153" spans="1:3">
      <c r="A153" s="7">
        <v>706181</v>
      </c>
      <c r="B153" s="7" t="s">
        <v>165</v>
      </c>
      <c r="C153" s="7" t="s">
        <v>4</v>
      </c>
    </row>
    <row r="154" spans="1:3">
      <c r="A154" s="7">
        <v>706306</v>
      </c>
      <c r="B154" s="7" t="s">
        <v>166</v>
      </c>
      <c r="C154" s="7" t="s">
        <v>14</v>
      </c>
    </row>
    <row r="155" spans="1:3">
      <c r="A155" s="7">
        <v>705909</v>
      </c>
      <c r="B155" s="7" t="s">
        <v>167</v>
      </c>
      <c r="C155" s="7" t="s">
        <v>4</v>
      </c>
    </row>
    <row r="156" spans="1:3">
      <c r="A156" s="7">
        <v>707131</v>
      </c>
      <c r="B156" s="7" t="s">
        <v>168</v>
      </c>
      <c r="C156" s="7" t="s">
        <v>21</v>
      </c>
    </row>
    <row r="157" spans="1:3">
      <c r="A157" s="7">
        <v>708792</v>
      </c>
      <c r="B157" s="7" t="s">
        <v>169</v>
      </c>
      <c r="C157" s="7" t="s">
        <v>4</v>
      </c>
    </row>
    <row r="158" spans="1:3">
      <c r="A158" s="7">
        <v>709664</v>
      </c>
      <c r="B158" s="7" t="s">
        <v>170</v>
      </c>
      <c r="C158" s="7" t="s">
        <v>14</v>
      </c>
    </row>
    <row r="159" spans="1:3">
      <c r="A159" s="7">
        <v>710013</v>
      </c>
      <c r="B159" s="7" t="s">
        <v>171</v>
      </c>
      <c r="C159" s="7" t="s">
        <v>21</v>
      </c>
    </row>
    <row r="160" spans="1:3">
      <c r="A160" s="7">
        <v>426232</v>
      </c>
      <c r="B160" s="7" t="s">
        <v>172</v>
      </c>
      <c r="C160" s="7" t="s">
        <v>14</v>
      </c>
    </row>
    <row r="161" spans="1:3">
      <c r="A161" s="7">
        <v>710555</v>
      </c>
      <c r="B161" s="7" t="s">
        <v>173</v>
      </c>
      <c r="C161" s="7" t="s">
        <v>14</v>
      </c>
    </row>
    <row r="162" spans="1:3">
      <c r="A162" s="7">
        <v>712428</v>
      </c>
      <c r="B162" s="7" t="s">
        <v>174</v>
      </c>
      <c r="C162" s="7" t="s">
        <v>4</v>
      </c>
    </row>
    <row r="163" spans="1:3">
      <c r="A163" s="7">
        <v>435548</v>
      </c>
      <c r="B163" s="7" t="s">
        <v>175</v>
      </c>
      <c r="C163" s="7" t="s">
        <v>4</v>
      </c>
    </row>
    <row r="164" spans="1:3">
      <c r="A164" s="7">
        <v>716610</v>
      </c>
      <c r="B164" s="7" t="s">
        <v>176</v>
      </c>
      <c r="C164" s="7" t="s">
        <v>14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"/>
  <sheetViews>
    <sheetView topLeftCell="B1" workbookViewId="0">
      <selection activeCell="D17" sqref="D17"/>
    </sheetView>
  </sheetViews>
  <sheetFormatPr defaultColWidth="9" defaultRowHeight="16.5" outlineLevelCol="4"/>
  <cols>
    <col min="1" max="1" width="10" style="12" customWidth="1"/>
    <col min="2" max="3" width="13.8545454545455" style="12" customWidth="1"/>
    <col min="4" max="4" width="41.2818181818182" style="12" customWidth="1"/>
    <col min="5" max="5" width="13.1363636363636" style="12" customWidth="1"/>
    <col min="6" max="16384" width="9.13636363636364" style="12"/>
  </cols>
  <sheetData>
    <row r="1" spans="1:5">
      <c r="A1" s="13" t="s">
        <v>177</v>
      </c>
      <c r="B1" s="13" t="s">
        <v>178</v>
      </c>
      <c r="C1" s="13" t="s">
        <v>179</v>
      </c>
      <c r="D1" s="13" t="s">
        <v>180</v>
      </c>
      <c r="E1" s="13" t="s">
        <v>181</v>
      </c>
    </row>
    <row r="2" spans="1:5">
      <c r="A2" s="12">
        <v>1</v>
      </c>
      <c r="B2" s="12" t="s">
        <v>182</v>
      </c>
      <c r="C2" s="12" t="s">
        <v>183</v>
      </c>
      <c r="D2" s="12" t="s">
        <v>184</v>
      </c>
      <c r="E2" s="12">
        <v>1</v>
      </c>
    </row>
    <row r="3" spans="1:5">
      <c r="A3" s="12">
        <v>2</v>
      </c>
      <c r="B3" s="12" t="s">
        <v>185</v>
      </c>
      <c r="C3" s="12" t="s">
        <v>183</v>
      </c>
      <c r="D3" s="12" t="s">
        <v>186</v>
      </c>
      <c r="E3" s="12">
        <v>1.3</v>
      </c>
    </row>
    <row r="4" spans="1:5">
      <c r="A4" s="12">
        <v>3</v>
      </c>
      <c r="B4" s="12" t="s">
        <v>187</v>
      </c>
      <c r="C4" s="12" t="s">
        <v>183</v>
      </c>
      <c r="D4" s="12" t="s">
        <v>184</v>
      </c>
      <c r="E4" s="12">
        <v>1</v>
      </c>
    </row>
    <row r="5" spans="1:5">
      <c r="A5" s="12">
        <v>4</v>
      </c>
      <c r="B5" s="12" t="s">
        <v>188</v>
      </c>
      <c r="C5" s="12" t="s">
        <v>183</v>
      </c>
      <c r="D5" s="12" t="s">
        <v>184</v>
      </c>
      <c r="E5" s="12">
        <v>1</v>
      </c>
    </row>
    <row r="6" spans="1:5">
      <c r="A6" s="12">
        <v>5</v>
      </c>
      <c r="B6" s="12" t="s">
        <v>189</v>
      </c>
      <c r="C6" s="12" t="s">
        <v>183</v>
      </c>
      <c r="D6" s="12" t="s">
        <v>186</v>
      </c>
      <c r="E6" s="12">
        <v>1.5</v>
      </c>
    </row>
    <row r="7" spans="1:5">
      <c r="A7" s="12">
        <v>6</v>
      </c>
      <c r="B7" s="12" t="s">
        <v>190</v>
      </c>
      <c r="C7" s="12" t="s">
        <v>183</v>
      </c>
      <c r="D7" s="12" t="s">
        <v>186</v>
      </c>
      <c r="E7" s="12">
        <v>1.5</v>
      </c>
    </row>
    <row r="8" spans="1:5">
      <c r="A8" s="12">
        <v>7</v>
      </c>
      <c r="B8" s="12" t="s">
        <v>191</v>
      </c>
      <c r="C8" s="12" t="s">
        <v>192</v>
      </c>
      <c r="D8" s="12" t="s">
        <v>193</v>
      </c>
      <c r="E8" s="12">
        <v>1.5</v>
      </c>
    </row>
    <row r="9" spans="1:5">
      <c r="A9" s="12">
        <v>8</v>
      </c>
      <c r="B9" s="12" t="s">
        <v>194</v>
      </c>
      <c r="C9" s="12" t="s">
        <v>192</v>
      </c>
      <c r="D9" s="12" t="s">
        <v>193</v>
      </c>
      <c r="E9" s="12">
        <v>1.5</v>
      </c>
    </row>
    <row r="10" spans="1:5">
      <c r="A10" s="12">
        <v>9</v>
      </c>
      <c r="B10" s="12" t="s">
        <v>195</v>
      </c>
      <c r="C10" s="12" t="s">
        <v>192</v>
      </c>
      <c r="D10" s="12" t="s">
        <v>193</v>
      </c>
      <c r="E10" s="12">
        <v>1.5</v>
      </c>
    </row>
    <row r="11" spans="1:5">
      <c r="A11" s="12">
        <v>10</v>
      </c>
      <c r="B11" s="12" t="s">
        <v>196</v>
      </c>
      <c r="C11" s="12" t="s">
        <v>192</v>
      </c>
      <c r="D11" s="12" t="s">
        <v>186</v>
      </c>
      <c r="E11" s="12">
        <v>1</v>
      </c>
    </row>
    <row r="12" spans="1:5">
      <c r="A12" s="12">
        <v>11</v>
      </c>
      <c r="B12" s="12" t="s">
        <v>197</v>
      </c>
      <c r="C12" s="12" t="s">
        <v>192</v>
      </c>
      <c r="D12" s="12" t="s">
        <v>186</v>
      </c>
      <c r="E12" s="12">
        <v>1.5</v>
      </c>
    </row>
    <row r="13" spans="1:5">
      <c r="A13" s="12">
        <v>12</v>
      </c>
      <c r="B13" s="12" t="s">
        <v>198</v>
      </c>
      <c r="C13" s="12" t="s">
        <v>192</v>
      </c>
      <c r="D13" s="12" t="s">
        <v>193</v>
      </c>
      <c r="E13" s="12">
        <v>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B9"/>
  <sheetViews>
    <sheetView workbookViewId="0">
      <selection activeCell="F13" sqref="F13"/>
    </sheetView>
  </sheetViews>
  <sheetFormatPr defaultColWidth="9" defaultRowHeight="14.5" outlineLevelCol="1"/>
  <cols>
    <col min="2" max="2" width="14.2818181818182" customWidth="1"/>
  </cols>
  <sheetData>
    <row r="3" spans="2:2">
      <c r="B3" s="6" t="s">
        <v>199</v>
      </c>
    </row>
    <row r="4" spans="2:2">
      <c r="B4" s="11" t="s">
        <v>200</v>
      </c>
    </row>
    <row r="5" spans="2:2">
      <c r="B5" s="11" t="s">
        <v>201</v>
      </c>
    </row>
    <row r="6" spans="2:2">
      <c r="B6" s="11" t="s">
        <v>202</v>
      </c>
    </row>
    <row r="7" spans="2:2">
      <c r="B7" s="11" t="s">
        <v>203</v>
      </c>
    </row>
    <row r="8" spans="2:2">
      <c r="B8" s="11" t="s">
        <v>204</v>
      </c>
    </row>
    <row r="9" spans="2:2">
      <c r="B9" s="11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0"/>
  <sheetViews>
    <sheetView workbookViewId="0">
      <selection activeCell="E22" sqref="E22"/>
    </sheetView>
  </sheetViews>
  <sheetFormatPr defaultColWidth="9" defaultRowHeight="14.5"/>
  <cols>
    <col min="1" max="1" width="10.4272727272727" style="8" customWidth="1"/>
    <col min="2" max="2" width="13" style="1" customWidth="1"/>
    <col min="3" max="3" width="34.8181818181818" style="1" customWidth="1"/>
    <col min="4" max="4" width="11.7090909090909" style="1" customWidth="1"/>
    <col min="5" max="5" width="21" style="1" customWidth="1"/>
    <col min="6" max="6" width="23" style="1" customWidth="1"/>
    <col min="7" max="7" width="44.5727272727273" style="1" customWidth="1"/>
    <col min="8" max="9" width="19.8545454545455" style="1" customWidth="1"/>
    <col min="10" max="11" width="29.7090909090909" style="1" customWidth="1"/>
    <col min="12" max="12" width="20" style="1" customWidth="1"/>
    <col min="13" max="16384" width="9.13636363636364" style="1"/>
  </cols>
  <sheetData>
    <row r="1" spans="1:12">
      <c r="A1" s="6" t="s">
        <v>205</v>
      </c>
      <c r="B1" s="6" t="s">
        <v>0</v>
      </c>
      <c r="C1" s="6" t="s">
        <v>1</v>
      </c>
      <c r="D1" s="6" t="s">
        <v>206</v>
      </c>
      <c r="E1" s="6" t="s">
        <v>207</v>
      </c>
      <c r="F1" s="6" t="s">
        <v>208</v>
      </c>
      <c r="G1" s="6" t="s">
        <v>209</v>
      </c>
      <c r="H1" s="6" t="s">
        <v>210</v>
      </c>
      <c r="I1" s="6" t="s">
        <v>211</v>
      </c>
      <c r="J1" s="6" t="s">
        <v>181</v>
      </c>
      <c r="K1" s="6" t="s">
        <v>212</v>
      </c>
      <c r="L1" s="6" t="s">
        <v>213</v>
      </c>
    </row>
    <row r="2" spans="1:12">
      <c r="A2" s="8" t="s">
        <v>214</v>
      </c>
      <c r="B2" s="1">
        <v>438864</v>
      </c>
      <c r="C2" s="9" t="str">
        <f>IFERROR(VLOOKUP(B2,Employee_Master!A:B,2,0)," ")</f>
        <v>Rajan Gupta</v>
      </c>
      <c r="D2" s="1" t="s">
        <v>182</v>
      </c>
      <c r="E2" s="1" t="s">
        <v>215</v>
      </c>
      <c r="F2" s="1" t="s">
        <v>215</v>
      </c>
      <c r="G2" s="1" t="s">
        <v>201</v>
      </c>
      <c r="H2" s="1">
        <f t="shared" ref="H2:H65" si="0">IF(F2="Yes",10,0)</f>
        <v>10</v>
      </c>
      <c r="I2" s="1">
        <f>IF(G2="Winner",100,IF(G2="Runner-up",70,IF(G2="2nd Runner-up",50,IF(G2="Semi",30,IF(G2="Quarter",20,0)))))</f>
        <v>70</v>
      </c>
      <c r="J2" s="1">
        <f>IFERROR(VLOOKUP(D2,Event_Master!B:E,4,FALSE),1)</f>
        <v>1</v>
      </c>
      <c r="K2" s="1">
        <f>(I2*J2)</f>
        <v>70</v>
      </c>
      <c r="L2" s="1">
        <f>K2+H2</f>
        <v>80</v>
      </c>
    </row>
    <row r="3" spans="1:12">
      <c r="A3" s="8" t="s">
        <v>214</v>
      </c>
      <c r="B3" s="1">
        <v>438864</v>
      </c>
      <c r="C3" s="9" t="str">
        <f>IFERROR(VLOOKUP(B3,Employee_Master!A:B,2,0)," ")</f>
        <v>Rajan Gupta</v>
      </c>
      <c r="D3" s="1" t="s">
        <v>189</v>
      </c>
      <c r="E3" s="1" t="s">
        <v>215</v>
      </c>
      <c r="F3" s="1" t="s">
        <v>215</v>
      </c>
      <c r="G3" s="1" t="s">
        <v>202</v>
      </c>
      <c r="H3" s="1">
        <f t="shared" si="0"/>
        <v>10</v>
      </c>
      <c r="I3" s="1">
        <f t="shared" ref="I3:I66" si="1">IF(G3="Winner",100,IF(G3="Runner-up",70,IF(G3="2nd Runner-up",50,IF(G3="Semi",30,IF(G3="Quarter",20,0)))))</f>
        <v>50</v>
      </c>
      <c r="J3" s="1">
        <f>IFERROR(VLOOKUP(D3,Event_Master!B:E,4,FALSE),1)</f>
        <v>1.5</v>
      </c>
      <c r="K3" s="1">
        <f t="shared" ref="K3:K66" si="2">(I3*J3)</f>
        <v>75</v>
      </c>
      <c r="L3" s="1">
        <f>K3+H3</f>
        <v>85</v>
      </c>
    </row>
    <row r="4" spans="1:12">
      <c r="A4" s="8" t="s">
        <v>216</v>
      </c>
      <c r="B4" s="1">
        <v>449635</v>
      </c>
      <c r="C4" s="9" t="str">
        <f>IFERROR(VLOOKUP(B4,Employee_Master!A:B,2,0)," ")</f>
        <v>Sushma Tiwari</v>
      </c>
      <c r="D4" s="1" t="s">
        <v>182</v>
      </c>
      <c r="E4" s="1" t="s">
        <v>215</v>
      </c>
      <c r="F4" s="1" t="s">
        <v>215</v>
      </c>
      <c r="G4" s="1" t="s">
        <v>200</v>
      </c>
      <c r="H4" s="1">
        <f t="shared" si="0"/>
        <v>10</v>
      </c>
      <c r="I4" s="1">
        <f t="shared" si="1"/>
        <v>100</v>
      </c>
      <c r="J4" s="1">
        <f>IFERROR(VLOOKUP(D4,Event_Master!B:E,4,FALSE),1)</f>
        <v>1</v>
      </c>
      <c r="K4" s="1">
        <f t="shared" si="2"/>
        <v>100</v>
      </c>
      <c r="L4" s="1">
        <f>K4+H4</f>
        <v>110</v>
      </c>
    </row>
    <row r="5" spans="1:12">
      <c r="A5" s="8" t="s">
        <v>216</v>
      </c>
      <c r="B5" s="1">
        <v>452073</v>
      </c>
      <c r="C5" s="9" t="str">
        <f>IFERROR(VLOOKUP(B5,Employee_Master!A:B,2,0)," ")</f>
        <v>AASHISH </v>
      </c>
      <c r="D5" s="1" t="s">
        <v>191</v>
      </c>
      <c r="E5" s="1" t="s">
        <v>215</v>
      </c>
      <c r="F5" s="1" t="s">
        <v>215</v>
      </c>
      <c r="G5" s="1" t="s">
        <v>200</v>
      </c>
      <c r="H5" s="1">
        <f t="shared" si="0"/>
        <v>10</v>
      </c>
      <c r="I5" s="1">
        <f t="shared" si="1"/>
        <v>100</v>
      </c>
      <c r="J5" s="1">
        <f>IFERROR(VLOOKUP(D5,Event_Master!B:E,4,FALSE),1)</f>
        <v>1.5</v>
      </c>
      <c r="K5" s="1">
        <f t="shared" si="2"/>
        <v>150</v>
      </c>
      <c r="L5" s="1">
        <f>K5+H5</f>
        <v>160</v>
      </c>
    </row>
    <row r="6" ht="16.5" spans="1:12">
      <c r="A6" s="8" t="s">
        <v>216</v>
      </c>
      <c r="B6" s="10">
        <v>492857</v>
      </c>
      <c r="C6" s="9" t="str">
        <f>IFERROR(VLOOKUP(B6,Employee_Master!A:B,2,0)," ")</f>
        <v>Arnima Thakur</v>
      </c>
      <c r="D6" s="1" t="s">
        <v>195</v>
      </c>
      <c r="E6" s="1" t="s">
        <v>215</v>
      </c>
      <c r="F6" s="1" t="s">
        <v>215</v>
      </c>
      <c r="G6" s="1" t="s">
        <v>200</v>
      </c>
      <c r="H6" s="1">
        <f t="shared" si="0"/>
        <v>10</v>
      </c>
      <c r="I6" s="1">
        <f t="shared" si="1"/>
        <v>100</v>
      </c>
      <c r="J6" s="1">
        <f>IFERROR(VLOOKUP(D6,Event_Master!B:E,4,FALSE),1)</f>
        <v>1.5</v>
      </c>
      <c r="K6" s="1">
        <f t="shared" si="2"/>
        <v>150</v>
      </c>
      <c r="L6" s="1">
        <f t="shared" ref="L6:L37" si="3">K6+H6</f>
        <v>160</v>
      </c>
    </row>
    <row r="7" ht="16.5" spans="1:12">
      <c r="A7" s="8" t="s">
        <v>216</v>
      </c>
      <c r="B7" s="10">
        <v>700216</v>
      </c>
      <c r="C7" s="9" t="str">
        <f>IFERROR(VLOOKUP(B7,Employee_Master!A:B,2,0)," ")</f>
        <v>Shivam Rani</v>
      </c>
      <c r="D7" s="1" t="s">
        <v>189</v>
      </c>
      <c r="E7" s="1" t="s">
        <v>215</v>
      </c>
      <c r="F7" s="1" t="s">
        <v>215</v>
      </c>
      <c r="G7" s="1" t="s">
        <v>200</v>
      </c>
      <c r="H7" s="1">
        <f t="shared" si="0"/>
        <v>10</v>
      </c>
      <c r="I7" s="1">
        <f t="shared" si="1"/>
        <v>100</v>
      </c>
      <c r="J7" s="1">
        <f>IFERROR(VLOOKUP(D7,Event_Master!B:E,4,FALSE),1)</f>
        <v>1.5</v>
      </c>
      <c r="K7" s="1">
        <f t="shared" si="2"/>
        <v>150</v>
      </c>
      <c r="L7" s="1">
        <f t="shared" si="3"/>
        <v>160</v>
      </c>
    </row>
    <row r="8" ht="16.5" spans="1:12">
      <c r="A8" s="8" t="s">
        <v>216</v>
      </c>
      <c r="B8" s="10">
        <v>705995</v>
      </c>
      <c r="C8" s="9" t="str">
        <f>IFERROR(VLOOKUP(B8,Employee_Master!A:B,2,0)," ")</f>
        <v>Sahil</v>
      </c>
      <c r="D8" s="1" t="s">
        <v>182</v>
      </c>
      <c r="E8" s="1" t="s">
        <v>215</v>
      </c>
      <c r="F8" s="1" t="s">
        <v>215</v>
      </c>
      <c r="G8" s="1" t="s">
        <v>202</v>
      </c>
      <c r="H8" s="1">
        <f t="shared" si="0"/>
        <v>10</v>
      </c>
      <c r="I8" s="1">
        <f t="shared" si="1"/>
        <v>50</v>
      </c>
      <c r="J8" s="1">
        <f>IFERROR(VLOOKUP(D8,Event_Master!B:E,4,FALSE),1)</f>
        <v>1</v>
      </c>
      <c r="K8" s="1">
        <f t="shared" si="2"/>
        <v>50</v>
      </c>
      <c r="L8" s="1">
        <f t="shared" si="3"/>
        <v>60</v>
      </c>
    </row>
    <row r="9" ht="16.5" spans="1:12">
      <c r="A9" s="8" t="s">
        <v>216</v>
      </c>
      <c r="B9" s="10">
        <v>706181</v>
      </c>
      <c r="C9" s="9" t="str">
        <f>IFERROR(VLOOKUP(B9,Employee_Master!A:B,2,0)," ")</f>
        <v>Sonam Kachhap</v>
      </c>
      <c r="D9" s="1" t="s">
        <v>191</v>
      </c>
      <c r="E9" s="1" t="s">
        <v>215</v>
      </c>
      <c r="F9" s="1" t="s">
        <v>215</v>
      </c>
      <c r="G9" s="1" t="s">
        <v>202</v>
      </c>
      <c r="H9" s="1">
        <f t="shared" si="0"/>
        <v>10</v>
      </c>
      <c r="I9" s="1">
        <f t="shared" si="1"/>
        <v>50</v>
      </c>
      <c r="J9" s="1">
        <f>IFERROR(VLOOKUP(D9,Event_Master!B:E,4,FALSE),1)</f>
        <v>1.5</v>
      </c>
      <c r="K9" s="1">
        <f t="shared" si="2"/>
        <v>75</v>
      </c>
      <c r="L9" s="1">
        <f t="shared" si="3"/>
        <v>85</v>
      </c>
    </row>
    <row r="10" ht="16.5" spans="1:12">
      <c r="A10" s="8" t="s">
        <v>216</v>
      </c>
      <c r="B10" s="10">
        <v>706306</v>
      </c>
      <c r="C10" s="9" t="str">
        <f>IFERROR(VLOOKUP(B10,Employee_Master!A:B,2,0)," ")</f>
        <v>SUBHASHREE PRIYADARSHINI NAYAK</v>
      </c>
      <c r="D10" s="1" t="s">
        <v>182</v>
      </c>
      <c r="E10" s="1" t="s">
        <v>215</v>
      </c>
      <c r="F10" s="1" t="s">
        <v>215</v>
      </c>
      <c r="G10" s="1" t="s">
        <v>203</v>
      </c>
      <c r="H10" s="1">
        <f t="shared" si="0"/>
        <v>10</v>
      </c>
      <c r="I10" s="1">
        <f t="shared" si="1"/>
        <v>30</v>
      </c>
      <c r="J10" s="1">
        <f>IFERROR(VLOOKUP(D10,Event_Master!B:E,4,FALSE),1)</f>
        <v>1</v>
      </c>
      <c r="K10" s="1">
        <f t="shared" si="2"/>
        <v>30</v>
      </c>
      <c r="L10" s="1">
        <f t="shared" si="3"/>
        <v>40</v>
      </c>
    </row>
    <row r="11" ht="16.5" spans="1:12">
      <c r="A11" s="8" t="s">
        <v>216</v>
      </c>
      <c r="B11" s="10">
        <v>705909</v>
      </c>
      <c r="C11" s="9" t="str">
        <f>IFERROR(VLOOKUP(B11,Employee_Master!A:B,2,0)," ")</f>
        <v>Tanmay Ghosal</v>
      </c>
      <c r="D11" s="1" t="s">
        <v>189</v>
      </c>
      <c r="E11" s="1" t="s">
        <v>215</v>
      </c>
      <c r="F11" s="1" t="s">
        <v>215</v>
      </c>
      <c r="G11" s="1" t="s">
        <v>201</v>
      </c>
      <c r="H11" s="1">
        <f t="shared" si="0"/>
        <v>10</v>
      </c>
      <c r="I11" s="1">
        <f t="shared" si="1"/>
        <v>70</v>
      </c>
      <c r="J11" s="1">
        <f>IFERROR(VLOOKUP(D11,Event_Master!B:E,4,FALSE),1)</f>
        <v>1.5</v>
      </c>
      <c r="K11" s="1">
        <f t="shared" si="2"/>
        <v>105</v>
      </c>
      <c r="L11" s="1">
        <f t="shared" si="3"/>
        <v>115</v>
      </c>
    </row>
    <row r="12" ht="16.5" spans="1:12">
      <c r="A12" s="8" t="s">
        <v>216</v>
      </c>
      <c r="B12" s="10">
        <v>707131</v>
      </c>
      <c r="C12" s="9" t="str">
        <f>IFERROR(VLOOKUP(B12,Employee_Master!A:B,2,0)," ")</f>
        <v>Puja Bhalotia</v>
      </c>
      <c r="D12" s="1" t="s">
        <v>182</v>
      </c>
      <c r="E12" s="1" t="s">
        <v>215</v>
      </c>
      <c r="F12" s="1" t="s">
        <v>215</v>
      </c>
      <c r="G12" s="1" t="s">
        <v>204</v>
      </c>
      <c r="H12" s="1">
        <f t="shared" si="0"/>
        <v>10</v>
      </c>
      <c r="I12" s="1">
        <f t="shared" si="1"/>
        <v>20</v>
      </c>
      <c r="J12" s="1">
        <f>IFERROR(VLOOKUP(D12,Event_Master!B:E,4,FALSE),1)</f>
        <v>1</v>
      </c>
      <c r="K12" s="1">
        <f t="shared" si="2"/>
        <v>20</v>
      </c>
      <c r="L12" s="1">
        <f t="shared" si="3"/>
        <v>30</v>
      </c>
    </row>
    <row r="13" ht="16.5" spans="1:12">
      <c r="A13" s="8" t="s">
        <v>216</v>
      </c>
      <c r="B13" s="10">
        <v>708792</v>
      </c>
      <c r="C13" s="9" t="str">
        <f>IFERROR(VLOOKUP(B13,Employee_Master!A:B,2,0)," ")</f>
        <v>Shubhanshu Pandey</v>
      </c>
      <c r="D13" s="1" t="s">
        <v>191</v>
      </c>
      <c r="E13" s="1" t="s">
        <v>215</v>
      </c>
      <c r="F13" s="1" t="s">
        <v>215</v>
      </c>
      <c r="H13" s="1">
        <f t="shared" si="0"/>
        <v>10</v>
      </c>
      <c r="I13" s="1">
        <f t="shared" si="1"/>
        <v>0</v>
      </c>
      <c r="J13" s="1">
        <f>IFERROR(VLOOKUP(D13,Event_Master!B:E,4,FALSE),1)</f>
        <v>1.5</v>
      </c>
      <c r="K13" s="1">
        <f t="shared" si="2"/>
        <v>0</v>
      </c>
      <c r="L13" s="1">
        <f t="shared" si="3"/>
        <v>10</v>
      </c>
    </row>
    <row r="14" ht="16.5" spans="1:12">
      <c r="A14" s="8" t="s">
        <v>216</v>
      </c>
      <c r="B14" s="10">
        <v>709664</v>
      </c>
      <c r="C14" s="9" t="str">
        <f>IFERROR(VLOOKUP(B14,Employee_Master!A:B,2,0)," ")</f>
        <v>Kavita Rathore</v>
      </c>
      <c r="D14" s="1" t="s">
        <v>182</v>
      </c>
      <c r="E14" s="1" t="s">
        <v>215</v>
      </c>
      <c r="F14" s="1" t="s">
        <v>215</v>
      </c>
      <c r="H14" s="1">
        <f t="shared" si="0"/>
        <v>10</v>
      </c>
      <c r="I14" s="1">
        <f t="shared" si="1"/>
        <v>0</v>
      </c>
      <c r="J14" s="1">
        <f>IFERROR(VLOOKUP(D14,Event_Master!B:E,4,FALSE),1)</f>
        <v>1</v>
      </c>
      <c r="K14" s="1">
        <f t="shared" si="2"/>
        <v>0</v>
      </c>
      <c r="L14" s="1">
        <f t="shared" si="3"/>
        <v>10</v>
      </c>
    </row>
    <row r="15" ht="16.5" spans="1:12">
      <c r="A15" s="8" t="s">
        <v>216</v>
      </c>
      <c r="B15" s="10">
        <v>710013</v>
      </c>
      <c r="C15" s="9" t="str">
        <f>IFERROR(VLOOKUP(B15,Employee_Master!A:B,2,0)," ")</f>
        <v>Jyoti</v>
      </c>
      <c r="D15" s="1" t="s">
        <v>196</v>
      </c>
      <c r="E15" s="1" t="s">
        <v>215</v>
      </c>
      <c r="F15" s="1" t="s">
        <v>215</v>
      </c>
      <c r="G15" s="1" t="s">
        <v>200</v>
      </c>
      <c r="H15" s="1">
        <f t="shared" si="0"/>
        <v>10</v>
      </c>
      <c r="I15" s="1">
        <f t="shared" si="1"/>
        <v>100</v>
      </c>
      <c r="J15" s="1">
        <f>IFERROR(VLOOKUP(D15,Event_Master!B:E,4,FALSE),1)</f>
        <v>1</v>
      </c>
      <c r="K15" s="1">
        <f t="shared" si="2"/>
        <v>100</v>
      </c>
      <c r="L15" s="1">
        <f t="shared" si="3"/>
        <v>110</v>
      </c>
    </row>
    <row r="16" ht="16.5" spans="1:12">
      <c r="A16" s="8" t="s">
        <v>216</v>
      </c>
      <c r="B16" s="10">
        <v>708792</v>
      </c>
      <c r="C16" s="9" t="str">
        <f>IFERROR(VLOOKUP(B16,Employee_Master!A:B,2,0)," ")</f>
        <v>Shubhanshu Pandey</v>
      </c>
      <c r="D16" s="1" t="s">
        <v>196</v>
      </c>
      <c r="E16" s="1" t="s">
        <v>215</v>
      </c>
      <c r="F16" s="1" t="s">
        <v>215</v>
      </c>
      <c r="G16" s="1" t="s">
        <v>201</v>
      </c>
      <c r="H16" s="1">
        <f t="shared" si="0"/>
        <v>10</v>
      </c>
      <c r="I16" s="1">
        <f t="shared" si="1"/>
        <v>70</v>
      </c>
      <c r="J16" s="1">
        <f>IFERROR(VLOOKUP(D16,Event_Master!B:E,4,FALSE),1)</f>
        <v>1</v>
      </c>
      <c r="K16" s="1">
        <f t="shared" si="2"/>
        <v>70</v>
      </c>
      <c r="L16" s="1">
        <f t="shared" si="3"/>
        <v>80</v>
      </c>
    </row>
    <row r="17" ht="16.5" spans="1:12">
      <c r="A17" s="8" t="s">
        <v>216</v>
      </c>
      <c r="B17" s="10">
        <v>709664</v>
      </c>
      <c r="C17" s="9" t="str">
        <f>IFERROR(VLOOKUP(B17,Employee_Master!A:B,2,0)," ")</f>
        <v>Kavita Rathore</v>
      </c>
      <c r="D17" s="1" t="s">
        <v>196</v>
      </c>
      <c r="E17" s="1" t="s">
        <v>215</v>
      </c>
      <c r="F17" s="1" t="s">
        <v>215</v>
      </c>
      <c r="G17" s="1" t="s">
        <v>202</v>
      </c>
      <c r="H17" s="1">
        <f t="shared" si="0"/>
        <v>10</v>
      </c>
      <c r="I17" s="1">
        <f t="shared" si="1"/>
        <v>50</v>
      </c>
      <c r="J17" s="1">
        <f>IFERROR(VLOOKUP(D17,Event_Master!B:E,4,FALSE),1)</f>
        <v>1</v>
      </c>
      <c r="K17" s="1">
        <f t="shared" si="2"/>
        <v>50</v>
      </c>
      <c r="L17" s="1">
        <f t="shared" si="3"/>
        <v>60</v>
      </c>
    </row>
    <row r="18" spans="3:12">
      <c r="C18" s="1" t="str">
        <f>IFERROR(VLOOKUP(B18,Employee_Master!A:B,2,0)," ")</f>
        <v> </v>
      </c>
      <c r="H18" s="1">
        <f t="shared" si="0"/>
        <v>0</v>
      </c>
      <c r="I18" s="1">
        <f t="shared" si="1"/>
        <v>0</v>
      </c>
      <c r="J18" s="1">
        <f>IFERROR(VLOOKUP(D18,Event_Master!B:E,4,FALSE),1)</f>
        <v>1</v>
      </c>
      <c r="K18" s="1">
        <f t="shared" si="2"/>
        <v>0</v>
      </c>
      <c r="L18" s="1">
        <f t="shared" si="3"/>
        <v>0</v>
      </c>
    </row>
    <row r="19" spans="3:12">
      <c r="C19" s="1" t="str">
        <f>IFERROR(VLOOKUP(B19,Employee_Master!A:B,2,0)," ")</f>
        <v> </v>
      </c>
      <c r="H19" s="1">
        <f t="shared" si="0"/>
        <v>0</v>
      </c>
      <c r="I19" s="1">
        <f t="shared" si="1"/>
        <v>0</v>
      </c>
      <c r="J19" s="1">
        <f>IFERROR(VLOOKUP(D19,Event_Master!B:E,4,FALSE),1)</f>
        <v>1</v>
      </c>
      <c r="K19" s="1">
        <f t="shared" si="2"/>
        <v>0</v>
      </c>
      <c r="L19" s="1">
        <f t="shared" si="3"/>
        <v>0</v>
      </c>
    </row>
    <row r="20" spans="3:12">
      <c r="C20" s="1" t="str">
        <f>IFERROR(VLOOKUP(B20,Employee_Master!A:B,2,0)," ")</f>
        <v> </v>
      </c>
      <c r="H20" s="1">
        <f t="shared" si="0"/>
        <v>0</v>
      </c>
      <c r="I20" s="1">
        <f t="shared" si="1"/>
        <v>0</v>
      </c>
      <c r="J20" s="1">
        <f>IFERROR(VLOOKUP(D20,Event_Master!B:E,4,FALSE),1)</f>
        <v>1</v>
      </c>
      <c r="K20" s="1">
        <f t="shared" si="2"/>
        <v>0</v>
      </c>
      <c r="L20" s="1">
        <f t="shared" si="3"/>
        <v>0</v>
      </c>
    </row>
    <row r="21" spans="3:12">
      <c r="C21" s="1" t="str">
        <f>IFERROR(VLOOKUP(B21,Employee_Master!A:B,2,0)," ")</f>
        <v> </v>
      </c>
      <c r="H21" s="1">
        <f t="shared" si="0"/>
        <v>0</v>
      </c>
      <c r="I21" s="1">
        <f t="shared" si="1"/>
        <v>0</v>
      </c>
      <c r="J21" s="1">
        <f>IFERROR(VLOOKUP(D21,Event_Master!B:E,4,FALSE),1)</f>
        <v>1</v>
      </c>
      <c r="K21" s="1">
        <f t="shared" si="2"/>
        <v>0</v>
      </c>
      <c r="L21" s="1">
        <f t="shared" si="3"/>
        <v>0</v>
      </c>
    </row>
    <row r="22" spans="3:12">
      <c r="C22" s="1" t="str">
        <f>IFERROR(VLOOKUP(B22,Employee_Master!A:B,2,0)," ")</f>
        <v> </v>
      </c>
      <c r="H22" s="1">
        <f t="shared" si="0"/>
        <v>0</v>
      </c>
      <c r="I22" s="1">
        <f t="shared" si="1"/>
        <v>0</v>
      </c>
      <c r="J22" s="1">
        <f>IFERROR(VLOOKUP(D22,Event_Master!B:E,4,FALSE),1)</f>
        <v>1</v>
      </c>
      <c r="K22" s="1">
        <f t="shared" si="2"/>
        <v>0</v>
      </c>
      <c r="L22" s="1">
        <f t="shared" si="3"/>
        <v>0</v>
      </c>
    </row>
    <row r="23" spans="3:12">
      <c r="C23" s="1" t="str">
        <f>IFERROR(VLOOKUP(B23,Employee_Master!A:B,2,0)," ")</f>
        <v> </v>
      </c>
      <c r="H23" s="1">
        <f t="shared" si="0"/>
        <v>0</v>
      </c>
      <c r="I23" s="1">
        <f t="shared" si="1"/>
        <v>0</v>
      </c>
      <c r="J23" s="1">
        <f>IFERROR(VLOOKUP(D23,Event_Master!B:E,4,FALSE),1)</f>
        <v>1</v>
      </c>
      <c r="K23" s="1">
        <f t="shared" si="2"/>
        <v>0</v>
      </c>
      <c r="L23" s="1">
        <f t="shared" si="3"/>
        <v>0</v>
      </c>
    </row>
    <row r="24" spans="3:12">
      <c r="C24" s="1" t="str">
        <f>IFERROR(VLOOKUP(B24,Employee_Master!A:B,2,0)," ")</f>
        <v> </v>
      </c>
      <c r="H24" s="1">
        <f t="shared" si="0"/>
        <v>0</v>
      </c>
      <c r="I24" s="1">
        <f t="shared" si="1"/>
        <v>0</v>
      </c>
      <c r="J24" s="1">
        <f>IFERROR(VLOOKUP(D24,Event_Master!B:E,4,FALSE),1)</f>
        <v>1</v>
      </c>
      <c r="K24" s="1">
        <f t="shared" si="2"/>
        <v>0</v>
      </c>
      <c r="L24" s="1">
        <f t="shared" si="3"/>
        <v>0</v>
      </c>
    </row>
    <row r="25" spans="3:12">
      <c r="C25" s="1" t="str">
        <f>IFERROR(VLOOKUP(B25,Employee_Master!A:B,2,0)," ")</f>
        <v> </v>
      </c>
      <c r="H25" s="1">
        <f t="shared" si="0"/>
        <v>0</v>
      </c>
      <c r="I25" s="1">
        <f t="shared" si="1"/>
        <v>0</v>
      </c>
      <c r="J25" s="1">
        <f>IFERROR(VLOOKUP(D25,Event_Master!B:E,4,FALSE),1)</f>
        <v>1</v>
      </c>
      <c r="K25" s="1">
        <f t="shared" si="2"/>
        <v>0</v>
      </c>
      <c r="L25" s="1">
        <f t="shared" si="3"/>
        <v>0</v>
      </c>
    </row>
    <row r="26" spans="3:12">
      <c r="C26" s="1" t="str">
        <f>IFERROR(VLOOKUP(B26,Employee_Master!A:B,2,0)," ")</f>
        <v> </v>
      </c>
      <c r="H26" s="1">
        <f t="shared" si="0"/>
        <v>0</v>
      </c>
      <c r="I26" s="1">
        <f t="shared" si="1"/>
        <v>0</v>
      </c>
      <c r="J26" s="1">
        <f>IFERROR(VLOOKUP(D26,Event_Master!B:E,4,FALSE),1)</f>
        <v>1</v>
      </c>
      <c r="K26" s="1">
        <f t="shared" si="2"/>
        <v>0</v>
      </c>
      <c r="L26" s="1">
        <f t="shared" si="3"/>
        <v>0</v>
      </c>
    </row>
    <row r="27" spans="3:12">
      <c r="C27" s="1" t="str">
        <f>IFERROR(VLOOKUP(B27,Employee_Master!A:B,2,0)," ")</f>
        <v> </v>
      </c>
      <c r="H27" s="1">
        <f t="shared" si="0"/>
        <v>0</v>
      </c>
      <c r="I27" s="1">
        <f t="shared" si="1"/>
        <v>0</v>
      </c>
      <c r="J27" s="1">
        <f>IFERROR(VLOOKUP(D27,Event_Master!B:E,4,FALSE),1)</f>
        <v>1</v>
      </c>
      <c r="K27" s="1">
        <f t="shared" si="2"/>
        <v>0</v>
      </c>
      <c r="L27" s="1">
        <f t="shared" si="3"/>
        <v>0</v>
      </c>
    </row>
    <row r="28" spans="3:12">
      <c r="C28" s="1" t="str">
        <f>IFERROR(VLOOKUP(B28,Employee_Master!A:B,2,0)," ")</f>
        <v> </v>
      </c>
      <c r="H28" s="1">
        <f t="shared" si="0"/>
        <v>0</v>
      </c>
      <c r="I28" s="1">
        <f t="shared" si="1"/>
        <v>0</v>
      </c>
      <c r="J28" s="1">
        <f>IFERROR(VLOOKUP(D28,Event_Master!B:E,4,FALSE),1)</f>
        <v>1</v>
      </c>
      <c r="K28" s="1">
        <f t="shared" si="2"/>
        <v>0</v>
      </c>
      <c r="L28" s="1">
        <f t="shared" si="3"/>
        <v>0</v>
      </c>
    </row>
    <row r="29" spans="3:12">
      <c r="C29" s="1" t="str">
        <f>IFERROR(VLOOKUP(B29,Employee_Master!A:B,2,0)," ")</f>
        <v> </v>
      </c>
      <c r="H29" s="1">
        <f t="shared" si="0"/>
        <v>0</v>
      </c>
      <c r="I29" s="1">
        <f t="shared" si="1"/>
        <v>0</v>
      </c>
      <c r="J29" s="1">
        <f>IFERROR(VLOOKUP(D29,Event_Master!B:E,4,FALSE),1)</f>
        <v>1</v>
      </c>
      <c r="K29" s="1">
        <f t="shared" si="2"/>
        <v>0</v>
      </c>
      <c r="L29" s="1">
        <f t="shared" si="3"/>
        <v>0</v>
      </c>
    </row>
    <row r="30" spans="3:12">
      <c r="C30" s="1" t="str">
        <f>IFERROR(VLOOKUP(B30,Employee_Master!A:B,2,0)," ")</f>
        <v> </v>
      </c>
      <c r="H30" s="1">
        <f t="shared" si="0"/>
        <v>0</v>
      </c>
      <c r="I30" s="1">
        <f t="shared" si="1"/>
        <v>0</v>
      </c>
      <c r="J30" s="1">
        <f>IFERROR(VLOOKUP(D30,Event_Master!B:E,4,FALSE),1)</f>
        <v>1</v>
      </c>
      <c r="K30" s="1">
        <f t="shared" si="2"/>
        <v>0</v>
      </c>
      <c r="L30" s="1">
        <f t="shared" si="3"/>
        <v>0</v>
      </c>
    </row>
    <row r="31" spans="3:12">
      <c r="C31" s="1" t="str">
        <f>IFERROR(VLOOKUP(B31,Employee_Master!A:B,2,0)," ")</f>
        <v> </v>
      </c>
      <c r="H31" s="1">
        <f t="shared" si="0"/>
        <v>0</v>
      </c>
      <c r="I31" s="1">
        <f t="shared" si="1"/>
        <v>0</v>
      </c>
      <c r="J31" s="1">
        <f>IFERROR(VLOOKUP(D31,Event_Master!B:E,4,FALSE),1)</f>
        <v>1</v>
      </c>
      <c r="K31" s="1">
        <f t="shared" si="2"/>
        <v>0</v>
      </c>
      <c r="L31" s="1">
        <f t="shared" si="3"/>
        <v>0</v>
      </c>
    </row>
    <row r="32" spans="3:12">
      <c r="C32" s="1" t="str">
        <f>IFERROR(VLOOKUP(B32,Employee_Master!A:B,2,0)," ")</f>
        <v> </v>
      </c>
      <c r="H32" s="1">
        <f t="shared" si="0"/>
        <v>0</v>
      </c>
      <c r="I32" s="1">
        <f t="shared" si="1"/>
        <v>0</v>
      </c>
      <c r="J32" s="1">
        <f>IFERROR(VLOOKUP(D32,Event_Master!B:E,4,FALSE),1)</f>
        <v>1</v>
      </c>
      <c r="K32" s="1">
        <f t="shared" si="2"/>
        <v>0</v>
      </c>
      <c r="L32" s="1">
        <f t="shared" si="3"/>
        <v>0</v>
      </c>
    </row>
    <row r="33" spans="3:12">
      <c r="C33" s="1" t="str">
        <f>IFERROR(VLOOKUP(B33,Employee_Master!A:B,2,0)," ")</f>
        <v> </v>
      </c>
      <c r="H33" s="1">
        <f t="shared" si="0"/>
        <v>0</v>
      </c>
      <c r="I33" s="1">
        <f t="shared" si="1"/>
        <v>0</v>
      </c>
      <c r="J33" s="1">
        <f>IFERROR(VLOOKUP(D33,Event_Master!B:E,4,FALSE),1)</f>
        <v>1</v>
      </c>
      <c r="K33" s="1">
        <f t="shared" si="2"/>
        <v>0</v>
      </c>
      <c r="L33" s="1">
        <f t="shared" si="3"/>
        <v>0</v>
      </c>
    </row>
    <row r="34" spans="3:12">
      <c r="C34" s="1" t="str">
        <f>IFERROR(VLOOKUP(B34,Employee_Master!A:B,2,0)," ")</f>
        <v> </v>
      </c>
      <c r="H34" s="1">
        <f t="shared" si="0"/>
        <v>0</v>
      </c>
      <c r="I34" s="1">
        <f t="shared" si="1"/>
        <v>0</v>
      </c>
      <c r="J34" s="1">
        <f>IFERROR(VLOOKUP(D34,Event_Master!B:E,4,FALSE),1)</f>
        <v>1</v>
      </c>
      <c r="K34" s="1">
        <f t="shared" si="2"/>
        <v>0</v>
      </c>
      <c r="L34" s="1">
        <f t="shared" si="3"/>
        <v>0</v>
      </c>
    </row>
    <row r="35" spans="3:12">
      <c r="C35" s="1" t="str">
        <f>IFERROR(VLOOKUP(B35,Employee_Master!A:B,2,0)," ")</f>
        <v> </v>
      </c>
      <c r="H35" s="1">
        <f t="shared" si="0"/>
        <v>0</v>
      </c>
      <c r="I35" s="1">
        <f t="shared" si="1"/>
        <v>0</v>
      </c>
      <c r="J35" s="1">
        <f>IFERROR(VLOOKUP(D35,Event_Master!B:E,4,FALSE),1)</f>
        <v>1</v>
      </c>
      <c r="K35" s="1">
        <f t="shared" si="2"/>
        <v>0</v>
      </c>
      <c r="L35" s="1">
        <f t="shared" si="3"/>
        <v>0</v>
      </c>
    </row>
    <row r="36" spans="3:12">
      <c r="C36" s="1" t="str">
        <f>IFERROR(VLOOKUP(B36,Employee_Master!A:B,2,0)," ")</f>
        <v> </v>
      </c>
      <c r="H36" s="1">
        <f t="shared" si="0"/>
        <v>0</v>
      </c>
      <c r="I36" s="1">
        <f t="shared" si="1"/>
        <v>0</v>
      </c>
      <c r="J36" s="1">
        <f>IFERROR(VLOOKUP(D36,Event_Master!B:E,4,FALSE),1)</f>
        <v>1</v>
      </c>
      <c r="K36" s="1">
        <f t="shared" si="2"/>
        <v>0</v>
      </c>
      <c r="L36" s="1">
        <f t="shared" si="3"/>
        <v>0</v>
      </c>
    </row>
    <row r="37" spans="3:12">
      <c r="C37" s="1" t="str">
        <f>IFERROR(VLOOKUP(B37,Employee_Master!A:B,2,0)," ")</f>
        <v> </v>
      </c>
      <c r="H37" s="1">
        <f t="shared" si="0"/>
        <v>0</v>
      </c>
      <c r="I37" s="1">
        <f t="shared" si="1"/>
        <v>0</v>
      </c>
      <c r="J37" s="1">
        <f>IFERROR(VLOOKUP(D37,Event_Master!B:E,4,FALSE),1)</f>
        <v>1</v>
      </c>
      <c r="K37" s="1">
        <f t="shared" si="2"/>
        <v>0</v>
      </c>
      <c r="L37" s="1">
        <f t="shared" si="3"/>
        <v>0</v>
      </c>
    </row>
    <row r="38" spans="3:12">
      <c r="C38" s="1" t="str">
        <f>IFERROR(VLOOKUP(B38,Employee_Master!A:B,2,0)," ")</f>
        <v> </v>
      </c>
      <c r="H38" s="1">
        <f t="shared" si="0"/>
        <v>0</v>
      </c>
      <c r="I38" s="1">
        <f t="shared" si="1"/>
        <v>0</v>
      </c>
      <c r="J38" s="1">
        <f>IFERROR(VLOOKUP(D38,Event_Master!B:E,4,FALSE),1)</f>
        <v>1</v>
      </c>
      <c r="K38" s="1">
        <f t="shared" si="2"/>
        <v>0</v>
      </c>
      <c r="L38" s="1">
        <f t="shared" ref="L38:L69" si="4">K38+H38</f>
        <v>0</v>
      </c>
    </row>
    <row r="39" spans="3:12">
      <c r="C39" s="1" t="str">
        <f>IFERROR(VLOOKUP(B39,Employee_Master!A:B,2,0)," ")</f>
        <v> </v>
      </c>
      <c r="H39" s="1">
        <f t="shared" si="0"/>
        <v>0</v>
      </c>
      <c r="I39" s="1">
        <f t="shared" si="1"/>
        <v>0</v>
      </c>
      <c r="J39" s="1">
        <f>IFERROR(VLOOKUP(D39,Event_Master!B:E,4,FALSE),1)</f>
        <v>1</v>
      </c>
      <c r="K39" s="1">
        <f t="shared" si="2"/>
        <v>0</v>
      </c>
      <c r="L39" s="1">
        <f t="shared" si="4"/>
        <v>0</v>
      </c>
    </row>
    <row r="40" spans="3:12">
      <c r="C40" s="1" t="str">
        <f>IFERROR(VLOOKUP(B40,Employee_Master!A:B,2,0)," ")</f>
        <v> </v>
      </c>
      <c r="H40" s="1">
        <f t="shared" si="0"/>
        <v>0</v>
      </c>
      <c r="I40" s="1">
        <f t="shared" si="1"/>
        <v>0</v>
      </c>
      <c r="J40" s="1">
        <f>IFERROR(VLOOKUP(D40,Event_Master!B:E,4,FALSE),1)</f>
        <v>1</v>
      </c>
      <c r="K40" s="1">
        <f t="shared" si="2"/>
        <v>0</v>
      </c>
      <c r="L40" s="1">
        <f t="shared" si="4"/>
        <v>0</v>
      </c>
    </row>
    <row r="41" spans="3:12">
      <c r="C41" s="1" t="str">
        <f>IFERROR(VLOOKUP(B41,Employee_Master!A:B,2,0)," ")</f>
        <v> </v>
      </c>
      <c r="H41" s="1">
        <f t="shared" si="0"/>
        <v>0</v>
      </c>
      <c r="I41" s="1">
        <f t="shared" si="1"/>
        <v>0</v>
      </c>
      <c r="J41" s="1">
        <f>IFERROR(VLOOKUP(D41,Event_Master!B:E,4,FALSE),1)</f>
        <v>1</v>
      </c>
      <c r="K41" s="1">
        <f t="shared" si="2"/>
        <v>0</v>
      </c>
      <c r="L41" s="1">
        <f t="shared" si="4"/>
        <v>0</v>
      </c>
    </row>
    <row r="42" spans="3:12">
      <c r="C42" s="1" t="str">
        <f>IFERROR(VLOOKUP(B42,Employee_Master!A:B,2,0)," ")</f>
        <v> </v>
      </c>
      <c r="H42" s="1">
        <f t="shared" si="0"/>
        <v>0</v>
      </c>
      <c r="I42" s="1">
        <f t="shared" si="1"/>
        <v>0</v>
      </c>
      <c r="J42" s="1">
        <f>IFERROR(VLOOKUP(D42,Event_Master!B:E,4,FALSE),1)</f>
        <v>1</v>
      </c>
      <c r="K42" s="1">
        <f t="shared" si="2"/>
        <v>0</v>
      </c>
      <c r="L42" s="1">
        <f t="shared" si="4"/>
        <v>0</v>
      </c>
    </row>
    <row r="43" spans="3:12">
      <c r="C43" s="1" t="str">
        <f>IFERROR(VLOOKUP(B43,Employee_Master!A:B,2,0)," ")</f>
        <v> </v>
      </c>
      <c r="H43" s="1">
        <f t="shared" si="0"/>
        <v>0</v>
      </c>
      <c r="I43" s="1">
        <f t="shared" si="1"/>
        <v>0</v>
      </c>
      <c r="J43" s="1">
        <f>IFERROR(VLOOKUP(D43,Event_Master!B:E,4,FALSE),1)</f>
        <v>1</v>
      </c>
      <c r="K43" s="1">
        <f t="shared" si="2"/>
        <v>0</v>
      </c>
      <c r="L43" s="1">
        <f t="shared" si="4"/>
        <v>0</v>
      </c>
    </row>
    <row r="44" spans="3:12">
      <c r="C44" s="1" t="str">
        <f>IFERROR(VLOOKUP(B44,Employee_Master!A:B,2,0)," ")</f>
        <v> </v>
      </c>
      <c r="H44" s="1">
        <f t="shared" si="0"/>
        <v>0</v>
      </c>
      <c r="I44" s="1">
        <f t="shared" si="1"/>
        <v>0</v>
      </c>
      <c r="J44" s="1">
        <f>IFERROR(VLOOKUP(D44,Event_Master!B:E,4,FALSE),1)</f>
        <v>1</v>
      </c>
      <c r="K44" s="1">
        <f t="shared" si="2"/>
        <v>0</v>
      </c>
      <c r="L44" s="1">
        <f t="shared" si="4"/>
        <v>0</v>
      </c>
    </row>
    <row r="45" spans="3:12">
      <c r="C45" s="1" t="str">
        <f>IFERROR(VLOOKUP(B45,Employee_Master!A:B,2,0)," ")</f>
        <v> </v>
      </c>
      <c r="H45" s="1">
        <f t="shared" si="0"/>
        <v>0</v>
      </c>
      <c r="I45" s="1">
        <f t="shared" si="1"/>
        <v>0</v>
      </c>
      <c r="J45" s="1">
        <f>IFERROR(VLOOKUP(D45,Event_Master!B:E,4,FALSE),1)</f>
        <v>1</v>
      </c>
      <c r="K45" s="1">
        <f t="shared" si="2"/>
        <v>0</v>
      </c>
      <c r="L45" s="1">
        <f t="shared" si="4"/>
        <v>0</v>
      </c>
    </row>
    <row r="46" spans="3:12">
      <c r="C46" s="1" t="str">
        <f>IFERROR(VLOOKUP(B46,Employee_Master!A:B,2,0)," ")</f>
        <v> </v>
      </c>
      <c r="H46" s="1">
        <f t="shared" si="0"/>
        <v>0</v>
      </c>
      <c r="I46" s="1">
        <f t="shared" si="1"/>
        <v>0</v>
      </c>
      <c r="J46" s="1">
        <f>IFERROR(VLOOKUP(D46,Event_Master!B:E,4,FALSE),1)</f>
        <v>1</v>
      </c>
      <c r="K46" s="1">
        <f t="shared" si="2"/>
        <v>0</v>
      </c>
      <c r="L46" s="1">
        <f t="shared" si="4"/>
        <v>0</v>
      </c>
    </row>
    <row r="47" spans="3:12">
      <c r="C47" s="1" t="str">
        <f>IFERROR(VLOOKUP(B47,Employee_Master!A:B,2,0)," ")</f>
        <v> </v>
      </c>
      <c r="H47" s="1">
        <f t="shared" si="0"/>
        <v>0</v>
      </c>
      <c r="I47" s="1">
        <f t="shared" si="1"/>
        <v>0</v>
      </c>
      <c r="J47" s="1">
        <f>IFERROR(VLOOKUP(D47,Event_Master!B:E,4,FALSE),1)</f>
        <v>1</v>
      </c>
      <c r="K47" s="1">
        <f t="shared" si="2"/>
        <v>0</v>
      </c>
      <c r="L47" s="1">
        <f t="shared" si="4"/>
        <v>0</v>
      </c>
    </row>
    <row r="48" spans="3:12">
      <c r="C48" s="1" t="str">
        <f>IFERROR(VLOOKUP(B48,Employee_Master!A:B,2,0)," ")</f>
        <v> </v>
      </c>
      <c r="H48" s="1">
        <f t="shared" si="0"/>
        <v>0</v>
      </c>
      <c r="I48" s="1">
        <f t="shared" si="1"/>
        <v>0</v>
      </c>
      <c r="J48" s="1">
        <f>IFERROR(VLOOKUP(D48,Event_Master!B:E,4,FALSE),1)</f>
        <v>1</v>
      </c>
      <c r="K48" s="1">
        <f t="shared" si="2"/>
        <v>0</v>
      </c>
      <c r="L48" s="1">
        <f t="shared" si="4"/>
        <v>0</v>
      </c>
    </row>
    <row r="49" spans="3:12">
      <c r="C49" s="1" t="str">
        <f>IFERROR(VLOOKUP(B49,Employee_Master!A:B,2,0)," ")</f>
        <v> </v>
      </c>
      <c r="H49" s="1">
        <f t="shared" si="0"/>
        <v>0</v>
      </c>
      <c r="I49" s="1">
        <f t="shared" si="1"/>
        <v>0</v>
      </c>
      <c r="J49" s="1">
        <f>IFERROR(VLOOKUP(D49,Event_Master!B:E,4,FALSE),1)</f>
        <v>1</v>
      </c>
      <c r="K49" s="1">
        <f t="shared" si="2"/>
        <v>0</v>
      </c>
      <c r="L49" s="1">
        <f t="shared" si="4"/>
        <v>0</v>
      </c>
    </row>
    <row r="50" spans="3:12">
      <c r="C50" s="1" t="str">
        <f>IFERROR(VLOOKUP(B50,Employee_Master!A:B,2,0)," ")</f>
        <v> </v>
      </c>
      <c r="H50" s="1">
        <f t="shared" si="0"/>
        <v>0</v>
      </c>
      <c r="I50" s="1">
        <f t="shared" si="1"/>
        <v>0</v>
      </c>
      <c r="J50" s="1">
        <f>IFERROR(VLOOKUP(D50,Event_Master!B:E,4,FALSE),1)</f>
        <v>1</v>
      </c>
      <c r="K50" s="1">
        <f t="shared" si="2"/>
        <v>0</v>
      </c>
      <c r="L50" s="1">
        <f t="shared" si="4"/>
        <v>0</v>
      </c>
    </row>
    <row r="51" spans="3:12">
      <c r="C51" s="1" t="str">
        <f>IFERROR(VLOOKUP(B51,Employee_Master!A:B,2,0)," ")</f>
        <v> </v>
      </c>
      <c r="H51" s="1">
        <f t="shared" si="0"/>
        <v>0</v>
      </c>
      <c r="I51" s="1">
        <f t="shared" si="1"/>
        <v>0</v>
      </c>
      <c r="J51" s="1">
        <f>IFERROR(VLOOKUP(D51,Event_Master!B:E,4,FALSE),1)</f>
        <v>1</v>
      </c>
      <c r="K51" s="1">
        <f t="shared" si="2"/>
        <v>0</v>
      </c>
      <c r="L51" s="1">
        <f t="shared" si="4"/>
        <v>0</v>
      </c>
    </row>
    <row r="52" spans="3:12">
      <c r="C52" s="1" t="str">
        <f>IFERROR(VLOOKUP(B52,Employee_Master!A:B,2,0)," ")</f>
        <v> </v>
      </c>
      <c r="H52" s="1">
        <f t="shared" si="0"/>
        <v>0</v>
      </c>
      <c r="I52" s="1">
        <f t="shared" si="1"/>
        <v>0</v>
      </c>
      <c r="J52" s="1">
        <f>IFERROR(VLOOKUP(D52,Event_Master!B:E,4,FALSE),1)</f>
        <v>1</v>
      </c>
      <c r="K52" s="1">
        <f t="shared" si="2"/>
        <v>0</v>
      </c>
      <c r="L52" s="1">
        <f t="shared" si="4"/>
        <v>0</v>
      </c>
    </row>
    <row r="53" spans="3:12">
      <c r="C53" s="1" t="str">
        <f>IFERROR(VLOOKUP(B53,Employee_Master!A:B,2,0)," ")</f>
        <v> </v>
      </c>
      <c r="H53" s="1">
        <f t="shared" si="0"/>
        <v>0</v>
      </c>
      <c r="I53" s="1">
        <f t="shared" si="1"/>
        <v>0</v>
      </c>
      <c r="J53" s="1">
        <f>IFERROR(VLOOKUP(D53,Event_Master!B:E,4,FALSE),1)</f>
        <v>1</v>
      </c>
      <c r="K53" s="1">
        <f t="shared" si="2"/>
        <v>0</v>
      </c>
      <c r="L53" s="1">
        <f t="shared" si="4"/>
        <v>0</v>
      </c>
    </row>
    <row r="54" spans="3:12">
      <c r="C54" s="1" t="str">
        <f>IFERROR(VLOOKUP(B54,Employee_Master!A:B,2,0)," ")</f>
        <v> </v>
      </c>
      <c r="H54" s="1">
        <f t="shared" si="0"/>
        <v>0</v>
      </c>
      <c r="I54" s="1">
        <f t="shared" si="1"/>
        <v>0</v>
      </c>
      <c r="J54" s="1">
        <f>IFERROR(VLOOKUP(D54,Event_Master!B:E,4,FALSE),1)</f>
        <v>1</v>
      </c>
      <c r="K54" s="1">
        <f t="shared" si="2"/>
        <v>0</v>
      </c>
      <c r="L54" s="1">
        <f t="shared" si="4"/>
        <v>0</v>
      </c>
    </row>
    <row r="55" spans="3:12">
      <c r="C55" s="1" t="str">
        <f>IFERROR(VLOOKUP(B55,Employee_Master!A:B,2,0)," ")</f>
        <v> </v>
      </c>
      <c r="H55" s="1">
        <f t="shared" si="0"/>
        <v>0</v>
      </c>
      <c r="I55" s="1">
        <f t="shared" si="1"/>
        <v>0</v>
      </c>
      <c r="J55" s="1">
        <f>IFERROR(VLOOKUP(D55,Event_Master!B:E,4,FALSE),1)</f>
        <v>1</v>
      </c>
      <c r="K55" s="1">
        <f t="shared" si="2"/>
        <v>0</v>
      </c>
      <c r="L55" s="1">
        <f t="shared" si="4"/>
        <v>0</v>
      </c>
    </row>
    <row r="56" spans="3:12">
      <c r="C56" s="1" t="str">
        <f>IFERROR(VLOOKUP(B56,Employee_Master!A:B,2,0)," ")</f>
        <v> </v>
      </c>
      <c r="H56" s="1">
        <f t="shared" si="0"/>
        <v>0</v>
      </c>
      <c r="I56" s="1">
        <f t="shared" si="1"/>
        <v>0</v>
      </c>
      <c r="J56" s="1">
        <f>IFERROR(VLOOKUP(D56,Event_Master!B:E,4,FALSE),1)</f>
        <v>1</v>
      </c>
      <c r="K56" s="1">
        <f t="shared" si="2"/>
        <v>0</v>
      </c>
      <c r="L56" s="1">
        <f t="shared" si="4"/>
        <v>0</v>
      </c>
    </row>
    <row r="57" spans="3:12">
      <c r="C57" s="1" t="str">
        <f>IFERROR(VLOOKUP(B57,Employee_Master!A:B,2,0)," ")</f>
        <v> </v>
      </c>
      <c r="H57" s="1">
        <f t="shared" si="0"/>
        <v>0</v>
      </c>
      <c r="I57" s="1">
        <f t="shared" si="1"/>
        <v>0</v>
      </c>
      <c r="J57" s="1">
        <f>IFERROR(VLOOKUP(D57,Event_Master!B:E,4,FALSE),1)</f>
        <v>1</v>
      </c>
      <c r="K57" s="1">
        <f t="shared" si="2"/>
        <v>0</v>
      </c>
      <c r="L57" s="1">
        <f t="shared" si="4"/>
        <v>0</v>
      </c>
    </row>
    <row r="58" spans="3:12">
      <c r="C58" s="1" t="str">
        <f>IFERROR(VLOOKUP(B58,Employee_Master!A:B,2,0)," ")</f>
        <v> </v>
      </c>
      <c r="H58" s="1">
        <f t="shared" si="0"/>
        <v>0</v>
      </c>
      <c r="I58" s="1">
        <f t="shared" si="1"/>
        <v>0</v>
      </c>
      <c r="J58" s="1">
        <f>IFERROR(VLOOKUP(D58,Event_Master!B:E,4,FALSE),1)</f>
        <v>1</v>
      </c>
      <c r="K58" s="1">
        <f t="shared" si="2"/>
        <v>0</v>
      </c>
      <c r="L58" s="1">
        <f t="shared" si="4"/>
        <v>0</v>
      </c>
    </row>
    <row r="59" spans="3:12">
      <c r="C59" s="1" t="str">
        <f>IFERROR(VLOOKUP(B59,Employee_Master!A:B,2,0)," ")</f>
        <v> </v>
      </c>
      <c r="H59" s="1">
        <f t="shared" si="0"/>
        <v>0</v>
      </c>
      <c r="I59" s="1">
        <f t="shared" si="1"/>
        <v>0</v>
      </c>
      <c r="J59" s="1">
        <f>IFERROR(VLOOKUP(D59,Event_Master!B:E,4,FALSE),1)</f>
        <v>1</v>
      </c>
      <c r="K59" s="1">
        <f t="shared" si="2"/>
        <v>0</v>
      </c>
      <c r="L59" s="1">
        <f t="shared" si="4"/>
        <v>0</v>
      </c>
    </row>
    <row r="60" spans="3:12">
      <c r="C60" s="1" t="str">
        <f>IFERROR(VLOOKUP(B60,Employee_Master!A:B,2,0)," ")</f>
        <v> </v>
      </c>
      <c r="H60" s="1">
        <f t="shared" si="0"/>
        <v>0</v>
      </c>
      <c r="I60" s="1">
        <f t="shared" si="1"/>
        <v>0</v>
      </c>
      <c r="J60" s="1">
        <f>IFERROR(VLOOKUP(D60,Event_Master!B:E,4,FALSE),1)</f>
        <v>1</v>
      </c>
      <c r="K60" s="1">
        <f t="shared" si="2"/>
        <v>0</v>
      </c>
      <c r="L60" s="1">
        <f t="shared" si="4"/>
        <v>0</v>
      </c>
    </row>
    <row r="61" spans="3:12">
      <c r="C61" s="1" t="str">
        <f>IFERROR(VLOOKUP(B61,Employee_Master!A:B,2,0)," ")</f>
        <v> </v>
      </c>
      <c r="H61" s="1">
        <f t="shared" si="0"/>
        <v>0</v>
      </c>
      <c r="I61" s="1">
        <f t="shared" si="1"/>
        <v>0</v>
      </c>
      <c r="J61" s="1">
        <f>IFERROR(VLOOKUP(D61,Event_Master!B:E,4,FALSE),1)</f>
        <v>1</v>
      </c>
      <c r="K61" s="1">
        <f t="shared" si="2"/>
        <v>0</v>
      </c>
      <c r="L61" s="1">
        <f t="shared" si="4"/>
        <v>0</v>
      </c>
    </row>
    <row r="62" spans="3:12">
      <c r="C62" s="1" t="str">
        <f>IFERROR(VLOOKUP(B62,Employee_Master!A:B,2,0)," ")</f>
        <v> </v>
      </c>
      <c r="H62" s="1">
        <f t="shared" si="0"/>
        <v>0</v>
      </c>
      <c r="I62" s="1">
        <f t="shared" si="1"/>
        <v>0</v>
      </c>
      <c r="J62" s="1">
        <f>IFERROR(VLOOKUP(D62,Event_Master!B:E,4,FALSE),1)</f>
        <v>1</v>
      </c>
      <c r="K62" s="1">
        <f t="shared" si="2"/>
        <v>0</v>
      </c>
      <c r="L62" s="1">
        <f t="shared" si="4"/>
        <v>0</v>
      </c>
    </row>
    <row r="63" spans="3:12">
      <c r="C63" s="1" t="str">
        <f>IFERROR(VLOOKUP(B63,Employee_Master!A:B,2,0)," ")</f>
        <v> </v>
      </c>
      <c r="H63" s="1">
        <f t="shared" si="0"/>
        <v>0</v>
      </c>
      <c r="I63" s="1">
        <f t="shared" si="1"/>
        <v>0</v>
      </c>
      <c r="J63" s="1">
        <f>IFERROR(VLOOKUP(D63,Event_Master!B:E,4,FALSE),1)</f>
        <v>1</v>
      </c>
      <c r="K63" s="1">
        <f t="shared" si="2"/>
        <v>0</v>
      </c>
      <c r="L63" s="1">
        <f t="shared" si="4"/>
        <v>0</v>
      </c>
    </row>
    <row r="64" spans="3:12">
      <c r="C64" s="1" t="str">
        <f>IFERROR(VLOOKUP(B64,Employee_Master!A:B,2,0)," ")</f>
        <v> </v>
      </c>
      <c r="H64" s="1">
        <f t="shared" si="0"/>
        <v>0</v>
      </c>
      <c r="I64" s="1">
        <f t="shared" si="1"/>
        <v>0</v>
      </c>
      <c r="J64" s="1">
        <f>IFERROR(VLOOKUP(D64,Event_Master!B:E,4,FALSE),1)</f>
        <v>1</v>
      </c>
      <c r="K64" s="1">
        <f t="shared" si="2"/>
        <v>0</v>
      </c>
      <c r="L64" s="1">
        <f t="shared" si="4"/>
        <v>0</v>
      </c>
    </row>
    <row r="65" spans="3:12">
      <c r="C65" s="1" t="str">
        <f>IFERROR(VLOOKUP(B65,Employee_Master!A:B,2,0)," ")</f>
        <v> </v>
      </c>
      <c r="H65" s="1">
        <f t="shared" si="0"/>
        <v>0</v>
      </c>
      <c r="I65" s="1">
        <f t="shared" si="1"/>
        <v>0</v>
      </c>
      <c r="J65" s="1">
        <f>IFERROR(VLOOKUP(D65,Event_Master!B:E,4,FALSE),1)</f>
        <v>1</v>
      </c>
      <c r="K65" s="1">
        <f t="shared" si="2"/>
        <v>0</v>
      </c>
      <c r="L65" s="1">
        <f t="shared" si="4"/>
        <v>0</v>
      </c>
    </row>
    <row r="66" spans="3:12">
      <c r="C66" s="1" t="str">
        <f>IFERROR(VLOOKUP(B66,Employee_Master!A:B,2,0)," ")</f>
        <v> </v>
      </c>
      <c r="H66" s="1">
        <f t="shared" ref="H66:H129" si="5">IF(F66="Yes",10,0)</f>
        <v>0</v>
      </c>
      <c r="I66" s="1">
        <f t="shared" si="1"/>
        <v>0</v>
      </c>
      <c r="J66" s="1">
        <f>IFERROR(VLOOKUP(D66,Event_Master!B:E,4,FALSE),1)</f>
        <v>1</v>
      </c>
      <c r="K66" s="1">
        <f t="shared" si="2"/>
        <v>0</v>
      </c>
      <c r="L66" s="1">
        <f t="shared" si="4"/>
        <v>0</v>
      </c>
    </row>
    <row r="67" spans="3:12">
      <c r="C67" s="1" t="str">
        <f>IFERROR(VLOOKUP(B67,Employee_Master!A:B,2,0)," ")</f>
        <v> </v>
      </c>
      <c r="H67" s="1">
        <f t="shared" si="5"/>
        <v>0</v>
      </c>
      <c r="I67" s="1">
        <f t="shared" ref="I67:I130" si="6">IF(G67="Winner",100,IF(G67="Runner-up",70,IF(G67="2nd Runner-up",50,IF(G67="Semi",30,IF(G67="Quarter",20,0)))))</f>
        <v>0</v>
      </c>
      <c r="J67" s="1">
        <f>IFERROR(VLOOKUP(D67,Event_Master!B:E,4,FALSE),1)</f>
        <v>1</v>
      </c>
      <c r="K67" s="1">
        <f t="shared" ref="K67:K130" si="7">(I67*J67)</f>
        <v>0</v>
      </c>
      <c r="L67" s="1">
        <f t="shared" si="4"/>
        <v>0</v>
      </c>
    </row>
    <row r="68" spans="3:12">
      <c r="C68" s="1" t="str">
        <f>IFERROR(VLOOKUP(B68,Employee_Master!A:B,2,0)," ")</f>
        <v> </v>
      </c>
      <c r="H68" s="1">
        <f t="shared" si="5"/>
        <v>0</v>
      </c>
      <c r="I68" s="1">
        <f t="shared" si="6"/>
        <v>0</v>
      </c>
      <c r="J68" s="1">
        <f>IFERROR(VLOOKUP(D68,Event_Master!B:E,4,FALSE),1)</f>
        <v>1</v>
      </c>
      <c r="K68" s="1">
        <f t="shared" si="7"/>
        <v>0</v>
      </c>
      <c r="L68" s="1">
        <f t="shared" si="4"/>
        <v>0</v>
      </c>
    </row>
    <row r="69" spans="3:12">
      <c r="C69" s="1" t="str">
        <f>IFERROR(VLOOKUP(B69,Employee_Master!A:B,2,0)," ")</f>
        <v> </v>
      </c>
      <c r="H69" s="1">
        <f t="shared" si="5"/>
        <v>0</v>
      </c>
      <c r="I69" s="1">
        <f t="shared" si="6"/>
        <v>0</v>
      </c>
      <c r="J69" s="1">
        <f>IFERROR(VLOOKUP(D69,Event_Master!B:E,4,FALSE),1)</f>
        <v>1</v>
      </c>
      <c r="K69" s="1">
        <f t="shared" si="7"/>
        <v>0</v>
      </c>
      <c r="L69" s="1">
        <f t="shared" si="4"/>
        <v>0</v>
      </c>
    </row>
    <row r="70" spans="3:12">
      <c r="C70" s="1" t="str">
        <f>IFERROR(VLOOKUP(B70,Employee_Master!A:B,2,0)," ")</f>
        <v> </v>
      </c>
      <c r="H70" s="1">
        <f t="shared" si="5"/>
        <v>0</v>
      </c>
      <c r="I70" s="1">
        <f t="shared" si="6"/>
        <v>0</v>
      </c>
      <c r="J70" s="1">
        <f>IFERROR(VLOOKUP(D70,Event_Master!B:E,4,FALSE),1)</f>
        <v>1</v>
      </c>
      <c r="K70" s="1">
        <f t="shared" si="7"/>
        <v>0</v>
      </c>
      <c r="L70" s="1">
        <f t="shared" ref="L70:L101" si="8">K70+H70</f>
        <v>0</v>
      </c>
    </row>
    <row r="71" spans="3:12">
      <c r="C71" s="1" t="str">
        <f>IFERROR(VLOOKUP(B71,Employee_Master!A:B,2,0)," ")</f>
        <v> </v>
      </c>
      <c r="H71" s="1">
        <f t="shared" si="5"/>
        <v>0</v>
      </c>
      <c r="I71" s="1">
        <f t="shared" si="6"/>
        <v>0</v>
      </c>
      <c r="J71" s="1">
        <f>IFERROR(VLOOKUP(D71,Event_Master!B:E,4,FALSE),1)</f>
        <v>1</v>
      </c>
      <c r="K71" s="1">
        <f t="shared" si="7"/>
        <v>0</v>
      </c>
      <c r="L71" s="1">
        <f t="shared" si="8"/>
        <v>0</v>
      </c>
    </row>
    <row r="72" spans="3:12">
      <c r="C72" s="1" t="str">
        <f>IFERROR(VLOOKUP(B72,Employee_Master!A:B,2,0)," ")</f>
        <v> </v>
      </c>
      <c r="H72" s="1">
        <f t="shared" si="5"/>
        <v>0</v>
      </c>
      <c r="I72" s="1">
        <f t="shared" si="6"/>
        <v>0</v>
      </c>
      <c r="J72" s="1">
        <f>IFERROR(VLOOKUP(D72,Event_Master!B:E,4,FALSE),1)</f>
        <v>1</v>
      </c>
      <c r="K72" s="1">
        <f t="shared" si="7"/>
        <v>0</v>
      </c>
      <c r="L72" s="1">
        <f t="shared" si="8"/>
        <v>0</v>
      </c>
    </row>
    <row r="73" spans="3:12">
      <c r="C73" s="1" t="str">
        <f>IFERROR(VLOOKUP(B73,Employee_Master!A:B,2,0)," ")</f>
        <v> </v>
      </c>
      <c r="H73" s="1">
        <f t="shared" si="5"/>
        <v>0</v>
      </c>
      <c r="I73" s="1">
        <f t="shared" si="6"/>
        <v>0</v>
      </c>
      <c r="J73" s="1">
        <f>IFERROR(VLOOKUP(D73,Event_Master!B:E,4,FALSE),1)</f>
        <v>1</v>
      </c>
      <c r="K73" s="1">
        <f t="shared" si="7"/>
        <v>0</v>
      </c>
      <c r="L73" s="1">
        <f t="shared" si="8"/>
        <v>0</v>
      </c>
    </row>
    <row r="74" spans="3:12">
      <c r="C74" s="1" t="str">
        <f>IFERROR(VLOOKUP(B74,Employee_Master!A:B,2,0)," ")</f>
        <v> </v>
      </c>
      <c r="H74" s="1">
        <f t="shared" si="5"/>
        <v>0</v>
      </c>
      <c r="I74" s="1">
        <f t="shared" si="6"/>
        <v>0</v>
      </c>
      <c r="J74" s="1">
        <f>IFERROR(VLOOKUP(D74,Event_Master!B:E,4,FALSE),1)</f>
        <v>1</v>
      </c>
      <c r="K74" s="1">
        <f t="shared" si="7"/>
        <v>0</v>
      </c>
      <c r="L74" s="1">
        <f t="shared" si="8"/>
        <v>0</v>
      </c>
    </row>
    <row r="75" spans="3:12">
      <c r="C75" s="1" t="str">
        <f>IFERROR(VLOOKUP(B75,Employee_Master!A:B,2,0)," ")</f>
        <v> </v>
      </c>
      <c r="H75" s="1">
        <f t="shared" si="5"/>
        <v>0</v>
      </c>
      <c r="I75" s="1">
        <f t="shared" si="6"/>
        <v>0</v>
      </c>
      <c r="J75" s="1">
        <f>IFERROR(VLOOKUP(D75,Event_Master!B:E,4,FALSE),1)</f>
        <v>1</v>
      </c>
      <c r="K75" s="1">
        <f t="shared" si="7"/>
        <v>0</v>
      </c>
      <c r="L75" s="1">
        <f t="shared" si="8"/>
        <v>0</v>
      </c>
    </row>
    <row r="76" spans="3:12">
      <c r="C76" s="1" t="str">
        <f>IFERROR(VLOOKUP(B76,Employee_Master!A:B,2,0)," ")</f>
        <v> </v>
      </c>
      <c r="H76" s="1">
        <f t="shared" si="5"/>
        <v>0</v>
      </c>
      <c r="I76" s="1">
        <f t="shared" si="6"/>
        <v>0</v>
      </c>
      <c r="J76" s="1">
        <f>IFERROR(VLOOKUP(D76,Event_Master!B:E,4,FALSE),1)</f>
        <v>1</v>
      </c>
      <c r="K76" s="1">
        <f t="shared" si="7"/>
        <v>0</v>
      </c>
      <c r="L76" s="1">
        <f t="shared" si="8"/>
        <v>0</v>
      </c>
    </row>
    <row r="77" spans="3:12">
      <c r="C77" s="1" t="str">
        <f>IFERROR(VLOOKUP(B77,Employee_Master!A:B,2,0)," ")</f>
        <v> </v>
      </c>
      <c r="H77" s="1">
        <f t="shared" si="5"/>
        <v>0</v>
      </c>
      <c r="I77" s="1">
        <f t="shared" si="6"/>
        <v>0</v>
      </c>
      <c r="J77" s="1">
        <f>IFERROR(VLOOKUP(D77,Event_Master!B:E,4,FALSE),1)</f>
        <v>1</v>
      </c>
      <c r="K77" s="1">
        <f t="shared" si="7"/>
        <v>0</v>
      </c>
      <c r="L77" s="1">
        <f t="shared" si="8"/>
        <v>0</v>
      </c>
    </row>
    <row r="78" spans="3:12">
      <c r="C78" s="1" t="str">
        <f>IFERROR(VLOOKUP(B78,Employee_Master!A:B,2,0)," ")</f>
        <v> </v>
      </c>
      <c r="H78" s="1">
        <f t="shared" si="5"/>
        <v>0</v>
      </c>
      <c r="I78" s="1">
        <f t="shared" si="6"/>
        <v>0</v>
      </c>
      <c r="J78" s="1">
        <f>IFERROR(VLOOKUP(D78,Event_Master!B:E,4,FALSE),1)</f>
        <v>1</v>
      </c>
      <c r="K78" s="1">
        <f t="shared" si="7"/>
        <v>0</v>
      </c>
      <c r="L78" s="1">
        <f t="shared" si="8"/>
        <v>0</v>
      </c>
    </row>
    <row r="79" spans="3:12">
      <c r="C79" s="1" t="str">
        <f>IFERROR(VLOOKUP(B79,Employee_Master!A:B,2,0)," ")</f>
        <v> </v>
      </c>
      <c r="H79" s="1">
        <f t="shared" si="5"/>
        <v>0</v>
      </c>
      <c r="I79" s="1">
        <f t="shared" si="6"/>
        <v>0</v>
      </c>
      <c r="J79" s="1">
        <f>IFERROR(VLOOKUP(D79,Event_Master!B:E,4,FALSE),1)</f>
        <v>1</v>
      </c>
      <c r="K79" s="1">
        <f t="shared" si="7"/>
        <v>0</v>
      </c>
      <c r="L79" s="1">
        <f t="shared" si="8"/>
        <v>0</v>
      </c>
    </row>
    <row r="80" spans="3:12">
      <c r="C80" s="1" t="str">
        <f>IFERROR(VLOOKUP(B80,Employee_Master!A:B,2,0)," ")</f>
        <v> </v>
      </c>
      <c r="H80" s="1">
        <f t="shared" si="5"/>
        <v>0</v>
      </c>
      <c r="I80" s="1">
        <f t="shared" si="6"/>
        <v>0</v>
      </c>
      <c r="J80" s="1">
        <f>IFERROR(VLOOKUP(D80,Event_Master!B:E,4,FALSE),1)</f>
        <v>1</v>
      </c>
      <c r="K80" s="1">
        <f t="shared" si="7"/>
        <v>0</v>
      </c>
      <c r="L80" s="1">
        <f t="shared" si="8"/>
        <v>0</v>
      </c>
    </row>
    <row r="81" spans="3:12">
      <c r="C81" s="1" t="str">
        <f>IFERROR(VLOOKUP(B81,Employee_Master!A:B,2,0)," ")</f>
        <v> </v>
      </c>
      <c r="H81" s="1">
        <f t="shared" si="5"/>
        <v>0</v>
      </c>
      <c r="I81" s="1">
        <f t="shared" si="6"/>
        <v>0</v>
      </c>
      <c r="J81" s="1">
        <f>IFERROR(VLOOKUP(D81,Event_Master!B:E,4,FALSE),1)</f>
        <v>1</v>
      </c>
      <c r="K81" s="1">
        <f t="shared" si="7"/>
        <v>0</v>
      </c>
      <c r="L81" s="1">
        <f t="shared" si="8"/>
        <v>0</v>
      </c>
    </row>
    <row r="82" spans="3:12">
      <c r="C82" s="1" t="str">
        <f>IFERROR(VLOOKUP(B82,Employee_Master!A:B,2,0)," ")</f>
        <v> </v>
      </c>
      <c r="H82" s="1">
        <f t="shared" si="5"/>
        <v>0</v>
      </c>
      <c r="I82" s="1">
        <f t="shared" si="6"/>
        <v>0</v>
      </c>
      <c r="J82" s="1">
        <f>IFERROR(VLOOKUP(D82,Event_Master!B:E,4,FALSE),1)</f>
        <v>1</v>
      </c>
      <c r="K82" s="1">
        <f t="shared" si="7"/>
        <v>0</v>
      </c>
      <c r="L82" s="1">
        <f t="shared" si="8"/>
        <v>0</v>
      </c>
    </row>
    <row r="83" spans="3:12">
      <c r="C83" s="1" t="str">
        <f>IFERROR(VLOOKUP(B83,Employee_Master!A:B,2,0)," ")</f>
        <v> </v>
      </c>
      <c r="H83" s="1">
        <f t="shared" si="5"/>
        <v>0</v>
      </c>
      <c r="I83" s="1">
        <f t="shared" si="6"/>
        <v>0</v>
      </c>
      <c r="J83" s="1">
        <f>IFERROR(VLOOKUP(D83,Event_Master!B:E,4,FALSE),1)</f>
        <v>1</v>
      </c>
      <c r="K83" s="1">
        <f t="shared" si="7"/>
        <v>0</v>
      </c>
      <c r="L83" s="1">
        <f t="shared" si="8"/>
        <v>0</v>
      </c>
    </row>
    <row r="84" spans="3:12">
      <c r="C84" s="1" t="str">
        <f>IFERROR(VLOOKUP(B84,Employee_Master!A:B,2,0)," ")</f>
        <v> </v>
      </c>
      <c r="H84" s="1">
        <f t="shared" si="5"/>
        <v>0</v>
      </c>
      <c r="I84" s="1">
        <f t="shared" si="6"/>
        <v>0</v>
      </c>
      <c r="J84" s="1">
        <f>IFERROR(VLOOKUP(D84,Event_Master!B:E,4,FALSE),1)</f>
        <v>1</v>
      </c>
      <c r="K84" s="1">
        <f t="shared" si="7"/>
        <v>0</v>
      </c>
      <c r="L84" s="1">
        <f t="shared" si="8"/>
        <v>0</v>
      </c>
    </row>
    <row r="85" spans="3:12">
      <c r="C85" s="1" t="str">
        <f>IFERROR(VLOOKUP(B85,Employee_Master!A:B,2,0)," ")</f>
        <v> </v>
      </c>
      <c r="H85" s="1">
        <f t="shared" si="5"/>
        <v>0</v>
      </c>
      <c r="I85" s="1">
        <f t="shared" si="6"/>
        <v>0</v>
      </c>
      <c r="J85" s="1">
        <f>IFERROR(VLOOKUP(D85,Event_Master!B:E,4,FALSE),1)</f>
        <v>1</v>
      </c>
      <c r="K85" s="1">
        <f t="shared" si="7"/>
        <v>0</v>
      </c>
      <c r="L85" s="1">
        <f t="shared" si="8"/>
        <v>0</v>
      </c>
    </row>
    <row r="86" spans="3:12">
      <c r="C86" s="1" t="str">
        <f>IFERROR(VLOOKUP(B86,Employee_Master!A:B,2,0)," ")</f>
        <v> </v>
      </c>
      <c r="H86" s="1">
        <f t="shared" si="5"/>
        <v>0</v>
      </c>
      <c r="I86" s="1">
        <f t="shared" si="6"/>
        <v>0</v>
      </c>
      <c r="J86" s="1">
        <f>IFERROR(VLOOKUP(D86,Event_Master!B:E,4,FALSE),1)</f>
        <v>1</v>
      </c>
      <c r="K86" s="1">
        <f t="shared" si="7"/>
        <v>0</v>
      </c>
      <c r="L86" s="1">
        <f t="shared" si="8"/>
        <v>0</v>
      </c>
    </row>
    <row r="87" spans="3:12">
      <c r="C87" s="1" t="str">
        <f>IFERROR(VLOOKUP(B87,Employee_Master!A:B,2,0)," ")</f>
        <v> </v>
      </c>
      <c r="H87" s="1">
        <f t="shared" si="5"/>
        <v>0</v>
      </c>
      <c r="I87" s="1">
        <f t="shared" si="6"/>
        <v>0</v>
      </c>
      <c r="J87" s="1">
        <f>IFERROR(VLOOKUP(D87,Event_Master!B:E,4,FALSE),1)</f>
        <v>1</v>
      </c>
      <c r="K87" s="1">
        <f t="shared" si="7"/>
        <v>0</v>
      </c>
      <c r="L87" s="1">
        <f t="shared" si="8"/>
        <v>0</v>
      </c>
    </row>
    <row r="88" spans="3:12">
      <c r="C88" s="1" t="str">
        <f>IFERROR(VLOOKUP(B88,Employee_Master!A:B,2,0)," ")</f>
        <v> </v>
      </c>
      <c r="H88" s="1">
        <f t="shared" si="5"/>
        <v>0</v>
      </c>
      <c r="I88" s="1">
        <f t="shared" si="6"/>
        <v>0</v>
      </c>
      <c r="J88" s="1">
        <f>IFERROR(VLOOKUP(D88,Event_Master!B:E,4,FALSE),1)</f>
        <v>1</v>
      </c>
      <c r="K88" s="1">
        <f t="shared" si="7"/>
        <v>0</v>
      </c>
      <c r="L88" s="1">
        <f t="shared" si="8"/>
        <v>0</v>
      </c>
    </row>
    <row r="89" spans="3:12">
      <c r="C89" s="1" t="str">
        <f>IFERROR(VLOOKUP(B89,Employee_Master!A:B,2,0)," ")</f>
        <v> </v>
      </c>
      <c r="H89" s="1">
        <f t="shared" si="5"/>
        <v>0</v>
      </c>
      <c r="I89" s="1">
        <f t="shared" si="6"/>
        <v>0</v>
      </c>
      <c r="J89" s="1">
        <f>IFERROR(VLOOKUP(D89,Event_Master!B:E,4,FALSE),1)</f>
        <v>1</v>
      </c>
      <c r="K89" s="1">
        <f t="shared" si="7"/>
        <v>0</v>
      </c>
      <c r="L89" s="1">
        <f t="shared" si="8"/>
        <v>0</v>
      </c>
    </row>
    <row r="90" spans="3:12">
      <c r="C90" s="1" t="str">
        <f>IFERROR(VLOOKUP(B90,Employee_Master!A:B,2,0)," ")</f>
        <v> </v>
      </c>
      <c r="H90" s="1">
        <f t="shared" si="5"/>
        <v>0</v>
      </c>
      <c r="I90" s="1">
        <f t="shared" si="6"/>
        <v>0</v>
      </c>
      <c r="J90" s="1">
        <f>IFERROR(VLOOKUP(D90,Event_Master!B:E,4,FALSE),1)</f>
        <v>1</v>
      </c>
      <c r="K90" s="1">
        <f t="shared" si="7"/>
        <v>0</v>
      </c>
      <c r="L90" s="1">
        <f t="shared" si="8"/>
        <v>0</v>
      </c>
    </row>
    <row r="91" spans="3:12">
      <c r="C91" s="1" t="str">
        <f>IFERROR(VLOOKUP(B91,Employee_Master!A:B,2,0)," ")</f>
        <v> </v>
      </c>
      <c r="H91" s="1">
        <f t="shared" si="5"/>
        <v>0</v>
      </c>
      <c r="I91" s="1">
        <f t="shared" si="6"/>
        <v>0</v>
      </c>
      <c r="J91" s="1">
        <f>IFERROR(VLOOKUP(D91,Event_Master!B:E,4,FALSE),1)</f>
        <v>1</v>
      </c>
      <c r="K91" s="1">
        <f t="shared" si="7"/>
        <v>0</v>
      </c>
      <c r="L91" s="1">
        <f t="shared" si="8"/>
        <v>0</v>
      </c>
    </row>
    <row r="92" spans="3:12">
      <c r="C92" s="1" t="str">
        <f>IFERROR(VLOOKUP(B92,Employee_Master!A:B,2,0)," ")</f>
        <v> </v>
      </c>
      <c r="H92" s="1">
        <f t="shared" si="5"/>
        <v>0</v>
      </c>
      <c r="I92" s="1">
        <f t="shared" si="6"/>
        <v>0</v>
      </c>
      <c r="J92" s="1">
        <f>IFERROR(VLOOKUP(D92,Event_Master!B:E,4,FALSE),1)</f>
        <v>1</v>
      </c>
      <c r="K92" s="1">
        <f t="shared" si="7"/>
        <v>0</v>
      </c>
      <c r="L92" s="1">
        <f t="shared" si="8"/>
        <v>0</v>
      </c>
    </row>
    <row r="93" spans="3:12">
      <c r="C93" s="1" t="str">
        <f>IFERROR(VLOOKUP(B93,Employee_Master!A:B,2,0)," ")</f>
        <v> </v>
      </c>
      <c r="H93" s="1">
        <f t="shared" si="5"/>
        <v>0</v>
      </c>
      <c r="I93" s="1">
        <f t="shared" si="6"/>
        <v>0</v>
      </c>
      <c r="J93" s="1">
        <f>IFERROR(VLOOKUP(D93,Event_Master!B:E,4,FALSE),1)</f>
        <v>1</v>
      </c>
      <c r="K93" s="1">
        <f t="shared" si="7"/>
        <v>0</v>
      </c>
      <c r="L93" s="1">
        <f t="shared" si="8"/>
        <v>0</v>
      </c>
    </row>
    <row r="94" spans="3:12">
      <c r="C94" s="1" t="str">
        <f>IFERROR(VLOOKUP(B94,Employee_Master!A:B,2,0)," ")</f>
        <v> </v>
      </c>
      <c r="H94" s="1">
        <f t="shared" si="5"/>
        <v>0</v>
      </c>
      <c r="I94" s="1">
        <f t="shared" si="6"/>
        <v>0</v>
      </c>
      <c r="J94" s="1">
        <f>IFERROR(VLOOKUP(D94,Event_Master!B:E,4,FALSE),1)</f>
        <v>1</v>
      </c>
      <c r="K94" s="1">
        <f t="shared" si="7"/>
        <v>0</v>
      </c>
      <c r="L94" s="1">
        <f t="shared" si="8"/>
        <v>0</v>
      </c>
    </row>
    <row r="95" spans="3:12">
      <c r="C95" s="1" t="str">
        <f>IFERROR(VLOOKUP(B95,Employee_Master!A:B,2,0)," ")</f>
        <v> </v>
      </c>
      <c r="H95" s="1">
        <f t="shared" si="5"/>
        <v>0</v>
      </c>
      <c r="I95" s="1">
        <f t="shared" si="6"/>
        <v>0</v>
      </c>
      <c r="J95" s="1">
        <f>IFERROR(VLOOKUP(D95,Event_Master!B:E,4,FALSE),1)</f>
        <v>1</v>
      </c>
      <c r="K95" s="1">
        <f t="shared" si="7"/>
        <v>0</v>
      </c>
      <c r="L95" s="1">
        <f t="shared" si="8"/>
        <v>0</v>
      </c>
    </row>
    <row r="96" spans="3:12">
      <c r="C96" s="1" t="str">
        <f>IFERROR(VLOOKUP(B96,Employee_Master!A:B,2,0)," ")</f>
        <v> </v>
      </c>
      <c r="H96" s="1">
        <f t="shared" si="5"/>
        <v>0</v>
      </c>
      <c r="I96" s="1">
        <f t="shared" si="6"/>
        <v>0</v>
      </c>
      <c r="J96" s="1">
        <f>IFERROR(VLOOKUP(D96,Event_Master!B:E,4,FALSE),1)</f>
        <v>1</v>
      </c>
      <c r="K96" s="1">
        <f t="shared" si="7"/>
        <v>0</v>
      </c>
      <c r="L96" s="1">
        <f t="shared" si="8"/>
        <v>0</v>
      </c>
    </row>
    <row r="97" spans="3:12">
      <c r="C97" s="1" t="str">
        <f>IFERROR(VLOOKUP(B97,Employee_Master!A:B,2,0)," ")</f>
        <v> </v>
      </c>
      <c r="H97" s="1">
        <f t="shared" si="5"/>
        <v>0</v>
      </c>
      <c r="I97" s="1">
        <f t="shared" si="6"/>
        <v>0</v>
      </c>
      <c r="J97" s="1">
        <f>IFERROR(VLOOKUP(D97,Event_Master!B:E,4,FALSE),1)</f>
        <v>1</v>
      </c>
      <c r="K97" s="1">
        <f t="shared" si="7"/>
        <v>0</v>
      </c>
      <c r="L97" s="1">
        <f t="shared" si="8"/>
        <v>0</v>
      </c>
    </row>
    <row r="98" spans="3:12">
      <c r="C98" s="1" t="str">
        <f>IFERROR(VLOOKUP(B98,Employee_Master!A:B,2,0)," ")</f>
        <v> </v>
      </c>
      <c r="H98" s="1">
        <f t="shared" si="5"/>
        <v>0</v>
      </c>
      <c r="I98" s="1">
        <f t="shared" si="6"/>
        <v>0</v>
      </c>
      <c r="J98" s="1">
        <f>IFERROR(VLOOKUP(D98,Event_Master!B:E,4,FALSE),1)</f>
        <v>1</v>
      </c>
      <c r="K98" s="1">
        <f t="shared" si="7"/>
        <v>0</v>
      </c>
      <c r="L98" s="1">
        <f t="shared" si="8"/>
        <v>0</v>
      </c>
    </row>
    <row r="99" spans="3:12">
      <c r="C99" s="1" t="str">
        <f>IFERROR(VLOOKUP(B99,Employee_Master!A:B,2,0)," ")</f>
        <v> </v>
      </c>
      <c r="H99" s="1">
        <f t="shared" si="5"/>
        <v>0</v>
      </c>
      <c r="I99" s="1">
        <f t="shared" si="6"/>
        <v>0</v>
      </c>
      <c r="J99" s="1">
        <f>IFERROR(VLOOKUP(D99,Event_Master!B:E,4,FALSE),1)</f>
        <v>1</v>
      </c>
      <c r="K99" s="1">
        <f t="shared" si="7"/>
        <v>0</v>
      </c>
      <c r="L99" s="1">
        <f t="shared" si="8"/>
        <v>0</v>
      </c>
    </row>
    <row r="100" spans="3:12">
      <c r="C100" s="1" t="str">
        <f>IFERROR(VLOOKUP(B100,Employee_Master!A:B,2,0)," ")</f>
        <v> </v>
      </c>
      <c r="H100" s="1">
        <f t="shared" si="5"/>
        <v>0</v>
      </c>
      <c r="I100" s="1">
        <f t="shared" si="6"/>
        <v>0</v>
      </c>
      <c r="J100" s="1">
        <f>IFERROR(VLOOKUP(D100,Event_Master!B:E,4,FALSE),1)</f>
        <v>1</v>
      </c>
      <c r="K100" s="1">
        <f t="shared" si="7"/>
        <v>0</v>
      </c>
      <c r="L100" s="1">
        <f t="shared" si="8"/>
        <v>0</v>
      </c>
    </row>
    <row r="101" spans="3:12">
      <c r="C101" s="1" t="str">
        <f>IFERROR(VLOOKUP(B101,Employee_Master!A:B,2,0)," ")</f>
        <v> </v>
      </c>
      <c r="H101" s="1">
        <f t="shared" si="5"/>
        <v>0</v>
      </c>
      <c r="I101" s="1">
        <f t="shared" si="6"/>
        <v>0</v>
      </c>
      <c r="J101" s="1">
        <f>IFERROR(VLOOKUP(D101,Event_Master!B:E,4,FALSE),1)</f>
        <v>1</v>
      </c>
      <c r="K101" s="1">
        <f t="shared" si="7"/>
        <v>0</v>
      </c>
      <c r="L101" s="1">
        <f t="shared" si="8"/>
        <v>0</v>
      </c>
    </row>
    <row r="102" spans="3:12">
      <c r="C102" s="1" t="str">
        <f>IFERROR(VLOOKUP(B102,Employee_Master!A:B,2,0)," ")</f>
        <v> </v>
      </c>
      <c r="H102" s="1">
        <f t="shared" si="5"/>
        <v>0</v>
      </c>
      <c r="I102" s="1">
        <f t="shared" si="6"/>
        <v>0</v>
      </c>
      <c r="J102" s="1">
        <f>IFERROR(VLOOKUP(D102,Event_Master!B:E,4,FALSE),1)</f>
        <v>1</v>
      </c>
      <c r="K102" s="1">
        <f t="shared" si="7"/>
        <v>0</v>
      </c>
      <c r="L102" s="1">
        <f t="shared" ref="L102:L133" si="9">K102+H102</f>
        <v>0</v>
      </c>
    </row>
    <row r="103" spans="3:12">
      <c r="C103" s="1" t="str">
        <f>IFERROR(VLOOKUP(B103,Employee_Master!A:B,2,0)," ")</f>
        <v> </v>
      </c>
      <c r="H103" s="1">
        <f t="shared" si="5"/>
        <v>0</v>
      </c>
      <c r="I103" s="1">
        <f t="shared" si="6"/>
        <v>0</v>
      </c>
      <c r="J103" s="1">
        <f>IFERROR(VLOOKUP(D103,Event_Master!B:E,4,FALSE),1)</f>
        <v>1</v>
      </c>
      <c r="K103" s="1">
        <f t="shared" si="7"/>
        <v>0</v>
      </c>
      <c r="L103" s="1">
        <f t="shared" si="9"/>
        <v>0</v>
      </c>
    </row>
    <row r="104" spans="3:12">
      <c r="C104" s="1" t="str">
        <f>IFERROR(VLOOKUP(B104,Employee_Master!A:B,2,0)," ")</f>
        <v> </v>
      </c>
      <c r="H104" s="1">
        <f t="shared" si="5"/>
        <v>0</v>
      </c>
      <c r="I104" s="1">
        <f t="shared" si="6"/>
        <v>0</v>
      </c>
      <c r="J104" s="1">
        <f>IFERROR(VLOOKUP(D104,Event_Master!B:E,4,FALSE),1)</f>
        <v>1</v>
      </c>
      <c r="K104" s="1">
        <f t="shared" si="7"/>
        <v>0</v>
      </c>
      <c r="L104" s="1">
        <f t="shared" si="9"/>
        <v>0</v>
      </c>
    </row>
    <row r="105" spans="3:12">
      <c r="C105" s="1" t="str">
        <f>IFERROR(VLOOKUP(B105,Employee_Master!A:B,2,0)," ")</f>
        <v> </v>
      </c>
      <c r="H105" s="1">
        <f t="shared" si="5"/>
        <v>0</v>
      </c>
      <c r="I105" s="1">
        <f t="shared" si="6"/>
        <v>0</v>
      </c>
      <c r="J105" s="1">
        <f>IFERROR(VLOOKUP(D105,Event_Master!B:E,4,FALSE),1)</f>
        <v>1</v>
      </c>
      <c r="K105" s="1">
        <f t="shared" si="7"/>
        <v>0</v>
      </c>
      <c r="L105" s="1">
        <f t="shared" si="9"/>
        <v>0</v>
      </c>
    </row>
    <row r="106" spans="3:12">
      <c r="C106" s="1" t="str">
        <f>IFERROR(VLOOKUP(B106,Employee_Master!A:B,2,0)," ")</f>
        <v> </v>
      </c>
      <c r="H106" s="1">
        <f t="shared" si="5"/>
        <v>0</v>
      </c>
      <c r="I106" s="1">
        <f t="shared" si="6"/>
        <v>0</v>
      </c>
      <c r="J106" s="1">
        <f>IFERROR(VLOOKUP(D106,Event_Master!B:E,4,FALSE),1)</f>
        <v>1</v>
      </c>
      <c r="K106" s="1">
        <f t="shared" si="7"/>
        <v>0</v>
      </c>
      <c r="L106" s="1">
        <f t="shared" si="9"/>
        <v>0</v>
      </c>
    </row>
    <row r="107" spans="3:12">
      <c r="C107" s="1" t="str">
        <f>IFERROR(VLOOKUP(B107,Employee_Master!A:B,2,0)," ")</f>
        <v> </v>
      </c>
      <c r="H107" s="1">
        <f t="shared" si="5"/>
        <v>0</v>
      </c>
      <c r="I107" s="1">
        <f t="shared" si="6"/>
        <v>0</v>
      </c>
      <c r="J107" s="1">
        <f>IFERROR(VLOOKUP(D107,Event_Master!B:E,4,FALSE),1)</f>
        <v>1</v>
      </c>
      <c r="K107" s="1">
        <f t="shared" si="7"/>
        <v>0</v>
      </c>
      <c r="L107" s="1">
        <f t="shared" si="9"/>
        <v>0</v>
      </c>
    </row>
    <row r="108" spans="3:12">
      <c r="C108" s="1" t="str">
        <f>IFERROR(VLOOKUP(B108,Employee_Master!A:B,2,0)," ")</f>
        <v> </v>
      </c>
      <c r="H108" s="1">
        <f t="shared" si="5"/>
        <v>0</v>
      </c>
      <c r="I108" s="1">
        <f t="shared" si="6"/>
        <v>0</v>
      </c>
      <c r="J108" s="1">
        <f>IFERROR(VLOOKUP(D108,Event_Master!B:E,4,FALSE),1)</f>
        <v>1</v>
      </c>
      <c r="K108" s="1">
        <f t="shared" si="7"/>
        <v>0</v>
      </c>
      <c r="L108" s="1">
        <f t="shared" si="9"/>
        <v>0</v>
      </c>
    </row>
    <row r="109" spans="3:12">
      <c r="C109" s="1" t="str">
        <f>IFERROR(VLOOKUP(B109,Employee_Master!A:B,2,0)," ")</f>
        <v> </v>
      </c>
      <c r="H109" s="1">
        <f t="shared" si="5"/>
        <v>0</v>
      </c>
      <c r="I109" s="1">
        <f t="shared" si="6"/>
        <v>0</v>
      </c>
      <c r="J109" s="1">
        <f>IFERROR(VLOOKUP(D109,Event_Master!B:E,4,FALSE),1)</f>
        <v>1</v>
      </c>
      <c r="K109" s="1">
        <f t="shared" si="7"/>
        <v>0</v>
      </c>
      <c r="L109" s="1">
        <f t="shared" si="9"/>
        <v>0</v>
      </c>
    </row>
    <row r="110" spans="3:12">
      <c r="C110" s="1" t="str">
        <f>IFERROR(VLOOKUP(B110,Employee_Master!A:B,2,0)," ")</f>
        <v> </v>
      </c>
      <c r="H110" s="1">
        <f t="shared" si="5"/>
        <v>0</v>
      </c>
      <c r="I110" s="1">
        <f t="shared" si="6"/>
        <v>0</v>
      </c>
      <c r="J110" s="1">
        <f>IFERROR(VLOOKUP(D110,Event_Master!B:E,4,FALSE),1)</f>
        <v>1</v>
      </c>
      <c r="K110" s="1">
        <f t="shared" si="7"/>
        <v>0</v>
      </c>
      <c r="L110" s="1">
        <f t="shared" si="9"/>
        <v>0</v>
      </c>
    </row>
    <row r="111" spans="3:12">
      <c r="C111" s="1" t="str">
        <f>IFERROR(VLOOKUP(B111,Employee_Master!A:B,2,0)," ")</f>
        <v> </v>
      </c>
      <c r="H111" s="1">
        <f t="shared" si="5"/>
        <v>0</v>
      </c>
      <c r="I111" s="1">
        <f t="shared" si="6"/>
        <v>0</v>
      </c>
      <c r="J111" s="1">
        <f>IFERROR(VLOOKUP(D111,Event_Master!B:E,4,FALSE),1)</f>
        <v>1</v>
      </c>
      <c r="K111" s="1">
        <f t="shared" si="7"/>
        <v>0</v>
      </c>
      <c r="L111" s="1">
        <f t="shared" si="9"/>
        <v>0</v>
      </c>
    </row>
    <row r="112" spans="3:12">
      <c r="C112" s="1" t="str">
        <f>IFERROR(VLOOKUP(B112,Employee_Master!A:B,2,0)," ")</f>
        <v> </v>
      </c>
      <c r="H112" s="1">
        <f t="shared" si="5"/>
        <v>0</v>
      </c>
      <c r="I112" s="1">
        <f t="shared" si="6"/>
        <v>0</v>
      </c>
      <c r="J112" s="1">
        <f>IFERROR(VLOOKUP(D112,Event_Master!B:E,4,FALSE),1)</f>
        <v>1</v>
      </c>
      <c r="K112" s="1">
        <f t="shared" si="7"/>
        <v>0</v>
      </c>
      <c r="L112" s="1">
        <f t="shared" si="9"/>
        <v>0</v>
      </c>
    </row>
    <row r="113" spans="3:12">
      <c r="C113" s="1" t="str">
        <f>IFERROR(VLOOKUP(B113,Employee_Master!A:B,2,0)," ")</f>
        <v> </v>
      </c>
      <c r="H113" s="1">
        <f t="shared" si="5"/>
        <v>0</v>
      </c>
      <c r="I113" s="1">
        <f t="shared" si="6"/>
        <v>0</v>
      </c>
      <c r="J113" s="1">
        <f>IFERROR(VLOOKUP(D113,Event_Master!B:E,4,FALSE),1)</f>
        <v>1</v>
      </c>
      <c r="K113" s="1">
        <f t="shared" si="7"/>
        <v>0</v>
      </c>
      <c r="L113" s="1">
        <f t="shared" si="9"/>
        <v>0</v>
      </c>
    </row>
    <row r="114" spans="3:12">
      <c r="C114" s="1" t="str">
        <f>IFERROR(VLOOKUP(B114,Employee_Master!A:B,2,0)," ")</f>
        <v> </v>
      </c>
      <c r="H114" s="1">
        <f t="shared" si="5"/>
        <v>0</v>
      </c>
      <c r="I114" s="1">
        <f t="shared" si="6"/>
        <v>0</v>
      </c>
      <c r="J114" s="1">
        <f>IFERROR(VLOOKUP(D114,Event_Master!B:E,4,FALSE),1)</f>
        <v>1</v>
      </c>
      <c r="K114" s="1">
        <f t="shared" si="7"/>
        <v>0</v>
      </c>
      <c r="L114" s="1">
        <f t="shared" si="9"/>
        <v>0</v>
      </c>
    </row>
    <row r="115" spans="3:12">
      <c r="C115" s="1" t="str">
        <f>IFERROR(VLOOKUP(B115,Employee_Master!A:B,2,0)," ")</f>
        <v> </v>
      </c>
      <c r="H115" s="1">
        <f t="shared" si="5"/>
        <v>0</v>
      </c>
      <c r="I115" s="1">
        <f t="shared" si="6"/>
        <v>0</v>
      </c>
      <c r="J115" s="1">
        <f>IFERROR(VLOOKUP(D115,Event_Master!B:E,4,FALSE),1)</f>
        <v>1</v>
      </c>
      <c r="K115" s="1">
        <f t="shared" si="7"/>
        <v>0</v>
      </c>
      <c r="L115" s="1">
        <f t="shared" si="9"/>
        <v>0</v>
      </c>
    </row>
    <row r="116" spans="3:12">
      <c r="C116" s="1" t="str">
        <f>IFERROR(VLOOKUP(B116,Employee_Master!A:B,2,0)," ")</f>
        <v> </v>
      </c>
      <c r="H116" s="1">
        <f t="shared" si="5"/>
        <v>0</v>
      </c>
      <c r="I116" s="1">
        <f t="shared" si="6"/>
        <v>0</v>
      </c>
      <c r="J116" s="1">
        <f>IFERROR(VLOOKUP(D116,Event_Master!B:E,4,FALSE),1)</f>
        <v>1</v>
      </c>
      <c r="K116" s="1">
        <f t="shared" si="7"/>
        <v>0</v>
      </c>
      <c r="L116" s="1">
        <f t="shared" si="9"/>
        <v>0</v>
      </c>
    </row>
    <row r="117" spans="3:12">
      <c r="C117" s="1" t="str">
        <f>IFERROR(VLOOKUP(B117,Employee_Master!A:B,2,0)," ")</f>
        <v> </v>
      </c>
      <c r="H117" s="1">
        <f t="shared" si="5"/>
        <v>0</v>
      </c>
      <c r="I117" s="1">
        <f t="shared" si="6"/>
        <v>0</v>
      </c>
      <c r="J117" s="1">
        <f>IFERROR(VLOOKUP(D117,Event_Master!B:E,4,FALSE),1)</f>
        <v>1</v>
      </c>
      <c r="K117" s="1">
        <f t="shared" si="7"/>
        <v>0</v>
      </c>
      <c r="L117" s="1">
        <f t="shared" si="9"/>
        <v>0</v>
      </c>
    </row>
    <row r="118" spans="3:12">
      <c r="C118" s="1" t="str">
        <f>IFERROR(VLOOKUP(B118,Employee_Master!A:B,2,0)," ")</f>
        <v> </v>
      </c>
      <c r="H118" s="1">
        <f t="shared" si="5"/>
        <v>0</v>
      </c>
      <c r="I118" s="1">
        <f t="shared" si="6"/>
        <v>0</v>
      </c>
      <c r="J118" s="1">
        <f>IFERROR(VLOOKUP(D118,Event_Master!B:E,4,FALSE),1)</f>
        <v>1</v>
      </c>
      <c r="K118" s="1">
        <f t="shared" si="7"/>
        <v>0</v>
      </c>
      <c r="L118" s="1">
        <f t="shared" si="9"/>
        <v>0</v>
      </c>
    </row>
    <row r="119" spans="3:12">
      <c r="C119" s="1" t="str">
        <f>IFERROR(VLOOKUP(B119,Employee_Master!A:B,2,0)," ")</f>
        <v> </v>
      </c>
      <c r="H119" s="1">
        <f t="shared" si="5"/>
        <v>0</v>
      </c>
      <c r="I119" s="1">
        <f t="shared" si="6"/>
        <v>0</v>
      </c>
      <c r="J119" s="1">
        <f>IFERROR(VLOOKUP(D119,Event_Master!B:E,4,FALSE),1)</f>
        <v>1</v>
      </c>
      <c r="K119" s="1">
        <f t="shared" si="7"/>
        <v>0</v>
      </c>
      <c r="L119" s="1">
        <f t="shared" si="9"/>
        <v>0</v>
      </c>
    </row>
    <row r="120" spans="3:12">
      <c r="C120" s="1" t="str">
        <f>IFERROR(VLOOKUP(B120,Employee_Master!A:B,2,0)," ")</f>
        <v> </v>
      </c>
      <c r="H120" s="1">
        <f t="shared" si="5"/>
        <v>0</v>
      </c>
      <c r="I120" s="1">
        <f t="shared" si="6"/>
        <v>0</v>
      </c>
      <c r="J120" s="1">
        <f>IFERROR(VLOOKUP(D120,Event_Master!B:E,4,FALSE),1)</f>
        <v>1</v>
      </c>
      <c r="K120" s="1">
        <f t="shared" si="7"/>
        <v>0</v>
      </c>
      <c r="L120" s="1">
        <f t="shared" si="9"/>
        <v>0</v>
      </c>
    </row>
    <row r="121" spans="3:12">
      <c r="C121" s="1" t="str">
        <f>IFERROR(VLOOKUP(B121,Employee_Master!A:B,2,0)," ")</f>
        <v> </v>
      </c>
      <c r="H121" s="1">
        <f t="shared" si="5"/>
        <v>0</v>
      </c>
      <c r="I121" s="1">
        <f t="shared" si="6"/>
        <v>0</v>
      </c>
      <c r="J121" s="1">
        <f>IFERROR(VLOOKUP(D121,Event_Master!B:E,4,FALSE),1)</f>
        <v>1</v>
      </c>
      <c r="K121" s="1">
        <f t="shared" si="7"/>
        <v>0</v>
      </c>
      <c r="L121" s="1">
        <f t="shared" si="9"/>
        <v>0</v>
      </c>
    </row>
    <row r="122" spans="3:12">
      <c r="C122" s="1" t="str">
        <f>IFERROR(VLOOKUP(B122,Employee_Master!A:B,2,0)," ")</f>
        <v> </v>
      </c>
      <c r="H122" s="1">
        <f t="shared" si="5"/>
        <v>0</v>
      </c>
      <c r="I122" s="1">
        <f t="shared" si="6"/>
        <v>0</v>
      </c>
      <c r="J122" s="1">
        <f>IFERROR(VLOOKUP(D122,Event_Master!B:E,4,FALSE),1)</f>
        <v>1</v>
      </c>
      <c r="K122" s="1">
        <f t="shared" si="7"/>
        <v>0</v>
      </c>
      <c r="L122" s="1">
        <f t="shared" si="9"/>
        <v>0</v>
      </c>
    </row>
    <row r="123" spans="3:12">
      <c r="C123" s="1" t="str">
        <f>IFERROR(VLOOKUP(B123,Employee_Master!A:B,2,0)," ")</f>
        <v> </v>
      </c>
      <c r="H123" s="1">
        <f t="shared" si="5"/>
        <v>0</v>
      </c>
      <c r="I123" s="1">
        <f t="shared" si="6"/>
        <v>0</v>
      </c>
      <c r="J123" s="1">
        <f>IFERROR(VLOOKUP(D123,Event_Master!B:E,4,FALSE),1)</f>
        <v>1</v>
      </c>
      <c r="K123" s="1">
        <f t="shared" si="7"/>
        <v>0</v>
      </c>
      <c r="L123" s="1">
        <f t="shared" si="9"/>
        <v>0</v>
      </c>
    </row>
    <row r="124" spans="3:12">
      <c r="C124" s="1" t="str">
        <f>IFERROR(VLOOKUP(B124,Employee_Master!A:B,2,0)," ")</f>
        <v> </v>
      </c>
      <c r="H124" s="1">
        <f t="shared" si="5"/>
        <v>0</v>
      </c>
      <c r="I124" s="1">
        <f t="shared" si="6"/>
        <v>0</v>
      </c>
      <c r="J124" s="1">
        <f>IFERROR(VLOOKUP(D124,Event_Master!B:E,4,FALSE),1)</f>
        <v>1</v>
      </c>
      <c r="K124" s="1">
        <f t="shared" si="7"/>
        <v>0</v>
      </c>
      <c r="L124" s="1">
        <f t="shared" si="9"/>
        <v>0</v>
      </c>
    </row>
    <row r="125" spans="3:12">
      <c r="C125" s="1" t="str">
        <f>IFERROR(VLOOKUP(B125,Employee_Master!A:B,2,0)," ")</f>
        <v> </v>
      </c>
      <c r="H125" s="1">
        <f t="shared" si="5"/>
        <v>0</v>
      </c>
      <c r="I125" s="1">
        <f t="shared" si="6"/>
        <v>0</v>
      </c>
      <c r="J125" s="1">
        <f>IFERROR(VLOOKUP(D125,Event_Master!B:E,4,FALSE),1)</f>
        <v>1</v>
      </c>
      <c r="K125" s="1">
        <f t="shared" si="7"/>
        <v>0</v>
      </c>
      <c r="L125" s="1">
        <f t="shared" si="9"/>
        <v>0</v>
      </c>
    </row>
    <row r="126" spans="3:12">
      <c r="C126" s="1" t="str">
        <f>IFERROR(VLOOKUP(B126,Employee_Master!A:B,2,0)," ")</f>
        <v> </v>
      </c>
      <c r="H126" s="1">
        <f t="shared" si="5"/>
        <v>0</v>
      </c>
      <c r="I126" s="1">
        <f t="shared" si="6"/>
        <v>0</v>
      </c>
      <c r="J126" s="1">
        <f>IFERROR(VLOOKUP(D126,Event_Master!B:E,4,FALSE),1)</f>
        <v>1</v>
      </c>
      <c r="K126" s="1">
        <f t="shared" si="7"/>
        <v>0</v>
      </c>
      <c r="L126" s="1">
        <f t="shared" si="9"/>
        <v>0</v>
      </c>
    </row>
    <row r="127" spans="3:12">
      <c r="C127" s="1" t="str">
        <f>IFERROR(VLOOKUP(B127,Employee_Master!A:B,2,0)," ")</f>
        <v> </v>
      </c>
      <c r="H127" s="1">
        <f t="shared" si="5"/>
        <v>0</v>
      </c>
      <c r="I127" s="1">
        <f t="shared" si="6"/>
        <v>0</v>
      </c>
      <c r="J127" s="1">
        <f>IFERROR(VLOOKUP(D127,Event_Master!B:E,4,FALSE),1)</f>
        <v>1</v>
      </c>
      <c r="K127" s="1">
        <f t="shared" si="7"/>
        <v>0</v>
      </c>
      <c r="L127" s="1">
        <f t="shared" si="9"/>
        <v>0</v>
      </c>
    </row>
    <row r="128" spans="3:12">
      <c r="C128" s="1" t="str">
        <f>IFERROR(VLOOKUP(B128,Employee_Master!A:B,2,0)," ")</f>
        <v> </v>
      </c>
      <c r="H128" s="1">
        <f t="shared" si="5"/>
        <v>0</v>
      </c>
      <c r="I128" s="1">
        <f t="shared" si="6"/>
        <v>0</v>
      </c>
      <c r="J128" s="1">
        <f>IFERROR(VLOOKUP(D128,Event_Master!B:E,4,FALSE),1)</f>
        <v>1</v>
      </c>
      <c r="K128" s="1">
        <f t="shared" si="7"/>
        <v>0</v>
      </c>
      <c r="L128" s="1">
        <f t="shared" si="9"/>
        <v>0</v>
      </c>
    </row>
    <row r="129" spans="3:12">
      <c r="C129" s="1" t="str">
        <f>IFERROR(VLOOKUP(B129,Employee_Master!A:B,2,0)," ")</f>
        <v> </v>
      </c>
      <c r="H129" s="1">
        <f t="shared" si="5"/>
        <v>0</v>
      </c>
      <c r="I129" s="1">
        <f t="shared" si="6"/>
        <v>0</v>
      </c>
      <c r="J129" s="1">
        <f>IFERROR(VLOOKUP(D129,Event_Master!B:E,4,FALSE),1)</f>
        <v>1</v>
      </c>
      <c r="K129" s="1">
        <f t="shared" si="7"/>
        <v>0</v>
      </c>
      <c r="L129" s="1">
        <f t="shared" si="9"/>
        <v>0</v>
      </c>
    </row>
    <row r="130" spans="3:12">
      <c r="C130" s="1" t="str">
        <f>IFERROR(VLOOKUP(B130,Employee_Master!A:B,2,0)," ")</f>
        <v> </v>
      </c>
      <c r="H130" s="1">
        <f t="shared" ref="H130:H193" si="10">IF(F130="Yes",10,0)</f>
        <v>0</v>
      </c>
      <c r="I130" s="1">
        <f t="shared" si="6"/>
        <v>0</v>
      </c>
      <c r="J130" s="1">
        <f>IFERROR(VLOOKUP(D130,Event_Master!B:E,4,FALSE),1)</f>
        <v>1</v>
      </c>
      <c r="K130" s="1">
        <f t="shared" si="7"/>
        <v>0</v>
      </c>
      <c r="L130" s="1">
        <f t="shared" si="9"/>
        <v>0</v>
      </c>
    </row>
    <row r="131" spans="3:12">
      <c r="C131" s="1" t="str">
        <f>IFERROR(VLOOKUP(B131,Employee_Master!A:B,2,0)," ")</f>
        <v> </v>
      </c>
      <c r="H131" s="1">
        <f t="shared" si="10"/>
        <v>0</v>
      </c>
      <c r="I131" s="1">
        <f t="shared" ref="I131:I194" si="11">IF(G131="Winner",100,IF(G131="Runner-up",70,IF(G131="2nd Runner-up",50,IF(G131="Semi",30,IF(G131="Quarter",20,0)))))</f>
        <v>0</v>
      </c>
      <c r="J131" s="1">
        <f>IFERROR(VLOOKUP(D131,Event_Master!B:E,4,FALSE),1)</f>
        <v>1</v>
      </c>
      <c r="K131" s="1">
        <f t="shared" ref="K131:K194" si="12">(I131*J131)</f>
        <v>0</v>
      </c>
      <c r="L131" s="1">
        <f t="shared" si="9"/>
        <v>0</v>
      </c>
    </row>
    <row r="132" spans="3:12">
      <c r="C132" s="1" t="str">
        <f>IFERROR(VLOOKUP(B132,Employee_Master!A:B,2,0)," ")</f>
        <v> </v>
      </c>
      <c r="H132" s="1">
        <f t="shared" si="10"/>
        <v>0</v>
      </c>
      <c r="I132" s="1">
        <f t="shared" si="11"/>
        <v>0</v>
      </c>
      <c r="J132" s="1">
        <f>IFERROR(VLOOKUP(D132,Event_Master!B:E,4,FALSE),1)</f>
        <v>1</v>
      </c>
      <c r="K132" s="1">
        <f t="shared" si="12"/>
        <v>0</v>
      </c>
      <c r="L132" s="1">
        <f t="shared" si="9"/>
        <v>0</v>
      </c>
    </row>
    <row r="133" spans="3:12">
      <c r="C133" s="1" t="str">
        <f>IFERROR(VLOOKUP(B133,Employee_Master!A:B,2,0)," ")</f>
        <v> </v>
      </c>
      <c r="H133" s="1">
        <f t="shared" si="10"/>
        <v>0</v>
      </c>
      <c r="I133" s="1">
        <f t="shared" si="11"/>
        <v>0</v>
      </c>
      <c r="J133" s="1">
        <f>IFERROR(VLOOKUP(D133,Event_Master!B:E,4,FALSE),1)</f>
        <v>1</v>
      </c>
      <c r="K133" s="1">
        <f t="shared" si="12"/>
        <v>0</v>
      </c>
      <c r="L133" s="1">
        <f t="shared" si="9"/>
        <v>0</v>
      </c>
    </row>
    <row r="134" spans="3:12">
      <c r="C134" s="1" t="str">
        <f>IFERROR(VLOOKUP(B134,Employee_Master!A:B,2,0)," ")</f>
        <v> </v>
      </c>
      <c r="H134" s="1">
        <f t="shared" si="10"/>
        <v>0</v>
      </c>
      <c r="I134" s="1">
        <f t="shared" si="11"/>
        <v>0</v>
      </c>
      <c r="J134" s="1">
        <f>IFERROR(VLOOKUP(D134,Event_Master!B:E,4,FALSE),1)</f>
        <v>1</v>
      </c>
      <c r="K134" s="1">
        <f t="shared" si="12"/>
        <v>0</v>
      </c>
      <c r="L134" s="1">
        <f t="shared" ref="L134:L165" si="13">K134+H134</f>
        <v>0</v>
      </c>
    </row>
    <row r="135" spans="3:12">
      <c r="C135" s="1" t="str">
        <f>IFERROR(VLOOKUP(B135,Employee_Master!A:B,2,0)," ")</f>
        <v> </v>
      </c>
      <c r="H135" s="1">
        <f t="shared" si="10"/>
        <v>0</v>
      </c>
      <c r="I135" s="1">
        <f t="shared" si="11"/>
        <v>0</v>
      </c>
      <c r="J135" s="1">
        <f>IFERROR(VLOOKUP(D135,Event_Master!B:E,4,FALSE),1)</f>
        <v>1</v>
      </c>
      <c r="K135" s="1">
        <f t="shared" si="12"/>
        <v>0</v>
      </c>
      <c r="L135" s="1">
        <f t="shared" si="13"/>
        <v>0</v>
      </c>
    </row>
    <row r="136" spans="3:12">
      <c r="C136" s="1" t="str">
        <f>IFERROR(VLOOKUP(B136,Employee_Master!A:B,2,0)," ")</f>
        <v> </v>
      </c>
      <c r="H136" s="1">
        <f t="shared" si="10"/>
        <v>0</v>
      </c>
      <c r="I136" s="1">
        <f t="shared" si="11"/>
        <v>0</v>
      </c>
      <c r="J136" s="1">
        <f>IFERROR(VLOOKUP(D136,Event_Master!B:E,4,FALSE),1)</f>
        <v>1</v>
      </c>
      <c r="K136" s="1">
        <f t="shared" si="12"/>
        <v>0</v>
      </c>
      <c r="L136" s="1">
        <f t="shared" si="13"/>
        <v>0</v>
      </c>
    </row>
    <row r="137" spans="3:12">
      <c r="C137" s="1" t="str">
        <f>IFERROR(VLOOKUP(B137,Employee_Master!A:B,2,0)," ")</f>
        <v> </v>
      </c>
      <c r="H137" s="1">
        <f t="shared" si="10"/>
        <v>0</v>
      </c>
      <c r="I137" s="1">
        <f t="shared" si="11"/>
        <v>0</v>
      </c>
      <c r="J137" s="1">
        <f>IFERROR(VLOOKUP(D137,Event_Master!B:E,4,FALSE),1)</f>
        <v>1</v>
      </c>
      <c r="K137" s="1">
        <f t="shared" si="12"/>
        <v>0</v>
      </c>
      <c r="L137" s="1">
        <f t="shared" si="13"/>
        <v>0</v>
      </c>
    </row>
    <row r="138" spans="3:12">
      <c r="C138" s="1" t="str">
        <f>IFERROR(VLOOKUP(B138,Employee_Master!A:B,2,0)," ")</f>
        <v> </v>
      </c>
      <c r="H138" s="1">
        <f t="shared" si="10"/>
        <v>0</v>
      </c>
      <c r="I138" s="1">
        <f t="shared" si="11"/>
        <v>0</v>
      </c>
      <c r="J138" s="1">
        <f>IFERROR(VLOOKUP(D138,Event_Master!B:E,4,FALSE),1)</f>
        <v>1</v>
      </c>
      <c r="K138" s="1">
        <f t="shared" si="12"/>
        <v>0</v>
      </c>
      <c r="L138" s="1">
        <f t="shared" si="13"/>
        <v>0</v>
      </c>
    </row>
    <row r="139" spans="3:12">
      <c r="C139" s="1" t="str">
        <f>IFERROR(VLOOKUP(B139,Employee_Master!A:B,2,0)," ")</f>
        <v> </v>
      </c>
      <c r="H139" s="1">
        <f t="shared" si="10"/>
        <v>0</v>
      </c>
      <c r="I139" s="1">
        <f t="shared" si="11"/>
        <v>0</v>
      </c>
      <c r="J139" s="1">
        <f>IFERROR(VLOOKUP(D139,Event_Master!B:E,4,FALSE),1)</f>
        <v>1</v>
      </c>
      <c r="K139" s="1">
        <f t="shared" si="12"/>
        <v>0</v>
      </c>
      <c r="L139" s="1">
        <f t="shared" si="13"/>
        <v>0</v>
      </c>
    </row>
    <row r="140" spans="3:12">
      <c r="C140" s="1" t="str">
        <f>IFERROR(VLOOKUP(B140,Employee_Master!A:B,2,0)," ")</f>
        <v> </v>
      </c>
      <c r="H140" s="1">
        <f t="shared" si="10"/>
        <v>0</v>
      </c>
      <c r="I140" s="1">
        <f t="shared" si="11"/>
        <v>0</v>
      </c>
      <c r="J140" s="1">
        <f>IFERROR(VLOOKUP(D140,Event_Master!B:E,4,FALSE),1)</f>
        <v>1</v>
      </c>
      <c r="K140" s="1">
        <f t="shared" si="12"/>
        <v>0</v>
      </c>
      <c r="L140" s="1">
        <f t="shared" si="13"/>
        <v>0</v>
      </c>
    </row>
    <row r="141" spans="3:12">
      <c r="C141" s="1" t="str">
        <f>IFERROR(VLOOKUP(B141,Employee_Master!A:B,2,0)," ")</f>
        <v> </v>
      </c>
      <c r="H141" s="1">
        <f t="shared" si="10"/>
        <v>0</v>
      </c>
      <c r="I141" s="1">
        <f t="shared" si="11"/>
        <v>0</v>
      </c>
      <c r="J141" s="1">
        <f>IFERROR(VLOOKUP(D141,Event_Master!B:E,4,FALSE),1)</f>
        <v>1</v>
      </c>
      <c r="K141" s="1">
        <f t="shared" si="12"/>
        <v>0</v>
      </c>
      <c r="L141" s="1">
        <f t="shared" si="13"/>
        <v>0</v>
      </c>
    </row>
    <row r="142" spans="3:12">
      <c r="C142" s="1" t="str">
        <f>IFERROR(VLOOKUP(B142,Employee_Master!A:B,2,0)," ")</f>
        <v> </v>
      </c>
      <c r="H142" s="1">
        <f t="shared" si="10"/>
        <v>0</v>
      </c>
      <c r="I142" s="1">
        <f t="shared" si="11"/>
        <v>0</v>
      </c>
      <c r="J142" s="1">
        <f>IFERROR(VLOOKUP(D142,Event_Master!B:E,4,FALSE),1)</f>
        <v>1</v>
      </c>
      <c r="K142" s="1">
        <f t="shared" si="12"/>
        <v>0</v>
      </c>
      <c r="L142" s="1">
        <f t="shared" si="13"/>
        <v>0</v>
      </c>
    </row>
    <row r="143" spans="3:12">
      <c r="C143" s="1" t="str">
        <f>IFERROR(VLOOKUP(B143,Employee_Master!A:B,2,0)," ")</f>
        <v> </v>
      </c>
      <c r="H143" s="1">
        <f t="shared" si="10"/>
        <v>0</v>
      </c>
      <c r="I143" s="1">
        <f t="shared" si="11"/>
        <v>0</v>
      </c>
      <c r="J143" s="1">
        <f>IFERROR(VLOOKUP(D143,Event_Master!B:E,4,FALSE),1)</f>
        <v>1</v>
      </c>
      <c r="K143" s="1">
        <f t="shared" si="12"/>
        <v>0</v>
      </c>
      <c r="L143" s="1">
        <f t="shared" si="13"/>
        <v>0</v>
      </c>
    </row>
    <row r="144" spans="3:12">
      <c r="C144" s="1" t="str">
        <f>IFERROR(VLOOKUP(B144,Employee_Master!A:B,2,0)," ")</f>
        <v> </v>
      </c>
      <c r="H144" s="1">
        <f t="shared" si="10"/>
        <v>0</v>
      </c>
      <c r="I144" s="1">
        <f t="shared" si="11"/>
        <v>0</v>
      </c>
      <c r="J144" s="1">
        <f>IFERROR(VLOOKUP(D144,Event_Master!B:E,4,FALSE),1)</f>
        <v>1</v>
      </c>
      <c r="K144" s="1">
        <f t="shared" si="12"/>
        <v>0</v>
      </c>
      <c r="L144" s="1">
        <f t="shared" si="13"/>
        <v>0</v>
      </c>
    </row>
    <row r="145" spans="3:12">
      <c r="C145" s="1" t="str">
        <f>IFERROR(VLOOKUP(B145,Employee_Master!A:B,2,0)," ")</f>
        <v> </v>
      </c>
      <c r="H145" s="1">
        <f t="shared" si="10"/>
        <v>0</v>
      </c>
      <c r="I145" s="1">
        <f t="shared" si="11"/>
        <v>0</v>
      </c>
      <c r="J145" s="1">
        <f>IFERROR(VLOOKUP(D145,Event_Master!B:E,4,FALSE),1)</f>
        <v>1</v>
      </c>
      <c r="K145" s="1">
        <f t="shared" si="12"/>
        <v>0</v>
      </c>
      <c r="L145" s="1">
        <f t="shared" si="13"/>
        <v>0</v>
      </c>
    </row>
    <row r="146" spans="3:12">
      <c r="C146" s="1" t="str">
        <f>IFERROR(VLOOKUP(B146,Employee_Master!A:B,2,0)," ")</f>
        <v> </v>
      </c>
      <c r="H146" s="1">
        <f t="shared" si="10"/>
        <v>0</v>
      </c>
      <c r="I146" s="1">
        <f t="shared" si="11"/>
        <v>0</v>
      </c>
      <c r="J146" s="1">
        <f>IFERROR(VLOOKUP(D146,Event_Master!B:E,4,FALSE),1)</f>
        <v>1</v>
      </c>
      <c r="K146" s="1">
        <f t="shared" si="12"/>
        <v>0</v>
      </c>
      <c r="L146" s="1">
        <f t="shared" si="13"/>
        <v>0</v>
      </c>
    </row>
    <row r="147" spans="3:12">
      <c r="C147" s="1" t="str">
        <f>IFERROR(VLOOKUP(B147,Employee_Master!A:B,2,0)," ")</f>
        <v> </v>
      </c>
      <c r="H147" s="1">
        <f t="shared" si="10"/>
        <v>0</v>
      </c>
      <c r="I147" s="1">
        <f t="shared" si="11"/>
        <v>0</v>
      </c>
      <c r="J147" s="1">
        <f>IFERROR(VLOOKUP(D147,Event_Master!B:E,4,FALSE),1)</f>
        <v>1</v>
      </c>
      <c r="K147" s="1">
        <f t="shared" si="12"/>
        <v>0</v>
      </c>
      <c r="L147" s="1">
        <f t="shared" si="13"/>
        <v>0</v>
      </c>
    </row>
    <row r="148" spans="3:12">
      <c r="C148" s="1" t="str">
        <f>IFERROR(VLOOKUP(B148,Employee_Master!A:B,2,0)," ")</f>
        <v> </v>
      </c>
      <c r="H148" s="1">
        <f t="shared" si="10"/>
        <v>0</v>
      </c>
      <c r="I148" s="1">
        <f t="shared" si="11"/>
        <v>0</v>
      </c>
      <c r="J148" s="1">
        <f>IFERROR(VLOOKUP(D148,Event_Master!B:E,4,FALSE),1)</f>
        <v>1</v>
      </c>
      <c r="K148" s="1">
        <f t="shared" si="12"/>
        <v>0</v>
      </c>
      <c r="L148" s="1">
        <f t="shared" si="13"/>
        <v>0</v>
      </c>
    </row>
    <row r="149" spans="3:12">
      <c r="C149" s="1" t="str">
        <f>IFERROR(VLOOKUP(B149,Employee_Master!A:B,2,0)," ")</f>
        <v> </v>
      </c>
      <c r="H149" s="1">
        <f t="shared" si="10"/>
        <v>0</v>
      </c>
      <c r="I149" s="1">
        <f t="shared" si="11"/>
        <v>0</v>
      </c>
      <c r="J149" s="1">
        <f>IFERROR(VLOOKUP(D149,Event_Master!B:E,4,FALSE),1)</f>
        <v>1</v>
      </c>
      <c r="K149" s="1">
        <f t="shared" si="12"/>
        <v>0</v>
      </c>
      <c r="L149" s="1">
        <f t="shared" si="13"/>
        <v>0</v>
      </c>
    </row>
    <row r="150" spans="3:12">
      <c r="C150" s="1" t="str">
        <f>IFERROR(VLOOKUP(B150,Employee_Master!A:B,2,0)," ")</f>
        <v> </v>
      </c>
      <c r="H150" s="1">
        <f t="shared" si="10"/>
        <v>0</v>
      </c>
      <c r="I150" s="1">
        <f t="shared" si="11"/>
        <v>0</v>
      </c>
      <c r="J150" s="1">
        <f>IFERROR(VLOOKUP(D150,Event_Master!B:E,4,FALSE),1)</f>
        <v>1</v>
      </c>
      <c r="K150" s="1">
        <f t="shared" si="12"/>
        <v>0</v>
      </c>
      <c r="L150" s="1">
        <f t="shared" si="13"/>
        <v>0</v>
      </c>
    </row>
    <row r="151" spans="3:12">
      <c r="C151" s="1" t="str">
        <f>IFERROR(VLOOKUP(B151,Employee_Master!A:B,2,0)," ")</f>
        <v> </v>
      </c>
      <c r="H151" s="1">
        <f t="shared" si="10"/>
        <v>0</v>
      </c>
      <c r="I151" s="1">
        <f t="shared" si="11"/>
        <v>0</v>
      </c>
      <c r="J151" s="1">
        <f>IFERROR(VLOOKUP(D151,Event_Master!B:E,4,FALSE),1)</f>
        <v>1</v>
      </c>
      <c r="K151" s="1">
        <f t="shared" si="12"/>
        <v>0</v>
      </c>
      <c r="L151" s="1">
        <f t="shared" si="13"/>
        <v>0</v>
      </c>
    </row>
    <row r="152" spans="3:12">
      <c r="C152" s="1" t="str">
        <f>IFERROR(VLOOKUP(B152,Employee_Master!A:B,2,0)," ")</f>
        <v> </v>
      </c>
      <c r="H152" s="1">
        <f t="shared" si="10"/>
        <v>0</v>
      </c>
      <c r="I152" s="1">
        <f t="shared" si="11"/>
        <v>0</v>
      </c>
      <c r="J152" s="1">
        <f>IFERROR(VLOOKUP(D152,Event_Master!B:E,4,FALSE),1)</f>
        <v>1</v>
      </c>
      <c r="K152" s="1">
        <f t="shared" si="12"/>
        <v>0</v>
      </c>
      <c r="L152" s="1">
        <f t="shared" si="13"/>
        <v>0</v>
      </c>
    </row>
    <row r="153" spans="3:12">
      <c r="C153" s="1" t="str">
        <f>IFERROR(VLOOKUP(B153,Employee_Master!A:B,2,0)," ")</f>
        <v> </v>
      </c>
      <c r="H153" s="1">
        <f t="shared" si="10"/>
        <v>0</v>
      </c>
      <c r="I153" s="1">
        <f t="shared" si="11"/>
        <v>0</v>
      </c>
      <c r="J153" s="1">
        <f>IFERROR(VLOOKUP(D153,Event_Master!B:E,4,FALSE),1)</f>
        <v>1</v>
      </c>
      <c r="K153" s="1">
        <f t="shared" si="12"/>
        <v>0</v>
      </c>
      <c r="L153" s="1">
        <f t="shared" si="13"/>
        <v>0</v>
      </c>
    </row>
    <row r="154" spans="3:12">
      <c r="C154" s="1" t="str">
        <f>IFERROR(VLOOKUP(B154,Employee_Master!A:B,2,0)," ")</f>
        <v> </v>
      </c>
      <c r="H154" s="1">
        <f t="shared" si="10"/>
        <v>0</v>
      </c>
      <c r="I154" s="1">
        <f t="shared" si="11"/>
        <v>0</v>
      </c>
      <c r="J154" s="1">
        <f>IFERROR(VLOOKUP(D154,Event_Master!B:E,4,FALSE),1)</f>
        <v>1</v>
      </c>
      <c r="K154" s="1">
        <f t="shared" si="12"/>
        <v>0</v>
      </c>
      <c r="L154" s="1">
        <f t="shared" si="13"/>
        <v>0</v>
      </c>
    </row>
    <row r="155" spans="3:12">
      <c r="C155" s="1" t="str">
        <f>IFERROR(VLOOKUP(B155,Employee_Master!A:B,2,0)," ")</f>
        <v> </v>
      </c>
      <c r="H155" s="1">
        <f t="shared" si="10"/>
        <v>0</v>
      </c>
      <c r="I155" s="1">
        <f t="shared" si="11"/>
        <v>0</v>
      </c>
      <c r="J155" s="1">
        <f>IFERROR(VLOOKUP(D155,Event_Master!B:E,4,FALSE),1)</f>
        <v>1</v>
      </c>
      <c r="K155" s="1">
        <f t="shared" si="12"/>
        <v>0</v>
      </c>
      <c r="L155" s="1">
        <f t="shared" si="13"/>
        <v>0</v>
      </c>
    </row>
    <row r="156" spans="3:12">
      <c r="C156" s="1" t="str">
        <f>IFERROR(VLOOKUP(B156,Employee_Master!A:B,2,0)," ")</f>
        <v> </v>
      </c>
      <c r="H156" s="1">
        <f t="shared" si="10"/>
        <v>0</v>
      </c>
      <c r="I156" s="1">
        <f t="shared" si="11"/>
        <v>0</v>
      </c>
      <c r="J156" s="1">
        <f>IFERROR(VLOOKUP(D156,Event_Master!B:E,4,FALSE),1)</f>
        <v>1</v>
      </c>
      <c r="K156" s="1">
        <f t="shared" si="12"/>
        <v>0</v>
      </c>
      <c r="L156" s="1">
        <f t="shared" si="13"/>
        <v>0</v>
      </c>
    </row>
    <row r="157" spans="3:12">
      <c r="C157" s="1" t="str">
        <f>IFERROR(VLOOKUP(B157,Employee_Master!A:B,2,0)," ")</f>
        <v> </v>
      </c>
      <c r="H157" s="1">
        <f t="shared" si="10"/>
        <v>0</v>
      </c>
      <c r="I157" s="1">
        <f t="shared" si="11"/>
        <v>0</v>
      </c>
      <c r="J157" s="1">
        <f>IFERROR(VLOOKUP(D157,Event_Master!B:E,4,FALSE),1)</f>
        <v>1</v>
      </c>
      <c r="K157" s="1">
        <f t="shared" si="12"/>
        <v>0</v>
      </c>
      <c r="L157" s="1">
        <f t="shared" si="13"/>
        <v>0</v>
      </c>
    </row>
    <row r="158" spans="3:12">
      <c r="C158" s="1" t="str">
        <f>IFERROR(VLOOKUP(B158,Employee_Master!A:B,2,0)," ")</f>
        <v> </v>
      </c>
      <c r="H158" s="1">
        <f t="shared" si="10"/>
        <v>0</v>
      </c>
      <c r="I158" s="1">
        <f t="shared" si="11"/>
        <v>0</v>
      </c>
      <c r="J158" s="1">
        <f>IFERROR(VLOOKUP(D158,Event_Master!B:E,4,FALSE),1)</f>
        <v>1</v>
      </c>
      <c r="K158" s="1">
        <f t="shared" si="12"/>
        <v>0</v>
      </c>
      <c r="L158" s="1">
        <f t="shared" si="13"/>
        <v>0</v>
      </c>
    </row>
    <row r="159" spans="3:12">
      <c r="C159" s="1" t="str">
        <f>IFERROR(VLOOKUP(B159,Employee_Master!A:B,2,0)," ")</f>
        <v> </v>
      </c>
      <c r="H159" s="1">
        <f t="shared" si="10"/>
        <v>0</v>
      </c>
      <c r="I159" s="1">
        <f t="shared" si="11"/>
        <v>0</v>
      </c>
      <c r="J159" s="1">
        <f>IFERROR(VLOOKUP(D159,Event_Master!B:E,4,FALSE),1)</f>
        <v>1</v>
      </c>
      <c r="K159" s="1">
        <f t="shared" si="12"/>
        <v>0</v>
      </c>
      <c r="L159" s="1">
        <f t="shared" si="13"/>
        <v>0</v>
      </c>
    </row>
    <row r="160" spans="3:12">
      <c r="C160" s="1" t="str">
        <f>IFERROR(VLOOKUP(B160,Employee_Master!A:B,2,0)," ")</f>
        <v> </v>
      </c>
      <c r="H160" s="1">
        <f t="shared" si="10"/>
        <v>0</v>
      </c>
      <c r="I160" s="1">
        <f t="shared" si="11"/>
        <v>0</v>
      </c>
      <c r="J160" s="1">
        <f>IFERROR(VLOOKUP(D160,Event_Master!B:E,4,FALSE),1)</f>
        <v>1</v>
      </c>
      <c r="K160" s="1">
        <f t="shared" si="12"/>
        <v>0</v>
      </c>
      <c r="L160" s="1">
        <f t="shared" si="13"/>
        <v>0</v>
      </c>
    </row>
    <row r="161" spans="3:12">
      <c r="C161" s="1" t="str">
        <f>IFERROR(VLOOKUP(B161,Employee_Master!A:B,2,0)," ")</f>
        <v> </v>
      </c>
      <c r="H161" s="1">
        <f t="shared" si="10"/>
        <v>0</v>
      </c>
      <c r="I161" s="1">
        <f t="shared" si="11"/>
        <v>0</v>
      </c>
      <c r="J161" s="1">
        <f>IFERROR(VLOOKUP(D161,Event_Master!B:E,4,FALSE),1)</f>
        <v>1</v>
      </c>
      <c r="K161" s="1">
        <f t="shared" si="12"/>
        <v>0</v>
      </c>
      <c r="L161" s="1">
        <f t="shared" si="13"/>
        <v>0</v>
      </c>
    </row>
    <row r="162" spans="3:12">
      <c r="C162" s="1" t="str">
        <f>IFERROR(VLOOKUP(B162,Employee_Master!A:B,2,0)," ")</f>
        <v> </v>
      </c>
      <c r="H162" s="1">
        <f t="shared" si="10"/>
        <v>0</v>
      </c>
      <c r="I162" s="1">
        <f t="shared" si="11"/>
        <v>0</v>
      </c>
      <c r="J162" s="1">
        <f>IFERROR(VLOOKUP(D162,Event_Master!B:E,4,FALSE),1)</f>
        <v>1</v>
      </c>
      <c r="K162" s="1">
        <f t="shared" si="12"/>
        <v>0</v>
      </c>
      <c r="L162" s="1">
        <f t="shared" si="13"/>
        <v>0</v>
      </c>
    </row>
    <row r="163" spans="3:12">
      <c r="C163" s="1" t="str">
        <f>IFERROR(VLOOKUP(B163,Employee_Master!A:B,2,0)," ")</f>
        <v> </v>
      </c>
      <c r="H163" s="1">
        <f t="shared" si="10"/>
        <v>0</v>
      </c>
      <c r="I163" s="1">
        <f t="shared" si="11"/>
        <v>0</v>
      </c>
      <c r="J163" s="1">
        <f>IFERROR(VLOOKUP(D163,Event_Master!B:E,4,FALSE),1)</f>
        <v>1</v>
      </c>
      <c r="K163" s="1">
        <f t="shared" si="12"/>
        <v>0</v>
      </c>
      <c r="L163" s="1">
        <f t="shared" si="13"/>
        <v>0</v>
      </c>
    </row>
    <row r="164" spans="3:12">
      <c r="C164" s="1" t="str">
        <f>IFERROR(VLOOKUP(B164,Employee_Master!A:B,2,0)," ")</f>
        <v> </v>
      </c>
      <c r="H164" s="1">
        <f t="shared" si="10"/>
        <v>0</v>
      </c>
      <c r="I164" s="1">
        <f t="shared" si="11"/>
        <v>0</v>
      </c>
      <c r="J164" s="1">
        <f>IFERROR(VLOOKUP(D164,Event_Master!B:E,4,FALSE),1)</f>
        <v>1</v>
      </c>
      <c r="K164" s="1">
        <f t="shared" si="12"/>
        <v>0</v>
      </c>
      <c r="L164" s="1">
        <f t="shared" si="13"/>
        <v>0</v>
      </c>
    </row>
    <row r="165" spans="3:12">
      <c r="C165" s="1" t="str">
        <f>IFERROR(VLOOKUP(B165,Employee_Master!A:B,2,0)," ")</f>
        <v> </v>
      </c>
      <c r="H165" s="1">
        <f t="shared" si="10"/>
        <v>0</v>
      </c>
      <c r="I165" s="1">
        <f t="shared" si="11"/>
        <v>0</v>
      </c>
      <c r="J165" s="1">
        <f>IFERROR(VLOOKUP(D165,Event_Master!B:E,4,FALSE),1)</f>
        <v>1</v>
      </c>
      <c r="K165" s="1">
        <f t="shared" si="12"/>
        <v>0</v>
      </c>
      <c r="L165" s="1">
        <f t="shared" si="13"/>
        <v>0</v>
      </c>
    </row>
    <row r="166" spans="3:12">
      <c r="C166" s="1" t="str">
        <f>IFERROR(VLOOKUP(B166,Employee_Master!A:B,2,0)," ")</f>
        <v> </v>
      </c>
      <c r="H166" s="1">
        <f t="shared" si="10"/>
        <v>0</v>
      </c>
      <c r="I166" s="1">
        <f t="shared" si="11"/>
        <v>0</v>
      </c>
      <c r="J166" s="1">
        <f>IFERROR(VLOOKUP(D166,Event_Master!B:E,4,FALSE),1)</f>
        <v>1</v>
      </c>
      <c r="K166" s="1">
        <f t="shared" si="12"/>
        <v>0</v>
      </c>
      <c r="L166" s="1">
        <f t="shared" ref="L166:L200" si="14">K166+H166</f>
        <v>0</v>
      </c>
    </row>
    <row r="167" spans="3:12">
      <c r="C167" s="1" t="str">
        <f>IFERROR(VLOOKUP(B167,Employee_Master!A:B,2,0)," ")</f>
        <v> </v>
      </c>
      <c r="H167" s="1">
        <f t="shared" si="10"/>
        <v>0</v>
      </c>
      <c r="I167" s="1">
        <f t="shared" si="11"/>
        <v>0</v>
      </c>
      <c r="J167" s="1">
        <f>IFERROR(VLOOKUP(D167,Event_Master!B:E,4,FALSE),1)</f>
        <v>1</v>
      </c>
      <c r="K167" s="1">
        <f t="shared" si="12"/>
        <v>0</v>
      </c>
      <c r="L167" s="1">
        <f t="shared" si="14"/>
        <v>0</v>
      </c>
    </row>
    <row r="168" spans="3:12">
      <c r="C168" s="1" t="str">
        <f>IFERROR(VLOOKUP(B168,Employee_Master!A:B,2,0)," ")</f>
        <v> </v>
      </c>
      <c r="H168" s="1">
        <f t="shared" si="10"/>
        <v>0</v>
      </c>
      <c r="I168" s="1">
        <f t="shared" si="11"/>
        <v>0</v>
      </c>
      <c r="J168" s="1">
        <f>IFERROR(VLOOKUP(D168,Event_Master!B:E,4,FALSE),1)</f>
        <v>1</v>
      </c>
      <c r="K168" s="1">
        <f t="shared" si="12"/>
        <v>0</v>
      </c>
      <c r="L168" s="1">
        <f t="shared" si="14"/>
        <v>0</v>
      </c>
    </row>
    <row r="169" spans="3:12">
      <c r="C169" s="1" t="str">
        <f>IFERROR(VLOOKUP(B169,Employee_Master!A:B,2,0)," ")</f>
        <v> </v>
      </c>
      <c r="H169" s="1">
        <f t="shared" si="10"/>
        <v>0</v>
      </c>
      <c r="I169" s="1">
        <f t="shared" si="11"/>
        <v>0</v>
      </c>
      <c r="J169" s="1">
        <f>IFERROR(VLOOKUP(D169,Event_Master!B:E,4,FALSE),1)</f>
        <v>1</v>
      </c>
      <c r="K169" s="1">
        <f t="shared" si="12"/>
        <v>0</v>
      </c>
      <c r="L169" s="1">
        <f t="shared" si="14"/>
        <v>0</v>
      </c>
    </row>
    <row r="170" spans="3:12">
      <c r="C170" s="1" t="str">
        <f>IFERROR(VLOOKUP(B170,Employee_Master!A:B,2,0)," ")</f>
        <v> </v>
      </c>
      <c r="H170" s="1">
        <f t="shared" si="10"/>
        <v>0</v>
      </c>
      <c r="I170" s="1">
        <f t="shared" si="11"/>
        <v>0</v>
      </c>
      <c r="J170" s="1">
        <f>IFERROR(VLOOKUP(D170,Event_Master!B:E,4,FALSE),1)</f>
        <v>1</v>
      </c>
      <c r="K170" s="1">
        <f t="shared" si="12"/>
        <v>0</v>
      </c>
      <c r="L170" s="1">
        <f t="shared" si="14"/>
        <v>0</v>
      </c>
    </row>
    <row r="171" spans="3:12">
      <c r="C171" s="1" t="str">
        <f>IFERROR(VLOOKUP(B171,Employee_Master!A:B,2,0)," ")</f>
        <v> </v>
      </c>
      <c r="H171" s="1">
        <f t="shared" si="10"/>
        <v>0</v>
      </c>
      <c r="I171" s="1">
        <f t="shared" si="11"/>
        <v>0</v>
      </c>
      <c r="J171" s="1">
        <f>IFERROR(VLOOKUP(D171,Event_Master!B:E,4,FALSE),1)</f>
        <v>1</v>
      </c>
      <c r="K171" s="1">
        <f t="shared" si="12"/>
        <v>0</v>
      </c>
      <c r="L171" s="1">
        <f t="shared" si="14"/>
        <v>0</v>
      </c>
    </row>
    <row r="172" spans="3:12">
      <c r="C172" s="1" t="str">
        <f>IFERROR(VLOOKUP(B172,Employee_Master!A:B,2,0)," ")</f>
        <v> </v>
      </c>
      <c r="H172" s="1">
        <f t="shared" si="10"/>
        <v>0</v>
      </c>
      <c r="I172" s="1">
        <f t="shared" si="11"/>
        <v>0</v>
      </c>
      <c r="J172" s="1">
        <f>IFERROR(VLOOKUP(D172,Event_Master!B:E,4,FALSE),1)</f>
        <v>1</v>
      </c>
      <c r="K172" s="1">
        <f t="shared" si="12"/>
        <v>0</v>
      </c>
      <c r="L172" s="1">
        <f t="shared" si="14"/>
        <v>0</v>
      </c>
    </row>
    <row r="173" spans="3:12">
      <c r="C173" s="1" t="str">
        <f>IFERROR(VLOOKUP(B173,Employee_Master!A:B,2,0)," ")</f>
        <v> </v>
      </c>
      <c r="H173" s="1">
        <f t="shared" si="10"/>
        <v>0</v>
      </c>
      <c r="I173" s="1">
        <f t="shared" si="11"/>
        <v>0</v>
      </c>
      <c r="J173" s="1">
        <f>IFERROR(VLOOKUP(D173,Event_Master!B:E,4,FALSE),1)</f>
        <v>1</v>
      </c>
      <c r="K173" s="1">
        <f t="shared" si="12"/>
        <v>0</v>
      </c>
      <c r="L173" s="1">
        <f t="shared" si="14"/>
        <v>0</v>
      </c>
    </row>
    <row r="174" spans="3:12">
      <c r="C174" s="1" t="str">
        <f>IFERROR(VLOOKUP(B174,Employee_Master!A:B,2,0)," ")</f>
        <v> </v>
      </c>
      <c r="H174" s="1">
        <f t="shared" si="10"/>
        <v>0</v>
      </c>
      <c r="I174" s="1">
        <f t="shared" si="11"/>
        <v>0</v>
      </c>
      <c r="J174" s="1">
        <f>IFERROR(VLOOKUP(D174,Event_Master!B:E,4,FALSE),1)</f>
        <v>1</v>
      </c>
      <c r="K174" s="1">
        <f t="shared" si="12"/>
        <v>0</v>
      </c>
      <c r="L174" s="1">
        <f t="shared" si="14"/>
        <v>0</v>
      </c>
    </row>
    <row r="175" spans="3:12">
      <c r="C175" s="1" t="str">
        <f>IFERROR(VLOOKUP(B175,Employee_Master!A:B,2,0)," ")</f>
        <v> </v>
      </c>
      <c r="H175" s="1">
        <f t="shared" si="10"/>
        <v>0</v>
      </c>
      <c r="I175" s="1">
        <f t="shared" si="11"/>
        <v>0</v>
      </c>
      <c r="J175" s="1">
        <f>IFERROR(VLOOKUP(D175,Event_Master!B:E,4,FALSE),1)</f>
        <v>1</v>
      </c>
      <c r="K175" s="1">
        <f t="shared" si="12"/>
        <v>0</v>
      </c>
      <c r="L175" s="1">
        <f t="shared" si="14"/>
        <v>0</v>
      </c>
    </row>
    <row r="176" spans="3:12">
      <c r="C176" s="1" t="str">
        <f>IFERROR(VLOOKUP(B176,Employee_Master!A:B,2,0)," ")</f>
        <v> </v>
      </c>
      <c r="H176" s="1">
        <f t="shared" si="10"/>
        <v>0</v>
      </c>
      <c r="I176" s="1">
        <f t="shared" si="11"/>
        <v>0</v>
      </c>
      <c r="J176" s="1">
        <f>IFERROR(VLOOKUP(D176,Event_Master!B:E,4,FALSE),1)</f>
        <v>1</v>
      </c>
      <c r="K176" s="1">
        <f t="shared" si="12"/>
        <v>0</v>
      </c>
      <c r="L176" s="1">
        <f t="shared" si="14"/>
        <v>0</v>
      </c>
    </row>
    <row r="177" spans="3:12">
      <c r="C177" s="1" t="str">
        <f>IFERROR(VLOOKUP(B177,Employee_Master!A:B,2,0)," ")</f>
        <v> </v>
      </c>
      <c r="H177" s="1">
        <f t="shared" si="10"/>
        <v>0</v>
      </c>
      <c r="I177" s="1">
        <f t="shared" si="11"/>
        <v>0</v>
      </c>
      <c r="J177" s="1">
        <f>IFERROR(VLOOKUP(D177,Event_Master!B:E,4,FALSE),1)</f>
        <v>1</v>
      </c>
      <c r="K177" s="1">
        <f t="shared" si="12"/>
        <v>0</v>
      </c>
      <c r="L177" s="1">
        <f t="shared" si="14"/>
        <v>0</v>
      </c>
    </row>
    <row r="178" spans="3:12">
      <c r="C178" s="1" t="str">
        <f>IFERROR(VLOOKUP(B178,Employee_Master!A:B,2,0)," ")</f>
        <v> </v>
      </c>
      <c r="H178" s="1">
        <f t="shared" si="10"/>
        <v>0</v>
      </c>
      <c r="I178" s="1">
        <f t="shared" si="11"/>
        <v>0</v>
      </c>
      <c r="J178" s="1">
        <f>IFERROR(VLOOKUP(D178,Event_Master!B:E,4,FALSE),1)</f>
        <v>1</v>
      </c>
      <c r="K178" s="1">
        <f t="shared" si="12"/>
        <v>0</v>
      </c>
      <c r="L178" s="1">
        <f t="shared" si="14"/>
        <v>0</v>
      </c>
    </row>
    <row r="179" spans="3:12">
      <c r="C179" s="1" t="str">
        <f>IFERROR(VLOOKUP(B179,Employee_Master!A:B,2,0)," ")</f>
        <v> </v>
      </c>
      <c r="H179" s="1">
        <f t="shared" si="10"/>
        <v>0</v>
      </c>
      <c r="I179" s="1">
        <f t="shared" si="11"/>
        <v>0</v>
      </c>
      <c r="J179" s="1">
        <f>IFERROR(VLOOKUP(D179,Event_Master!B:E,4,FALSE),1)</f>
        <v>1</v>
      </c>
      <c r="K179" s="1">
        <f t="shared" si="12"/>
        <v>0</v>
      </c>
      <c r="L179" s="1">
        <f t="shared" si="14"/>
        <v>0</v>
      </c>
    </row>
    <row r="180" spans="3:12">
      <c r="C180" s="1" t="str">
        <f>IFERROR(VLOOKUP(B180,Employee_Master!A:B,2,0)," ")</f>
        <v> </v>
      </c>
      <c r="H180" s="1">
        <f t="shared" si="10"/>
        <v>0</v>
      </c>
      <c r="I180" s="1">
        <f t="shared" si="11"/>
        <v>0</v>
      </c>
      <c r="J180" s="1">
        <f>IFERROR(VLOOKUP(D180,Event_Master!B:E,4,FALSE),1)</f>
        <v>1</v>
      </c>
      <c r="K180" s="1">
        <f t="shared" si="12"/>
        <v>0</v>
      </c>
      <c r="L180" s="1">
        <f t="shared" si="14"/>
        <v>0</v>
      </c>
    </row>
    <row r="181" spans="3:12">
      <c r="C181" s="1" t="str">
        <f>IFERROR(VLOOKUP(B181,Employee_Master!A:B,2,0)," ")</f>
        <v> </v>
      </c>
      <c r="H181" s="1">
        <f t="shared" si="10"/>
        <v>0</v>
      </c>
      <c r="I181" s="1">
        <f t="shared" si="11"/>
        <v>0</v>
      </c>
      <c r="J181" s="1">
        <f>IFERROR(VLOOKUP(D181,Event_Master!B:E,4,FALSE),1)</f>
        <v>1</v>
      </c>
      <c r="K181" s="1">
        <f t="shared" si="12"/>
        <v>0</v>
      </c>
      <c r="L181" s="1">
        <f t="shared" si="14"/>
        <v>0</v>
      </c>
    </row>
    <row r="182" spans="3:12">
      <c r="C182" s="1" t="str">
        <f>IFERROR(VLOOKUP(B182,Employee_Master!A:B,2,0)," ")</f>
        <v> </v>
      </c>
      <c r="H182" s="1">
        <f t="shared" si="10"/>
        <v>0</v>
      </c>
      <c r="I182" s="1">
        <f t="shared" si="11"/>
        <v>0</v>
      </c>
      <c r="J182" s="1">
        <f>IFERROR(VLOOKUP(D182,Event_Master!B:E,4,FALSE),1)</f>
        <v>1</v>
      </c>
      <c r="K182" s="1">
        <f t="shared" si="12"/>
        <v>0</v>
      </c>
      <c r="L182" s="1">
        <f t="shared" si="14"/>
        <v>0</v>
      </c>
    </row>
    <row r="183" spans="3:12">
      <c r="C183" s="1" t="str">
        <f>IFERROR(VLOOKUP(B183,Employee_Master!A:B,2,0)," ")</f>
        <v> </v>
      </c>
      <c r="H183" s="1">
        <f t="shared" si="10"/>
        <v>0</v>
      </c>
      <c r="I183" s="1">
        <f t="shared" si="11"/>
        <v>0</v>
      </c>
      <c r="J183" s="1">
        <f>IFERROR(VLOOKUP(D183,Event_Master!B:E,4,FALSE),1)</f>
        <v>1</v>
      </c>
      <c r="K183" s="1">
        <f t="shared" si="12"/>
        <v>0</v>
      </c>
      <c r="L183" s="1">
        <f t="shared" si="14"/>
        <v>0</v>
      </c>
    </row>
    <row r="184" spans="3:12">
      <c r="C184" s="1" t="str">
        <f>IFERROR(VLOOKUP(B184,Employee_Master!A:B,2,0)," ")</f>
        <v> </v>
      </c>
      <c r="H184" s="1">
        <f t="shared" si="10"/>
        <v>0</v>
      </c>
      <c r="I184" s="1">
        <f t="shared" si="11"/>
        <v>0</v>
      </c>
      <c r="J184" s="1">
        <f>IFERROR(VLOOKUP(D184,Event_Master!B:E,4,FALSE),1)</f>
        <v>1</v>
      </c>
      <c r="K184" s="1">
        <f t="shared" si="12"/>
        <v>0</v>
      </c>
      <c r="L184" s="1">
        <f t="shared" si="14"/>
        <v>0</v>
      </c>
    </row>
    <row r="185" spans="3:12">
      <c r="C185" s="1" t="str">
        <f>IFERROR(VLOOKUP(B185,Employee_Master!A:B,2,0)," ")</f>
        <v> </v>
      </c>
      <c r="H185" s="1">
        <f t="shared" si="10"/>
        <v>0</v>
      </c>
      <c r="I185" s="1">
        <f t="shared" si="11"/>
        <v>0</v>
      </c>
      <c r="J185" s="1">
        <f>IFERROR(VLOOKUP(D185,Event_Master!B:E,4,FALSE),1)</f>
        <v>1</v>
      </c>
      <c r="K185" s="1">
        <f t="shared" si="12"/>
        <v>0</v>
      </c>
      <c r="L185" s="1">
        <f t="shared" si="14"/>
        <v>0</v>
      </c>
    </row>
    <row r="186" spans="3:12">
      <c r="C186" s="1" t="str">
        <f>IFERROR(VLOOKUP(B186,Employee_Master!A:B,2,0)," ")</f>
        <v> </v>
      </c>
      <c r="H186" s="1">
        <f t="shared" si="10"/>
        <v>0</v>
      </c>
      <c r="I186" s="1">
        <f t="shared" si="11"/>
        <v>0</v>
      </c>
      <c r="J186" s="1">
        <f>IFERROR(VLOOKUP(D186,Event_Master!B:E,4,FALSE),1)</f>
        <v>1</v>
      </c>
      <c r="K186" s="1">
        <f t="shared" si="12"/>
        <v>0</v>
      </c>
      <c r="L186" s="1">
        <f t="shared" si="14"/>
        <v>0</v>
      </c>
    </row>
    <row r="187" spans="3:12">
      <c r="C187" s="1" t="str">
        <f>IFERROR(VLOOKUP(B187,Employee_Master!A:B,2,0)," ")</f>
        <v> </v>
      </c>
      <c r="H187" s="1">
        <f t="shared" si="10"/>
        <v>0</v>
      </c>
      <c r="I187" s="1">
        <f t="shared" si="11"/>
        <v>0</v>
      </c>
      <c r="J187" s="1">
        <f>IFERROR(VLOOKUP(D187,Event_Master!B:E,4,FALSE),1)</f>
        <v>1</v>
      </c>
      <c r="K187" s="1">
        <f t="shared" si="12"/>
        <v>0</v>
      </c>
      <c r="L187" s="1">
        <f t="shared" si="14"/>
        <v>0</v>
      </c>
    </row>
    <row r="188" spans="3:12">
      <c r="C188" s="1" t="str">
        <f>IFERROR(VLOOKUP(B188,Employee_Master!A:B,2,0)," ")</f>
        <v> </v>
      </c>
      <c r="H188" s="1">
        <f t="shared" si="10"/>
        <v>0</v>
      </c>
      <c r="I188" s="1">
        <f t="shared" si="11"/>
        <v>0</v>
      </c>
      <c r="J188" s="1">
        <f>IFERROR(VLOOKUP(D188,Event_Master!B:E,4,FALSE),1)</f>
        <v>1</v>
      </c>
      <c r="K188" s="1">
        <f t="shared" si="12"/>
        <v>0</v>
      </c>
      <c r="L188" s="1">
        <f t="shared" si="14"/>
        <v>0</v>
      </c>
    </row>
    <row r="189" spans="3:12">
      <c r="C189" s="1" t="str">
        <f>IFERROR(VLOOKUP(B189,Employee_Master!A:B,2,0)," ")</f>
        <v> </v>
      </c>
      <c r="H189" s="1">
        <f t="shared" si="10"/>
        <v>0</v>
      </c>
      <c r="I189" s="1">
        <f t="shared" si="11"/>
        <v>0</v>
      </c>
      <c r="J189" s="1">
        <f>IFERROR(VLOOKUP(D189,Event_Master!B:E,4,FALSE),1)</f>
        <v>1</v>
      </c>
      <c r="K189" s="1">
        <f t="shared" si="12"/>
        <v>0</v>
      </c>
      <c r="L189" s="1">
        <f t="shared" si="14"/>
        <v>0</v>
      </c>
    </row>
    <row r="190" spans="3:12">
      <c r="C190" s="1" t="str">
        <f>IFERROR(VLOOKUP(B190,Employee_Master!A:B,2,0)," ")</f>
        <v> </v>
      </c>
      <c r="H190" s="1">
        <f t="shared" si="10"/>
        <v>0</v>
      </c>
      <c r="I190" s="1">
        <f t="shared" si="11"/>
        <v>0</v>
      </c>
      <c r="J190" s="1">
        <f>IFERROR(VLOOKUP(D190,Event_Master!B:E,4,FALSE),1)</f>
        <v>1</v>
      </c>
      <c r="K190" s="1">
        <f t="shared" si="12"/>
        <v>0</v>
      </c>
      <c r="L190" s="1">
        <f t="shared" si="14"/>
        <v>0</v>
      </c>
    </row>
    <row r="191" spans="3:12">
      <c r="C191" s="1" t="str">
        <f>IFERROR(VLOOKUP(B191,Employee_Master!A:B,2,0)," ")</f>
        <v> </v>
      </c>
      <c r="H191" s="1">
        <f t="shared" si="10"/>
        <v>0</v>
      </c>
      <c r="I191" s="1">
        <f t="shared" si="11"/>
        <v>0</v>
      </c>
      <c r="J191" s="1">
        <f>IFERROR(VLOOKUP(D191,Event_Master!B:E,4,FALSE),1)</f>
        <v>1</v>
      </c>
      <c r="K191" s="1">
        <f t="shared" si="12"/>
        <v>0</v>
      </c>
      <c r="L191" s="1">
        <f t="shared" si="14"/>
        <v>0</v>
      </c>
    </row>
    <row r="192" spans="3:12">
      <c r="C192" s="1" t="str">
        <f>IFERROR(VLOOKUP(B192,Employee_Master!A:B,2,0)," ")</f>
        <v> </v>
      </c>
      <c r="H192" s="1">
        <f t="shared" si="10"/>
        <v>0</v>
      </c>
      <c r="I192" s="1">
        <f t="shared" si="11"/>
        <v>0</v>
      </c>
      <c r="J192" s="1">
        <f>IFERROR(VLOOKUP(D192,Event_Master!B:E,4,FALSE),1)</f>
        <v>1</v>
      </c>
      <c r="K192" s="1">
        <f t="shared" si="12"/>
        <v>0</v>
      </c>
      <c r="L192" s="1">
        <f t="shared" si="14"/>
        <v>0</v>
      </c>
    </row>
    <row r="193" spans="3:12">
      <c r="C193" s="1" t="str">
        <f>IFERROR(VLOOKUP(B193,Employee_Master!A:B,2,0)," ")</f>
        <v> </v>
      </c>
      <c r="H193" s="1">
        <f t="shared" si="10"/>
        <v>0</v>
      </c>
      <c r="I193" s="1">
        <f t="shared" si="11"/>
        <v>0</v>
      </c>
      <c r="J193" s="1">
        <f>IFERROR(VLOOKUP(D193,Event_Master!B:E,4,FALSE),1)</f>
        <v>1</v>
      </c>
      <c r="K193" s="1">
        <f t="shared" si="12"/>
        <v>0</v>
      </c>
      <c r="L193" s="1">
        <f t="shared" si="14"/>
        <v>0</v>
      </c>
    </row>
    <row r="194" spans="3:12">
      <c r="C194" s="1" t="str">
        <f>IFERROR(VLOOKUP(B194,Employee_Master!A:B,2,0)," ")</f>
        <v> </v>
      </c>
      <c r="H194" s="1">
        <f t="shared" ref="H194:H200" si="15">IF(F194="Yes",10,0)</f>
        <v>0</v>
      </c>
      <c r="I194" s="1">
        <f t="shared" si="11"/>
        <v>0</v>
      </c>
      <c r="J194" s="1">
        <f>IFERROR(VLOOKUP(D194,Event_Master!B:E,4,FALSE),1)</f>
        <v>1</v>
      </c>
      <c r="K194" s="1">
        <f t="shared" si="12"/>
        <v>0</v>
      </c>
      <c r="L194" s="1">
        <f t="shared" si="14"/>
        <v>0</v>
      </c>
    </row>
    <row r="195" spans="3:12">
      <c r="C195" s="1" t="str">
        <f>IFERROR(VLOOKUP(B195,Employee_Master!A:B,2,0)," ")</f>
        <v> </v>
      </c>
      <c r="H195" s="1">
        <f t="shared" si="15"/>
        <v>0</v>
      </c>
      <c r="I195" s="1">
        <f t="shared" ref="I195:I200" si="16">IF(G195="Winner",100,IF(G195="Runner-up",70,IF(G195="2nd Runner-up",50,IF(G195="Semi",30,IF(G195="Quarter",20,0)))))</f>
        <v>0</v>
      </c>
      <c r="J195" s="1">
        <f>IFERROR(VLOOKUP(D195,Event_Master!B:E,4,FALSE),1)</f>
        <v>1</v>
      </c>
      <c r="K195" s="1">
        <f t="shared" ref="K195:K200" si="17">(I195*J195)</f>
        <v>0</v>
      </c>
      <c r="L195" s="1">
        <f t="shared" si="14"/>
        <v>0</v>
      </c>
    </row>
    <row r="196" spans="3:12">
      <c r="C196" s="1" t="str">
        <f>IFERROR(VLOOKUP(B196,Employee_Master!A:B,2,0)," ")</f>
        <v> </v>
      </c>
      <c r="H196" s="1">
        <f t="shared" si="15"/>
        <v>0</v>
      </c>
      <c r="I196" s="1">
        <f t="shared" si="16"/>
        <v>0</v>
      </c>
      <c r="J196" s="1">
        <f>IFERROR(VLOOKUP(D196,Event_Master!B:E,4,FALSE),1)</f>
        <v>1</v>
      </c>
      <c r="K196" s="1">
        <f t="shared" si="17"/>
        <v>0</v>
      </c>
      <c r="L196" s="1">
        <f t="shared" si="14"/>
        <v>0</v>
      </c>
    </row>
    <row r="197" spans="3:12">
      <c r="C197" s="1" t="str">
        <f>IFERROR(VLOOKUP(B197,Employee_Master!A:B,2,0)," ")</f>
        <v> </v>
      </c>
      <c r="H197" s="1">
        <f t="shared" si="15"/>
        <v>0</v>
      </c>
      <c r="I197" s="1">
        <f t="shared" si="16"/>
        <v>0</v>
      </c>
      <c r="J197" s="1">
        <f>IFERROR(VLOOKUP(D197,Event_Master!B:E,4,FALSE),1)</f>
        <v>1</v>
      </c>
      <c r="K197" s="1">
        <f t="shared" si="17"/>
        <v>0</v>
      </c>
      <c r="L197" s="1">
        <f t="shared" si="14"/>
        <v>0</v>
      </c>
    </row>
    <row r="198" spans="3:12">
      <c r="C198" s="1" t="str">
        <f>IFERROR(VLOOKUP(B198,Employee_Master!A:B,2,0)," ")</f>
        <v> </v>
      </c>
      <c r="H198" s="1">
        <f t="shared" si="15"/>
        <v>0</v>
      </c>
      <c r="I198" s="1">
        <f t="shared" si="16"/>
        <v>0</v>
      </c>
      <c r="J198" s="1">
        <f>IFERROR(VLOOKUP(D198,Event_Master!B:E,4,FALSE),1)</f>
        <v>1</v>
      </c>
      <c r="K198" s="1">
        <f t="shared" si="17"/>
        <v>0</v>
      </c>
      <c r="L198" s="1">
        <f t="shared" si="14"/>
        <v>0</v>
      </c>
    </row>
    <row r="199" spans="3:12">
      <c r="C199" s="1" t="str">
        <f>IFERROR(VLOOKUP(B199,Employee_Master!A:B,2,0)," ")</f>
        <v> </v>
      </c>
      <c r="H199" s="1">
        <f t="shared" si="15"/>
        <v>0</v>
      </c>
      <c r="I199" s="1">
        <f t="shared" si="16"/>
        <v>0</v>
      </c>
      <c r="J199" s="1">
        <f>IFERROR(VLOOKUP(D199,Event_Master!B:E,4,FALSE),1)</f>
        <v>1</v>
      </c>
      <c r="K199" s="1">
        <f t="shared" si="17"/>
        <v>0</v>
      </c>
      <c r="L199" s="1">
        <f t="shared" si="14"/>
        <v>0</v>
      </c>
    </row>
    <row r="200" spans="3:12">
      <c r="C200" s="1" t="str">
        <f>IFERROR(VLOOKUP(B200,Employee_Master!A:B,2,0)," ")</f>
        <v> </v>
      </c>
      <c r="H200" s="1">
        <f t="shared" si="15"/>
        <v>0</v>
      </c>
      <c r="I200" s="1">
        <f t="shared" si="16"/>
        <v>0</v>
      </c>
      <c r="J200" s="1">
        <f>IFERROR(VLOOKUP(D200,Event_Master!B:E,4,FALSE),1)</f>
        <v>1</v>
      </c>
      <c r="K200" s="1">
        <f t="shared" si="17"/>
        <v>0</v>
      </c>
      <c r="L200" s="1">
        <f t="shared" si="14"/>
        <v>0</v>
      </c>
    </row>
  </sheetData>
  <dataValidations count="2">
    <dataValidation type="list" allowBlank="1" showInputMessage="1" showErrorMessage="1" sqref="D2:D354">
      <formula1>Event_Master!$B$2:$B$20</formula1>
    </dataValidation>
    <dataValidation type="list" allowBlank="1" showInputMessage="1" showErrorMessage="1" sqref="G2:G200">
      <formula1>Score_Table!$B$4:$B$8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1"/>
  <sheetViews>
    <sheetView workbookViewId="0">
      <selection activeCell="E8" sqref="E8"/>
    </sheetView>
  </sheetViews>
  <sheetFormatPr defaultColWidth="9" defaultRowHeight="14.5" outlineLevelCol="3"/>
  <cols>
    <col min="1" max="1" width="13" style="1" customWidth="1"/>
    <col min="2" max="2" width="23.7090909090909" style="1" customWidth="1"/>
    <col min="3" max="3" width="28.2818181818182" style="1" customWidth="1"/>
    <col min="4" max="4" width="27.1363636363636" style="1" customWidth="1"/>
    <col min="5" max="16384" width="9.13636363636364" style="1"/>
  </cols>
  <sheetData>
    <row r="1" spans="1:4">
      <c r="A1" s="6" t="s">
        <v>0</v>
      </c>
      <c r="B1" s="6" t="s">
        <v>1</v>
      </c>
      <c r="C1" s="6" t="s">
        <v>2</v>
      </c>
      <c r="D1" s="6" t="s">
        <v>217</v>
      </c>
    </row>
    <row r="2" spans="1:4">
      <c r="A2" s="1">
        <v>438864</v>
      </c>
      <c r="B2" s="1" t="str">
        <f>IFERROR(VLOOKUP(A2,Employee_Master!A:B,2,FALSE),"")</f>
        <v>Rajan Gupta</v>
      </c>
      <c r="C2" s="1" t="str">
        <f>IFERROR(VLOOKUP(A2,Employee_Master!A:C,3,FALSE),"")</f>
        <v>QA</v>
      </c>
      <c r="D2" s="1">
        <f>IF(SUMIF(Participation_Entry!B:B,A2,Participation_Entry!L:L)=0,"",SUMIF(Participation_Entry!B:B,A2,Participation_Entry!L:L))</f>
        <v>165</v>
      </c>
    </row>
    <row r="3" spans="1:4">
      <c r="A3" s="1">
        <v>449635</v>
      </c>
      <c r="B3" s="1" t="str">
        <f>IFERROR(VLOOKUP(A3,Employee_Master!A:B,2,FALSE),"")</f>
        <v>Sushma Tiwari</v>
      </c>
      <c r="C3" s="1" t="str">
        <f>IFERROR(VLOOKUP(A3,Employee_Master!A:C,3,FALSE),"")</f>
        <v>Materials</v>
      </c>
      <c r="D3" s="1">
        <f>IF(SUMIF(Participation_Entry!B:B,A3,Participation_Entry!L:L)=0,"",SUMIF(Participation_Entry!B:B,A3,Participation_Entry!L:L))</f>
        <v>110</v>
      </c>
    </row>
    <row r="4" spans="1:4">
      <c r="A4" s="1">
        <v>452073</v>
      </c>
      <c r="B4" s="1" t="str">
        <f>IFERROR(VLOOKUP(A4,Employee_Master!A:B,2,FALSE),"")</f>
        <v>AASHISH </v>
      </c>
      <c r="C4" s="1" t="str">
        <f>IFERROR(VLOOKUP(A4,Employee_Master!A:C,3,FALSE),"")</f>
        <v>EB</v>
      </c>
      <c r="D4" s="1">
        <f>IF(SUMIF(Participation_Entry!B:B,A4,Participation_Entry!L:L)=0,"",SUMIF(Participation_Entry!B:B,A4,Participation_Entry!L:L))</f>
        <v>160</v>
      </c>
    </row>
    <row r="5" spans="1:4">
      <c r="A5" s="1">
        <v>492857</v>
      </c>
      <c r="B5" s="1" t="str">
        <f>IFERROR(VLOOKUP(A5,Employee_Master!A:B,2,FALSE),"")</f>
        <v>Arnima Thakur</v>
      </c>
      <c r="C5" s="1" t="str">
        <f>IFERROR(VLOOKUP(A5,Employee_Master!A:C,3,FALSE),"")</f>
        <v>HR &amp; Admin</v>
      </c>
      <c r="D5" s="1">
        <f>IF(SUMIF(Participation_Entry!B:B,A5,Participation_Entry!L:L)=0,"",SUMIF(Participation_Entry!B:B,A5,Participation_Entry!L:L))</f>
        <v>160</v>
      </c>
    </row>
    <row r="6" spans="1:4">
      <c r="A6" s="1">
        <v>700216</v>
      </c>
      <c r="B6" s="1" t="str">
        <f>IFERROR(VLOOKUP(A6,Employee_Master!A:B,2,FALSE),"")</f>
        <v>Shivam Rani</v>
      </c>
      <c r="C6" s="1" t="str">
        <f>IFERROR(VLOOKUP(A6,Employee_Master!A:C,3,FALSE),"")</f>
        <v>Engineering</v>
      </c>
      <c r="D6" s="1">
        <f>IF(SUMIF(Participation_Entry!B:B,A6,Participation_Entry!L:L)=0,"",SUMIF(Participation_Entry!B:B,A6,Participation_Entry!L:L))</f>
        <v>160</v>
      </c>
    </row>
    <row r="7" spans="1:4">
      <c r="A7" s="1">
        <v>705995</v>
      </c>
      <c r="B7" s="1" t="str">
        <f>IFERROR(VLOOKUP(A7,Employee_Master!A:B,2,FALSE),"")</f>
        <v>Sahil</v>
      </c>
      <c r="C7" s="1" t="str">
        <f>IFERROR(VLOOKUP(A7,Employee_Master!A:C,3,FALSE),"")</f>
        <v>QA</v>
      </c>
      <c r="D7" s="1">
        <f>IF(SUMIF(Participation_Entry!B:B,A7,Participation_Entry!L:L)=0,"",SUMIF(Participation_Entry!B:B,A7,Participation_Entry!L:L))</f>
        <v>60</v>
      </c>
    </row>
    <row r="8" spans="1:4">
      <c r="A8" s="1">
        <v>706181</v>
      </c>
      <c r="B8" s="1" t="str">
        <f>IFERROR(VLOOKUP(A8,Employee_Master!A:B,2,FALSE),"")</f>
        <v>Sonam Kachhap</v>
      </c>
      <c r="C8" s="1" t="str">
        <f>IFERROR(VLOOKUP(A8,Employee_Master!A:C,3,FALSE),"")</f>
        <v>Engineering</v>
      </c>
      <c r="D8" s="1">
        <f>IF(SUMIF(Participation_Entry!B:B,A8,Participation_Entry!L:L)=0,"",SUMIF(Participation_Entry!B:B,A8,Participation_Entry!L:L))</f>
        <v>85</v>
      </c>
    </row>
    <row r="9" spans="1:4">
      <c r="A9" s="1">
        <v>706306</v>
      </c>
      <c r="B9" s="1" t="str">
        <f>IFERROR(VLOOKUP(A9,Employee_Master!A:B,2,FALSE),"")</f>
        <v>SUBHASHREE PRIYADARSHINI NAYAK</v>
      </c>
      <c r="C9" s="1" t="str">
        <f>IFERROR(VLOOKUP(A9,Employee_Master!A:C,3,FALSE),"")</f>
        <v>EHS</v>
      </c>
      <c r="D9" s="1">
        <f>IF(SUMIF(Participation_Entry!B:B,A9,Participation_Entry!L:L)=0,"",SUMIF(Participation_Entry!B:B,A9,Participation_Entry!L:L))</f>
        <v>40</v>
      </c>
    </row>
    <row r="10" spans="1:4">
      <c r="A10" s="1">
        <v>705909</v>
      </c>
      <c r="B10" s="1" t="str">
        <f>IFERROR(VLOOKUP(A10,Employee_Master!A:B,2,FALSE),"")</f>
        <v>Tanmay Ghosal</v>
      </c>
      <c r="C10" s="1" t="str">
        <f>IFERROR(VLOOKUP(A10,Employee_Master!A:C,3,FALSE),"")</f>
        <v>Engineering</v>
      </c>
      <c r="D10" s="1">
        <f>IF(SUMIF(Participation_Entry!B:B,A10,Participation_Entry!L:L)=0,"",SUMIF(Participation_Entry!B:B,A10,Participation_Entry!L:L))</f>
        <v>115</v>
      </c>
    </row>
    <row r="11" spans="1:4">
      <c r="A11" s="1">
        <v>707131</v>
      </c>
      <c r="B11" s="1" t="str">
        <f>IFERROR(VLOOKUP(A11,Employee_Master!A:B,2,FALSE),"")</f>
        <v>Puja Bhalotia</v>
      </c>
      <c r="C11" s="1" t="str">
        <f>IFERROR(VLOOKUP(A11,Employee_Master!A:C,3,FALSE),"")</f>
        <v>Materials</v>
      </c>
      <c r="D11" s="1">
        <f>IF(SUMIF(Participation_Entry!B:B,A11,Participation_Entry!L:L)=0,"",SUMIF(Participation_Entry!B:B,A11,Participation_Entry!L:L))</f>
        <v>30</v>
      </c>
    </row>
    <row r="12" spans="1:4">
      <c r="A12" s="1">
        <v>708792</v>
      </c>
      <c r="B12" s="1" t="str">
        <f>IFERROR(VLOOKUP(A12,Employee_Master!A:B,2,FALSE),"")</f>
        <v>Shubhanshu Pandey</v>
      </c>
      <c r="C12" s="1" t="str">
        <f>IFERROR(VLOOKUP(A12,Employee_Master!A:C,3,FALSE),"")</f>
        <v>Engineering</v>
      </c>
      <c r="D12" s="1">
        <f>IF(SUMIF(Participation_Entry!B:B,A12,Participation_Entry!L:L)=0,"",SUMIF(Participation_Entry!B:B,A12,Participation_Entry!L:L))</f>
        <v>90</v>
      </c>
    </row>
    <row r="13" spans="1:4">
      <c r="A13" s="1">
        <v>709664</v>
      </c>
      <c r="B13" s="1" t="str">
        <f>IFERROR(VLOOKUP(A13,Employee_Master!A:B,2,FALSE),"")</f>
        <v>Kavita Rathore</v>
      </c>
      <c r="C13" s="1" t="str">
        <f>IFERROR(VLOOKUP(A13,Employee_Master!A:C,3,FALSE),"")</f>
        <v>EHS</v>
      </c>
      <c r="D13" s="1">
        <f>IF(SUMIF(Participation_Entry!B:B,A13,Participation_Entry!L:L)=0,"",SUMIF(Participation_Entry!B:B,A13,Participation_Entry!L:L))</f>
        <v>70</v>
      </c>
    </row>
    <row r="14" spans="1:4">
      <c r="A14" s="1">
        <v>710013</v>
      </c>
      <c r="B14" s="1" t="str">
        <f>IFERROR(VLOOKUP(A14,Employee_Master!A:B,2,FALSE),"")</f>
        <v>Jyoti</v>
      </c>
      <c r="C14" s="1" t="str">
        <f>IFERROR(VLOOKUP(A14,Employee_Master!A:C,3,FALSE),"")</f>
        <v>Materials</v>
      </c>
      <c r="D14" s="1">
        <f>IF(SUMIF(Participation_Entry!B:B,A14,Participation_Entry!L:L)=0,"",SUMIF(Participation_Entry!B:B,A14,Participation_Entry!L:L))</f>
        <v>110</v>
      </c>
    </row>
    <row r="15" ht="16.5" spans="1:4">
      <c r="A15" s="7"/>
      <c r="B15" s="1" t="str">
        <f>IFERROR(VLOOKUP(A15,Employee_Master!A:B,2,FALSE),"")</f>
        <v/>
      </c>
      <c r="C15" s="1" t="str">
        <f>IFERROR(VLOOKUP(A15,Employee_Master!A:C,3,FALSE),"")</f>
        <v/>
      </c>
      <c r="D15" s="1" t="str">
        <f>IF(SUMIF(Participation_Entry!B:B,A15,Participation_Entry!L:L)=0,"",SUMIF(Participation_Entry!B:B,A15,Participation_Entry!L:L))</f>
        <v/>
      </c>
    </row>
    <row r="16" spans="1:4">
      <c r="A16"/>
      <c r="B16"/>
      <c r="C16"/>
      <c r="D16"/>
    </row>
    <row r="17" spans="1:4">
      <c r="A17"/>
      <c r="B17"/>
      <c r="C17"/>
      <c r="D17"/>
    </row>
    <row r="18" spans="1:4">
      <c r="A18"/>
      <c r="B18"/>
      <c r="C18"/>
      <c r="D18"/>
    </row>
    <row r="19" spans="1:4">
      <c r="A19"/>
      <c r="B19"/>
      <c r="C19"/>
      <c r="D19"/>
    </row>
    <row r="20" spans="1:4">
      <c r="A20"/>
      <c r="B20"/>
      <c r="C20"/>
      <c r="D20"/>
    </row>
    <row r="21" spans="1:4">
      <c r="A21"/>
      <c r="B21"/>
      <c r="C21"/>
      <c r="D21"/>
    </row>
    <row r="22" spans="1:4">
      <c r="A22"/>
      <c r="B22"/>
      <c r="C22"/>
      <c r="D22"/>
    </row>
    <row r="23" spans="1:4">
      <c r="A23"/>
      <c r="B23"/>
      <c r="C23"/>
      <c r="D23"/>
    </row>
    <row r="24" spans="1:4">
      <c r="A24"/>
      <c r="B24"/>
      <c r="C24"/>
      <c r="D24"/>
    </row>
    <row r="25" spans="1:4">
      <c r="A25"/>
      <c r="B25"/>
      <c r="C25"/>
      <c r="D25"/>
    </row>
    <row r="26" spans="1:4">
      <c r="A26"/>
      <c r="B26"/>
      <c r="C26"/>
      <c r="D26"/>
    </row>
    <row r="27" spans="1:4">
      <c r="A27"/>
      <c r="B27"/>
      <c r="C27"/>
      <c r="D27"/>
    </row>
    <row r="28" spans="1:4">
      <c r="A28"/>
      <c r="B28"/>
      <c r="C28"/>
      <c r="D28"/>
    </row>
    <row r="29" spans="1:4">
      <c r="A29"/>
      <c r="B29"/>
      <c r="C29"/>
      <c r="D29"/>
    </row>
    <row r="30" spans="1:4">
      <c r="A30"/>
      <c r="B30"/>
      <c r="C30"/>
      <c r="D30"/>
    </row>
    <row r="31" spans="1:4">
      <c r="A31"/>
      <c r="B31"/>
      <c r="C31"/>
      <c r="D31"/>
    </row>
    <row r="32" spans="1:4">
      <c r="A32"/>
      <c r="B32"/>
      <c r="C32"/>
      <c r="D32"/>
    </row>
    <row r="33" spans="1:4">
      <c r="A33"/>
      <c r="B33"/>
      <c r="C33"/>
      <c r="D33"/>
    </row>
    <row r="34" spans="1:4">
      <c r="A34"/>
      <c r="B34"/>
      <c r="C34"/>
      <c r="D34"/>
    </row>
    <row r="35" spans="1:4">
      <c r="A35"/>
      <c r="B35"/>
      <c r="C35"/>
      <c r="D35"/>
    </row>
    <row r="36" spans="1:4">
      <c r="A36"/>
      <c r="B36"/>
      <c r="C36"/>
      <c r="D36"/>
    </row>
    <row r="37" spans="1:4">
      <c r="A37"/>
      <c r="B37"/>
      <c r="C37"/>
      <c r="D37"/>
    </row>
    <row r="38" spans="1:4">
      <c r="A38"/>
      <c r="B38"/>
      <c r="C38"/>
      <c r="D38"/>
    </row>
    <row r="39" spans="1:4">
      <c r="A39"/>
      <c r="B39"/>
      <c r="C39"/>
      <c r="D39"/>
    </row>
    <row r="40" spans="1:4">
      <c r="A40"/>
      <c r="B40"/>
      <c r="C40"/>
      <c r="D40"/>
    </row>
    <row r="41" spans="1:4">
      <c r="A41"/>
      <c r="B41"/>
      <c r="C41"/>
      <c r="D41"/>
    </row>
    <row r="42" spans="1:4">
      <c r="A42"/>
      <c r="B42"/>
      <c r="C42"/>
      <c r="D42"/>
    </row>
    <row r="43" spans="1:4">
      <c r="A43"/>
      <c r="B43"/>
      <c r="C43"/>
      <c r="D43"/>
    </row>
    <row r="44" spans="1:4">
      <c r="A44"/>
      <c r="B44"/>
      <c r="C44"/>
      <c r="D44"/>
    </row>
    <row r="45" spans="1:4">
      <c r="A45"/>
      <c r="B45"/>
      <c r="C45"/>
      <c r="D45"/>
    </row>
    <row r="46" spans="1:4">
      <c r="A46"/>
      <c r="B46"/>
      <c r="C46"/>
      <c r="D46"/>
    </row>
    <row r="47" spans="1:4">
      <c r="A47"/>
      <c r="B47"/>
      <c r="C47"/>
      <c r="D47"/>
    </row>
    <row r="48" spans="1:4">
      <c r="A48"/>
      <c r="B48"/>
      <c r="C48"/>
      <c r="D48"/>
    </row>
    <row r="49" spans="1:4">
      <c r="A49"/>
      <c r="B49"/>
      <c r="C49"/>
      <c r="D49"/>
    </row>
    <row r="50" spans="1:4">
      <c r="A50"/>
      <c r="B50"/>
      <c r="C50"/>
      <c r="D50"/>
    </row>
    <row r="51" spans="1:4">
      <c r="A51"/>
      <c r="B51"/>
      <c r="C51"/>
      <c r="D51"/>
    </row>
    <row r="52" spans="1:4">
      <c r="A52"/>
      <c r="B52"/>
      <c r="C52"/>
      <c r="D52"/>
    </row>
    <row r="53" spans="1:4">
      <c r="A53"/>
      <c r="B53"/>
      <c r="C53"/>
      <c r="D53"/>
    </row>
    <row r="54" spans="1:4">
      <c r="A54"/>
      <c r="B54"/>
      <c r="C54"/>
      <c r="D54"/>
    </row>
    <row r="55" spans="1:4">
      <c r="A55"/>
      <c r="B55"/>
      <c r="C55"/>
      <c r="D55"/>
    </row>
    <row r="56" spans="1:4">
      <c r="A56"/>
      <c r="B56"/>
      <c r="C56"/>
      <c r="D56"/>
    </row>
    <row r="57" spans="1:4">
      <c r="A57"/>
      <c r="B57"/>
      <c r="C57"/>
      <c r="D57"/>
    </row>
    <row r="58" spans="1:4">
      <c r="A58"/>
      <c r="B58"/>
      <c r="C58"/>
      <c r="D58"/>
    </row>
    <row r="59" spans="1:4">
      <c r="A59"/>
      <c r="B59"/>
      <c r="C59"/>
      <c r="D59"/>
    </row>
    <row r="60" spans="1:4">
      <c r="A60"/>
      <c r="B60"/>
      <c r="C60"/>
      <c r="D60"/>
    </row>
    <row r="61" spans="1:4">
      <c r="A61"/>
      <c r="B61"/>
      <c r="C61"/>
      <c r="D61"/>
    </row>
    <row r="62" spans="1:4">
      <c r="A62"/>
      <c r="B62"/>
      <c r="C62"/>
      <c r="D62"/>
    </row>
    <row r="63" spans="1:4">
      <c r="A63"/>
      <c r="B63"/>
      <c r="C63"/>
      <c r="D63"/>
    </row>
    <row r="64" spans="1:4">
      <c r="A64"/>
      <c r="B64"/>
      <c r="C64"/>
      <c r="D64"/>
    </row>
    <row r="65" spans="1:4">
      <c r="A65"/>
      <c r="B65"/>
      <c r="C65"/>
      <c r="D65"/>
    </row>
    <row r="66" spans="1:4">
      <c r="A66"/>
      <c r="B66"/>
      <c r="C66"/>
      <c r="D66"/>
    </row>
    <row r="67" spans="1:4">
      <c r="A67"/>
      <c r="B67"/>
      <c r="C67"/>
      <c r="D67"/>
    </row>
    <row r="68" spans="1:4">
      <c r="A68"/>
      <c r="B68"/>
      <c r="C68"/>
      <c r="D68"/>
    </row>
    <row r="69" spans="1:4">
      <c r="A69"/>
      <c r="B69"/>
      <c r="C69"/>
      <c r="D69"/>
    </row>
    <row r="70" spans="1:4">
      <c r="A70"/>
      <c r="B70"/>
      <c r="C70"/>
      <c r="D70"/>
    </row>
    <row r="71" spans="1:4">
      <c r="A71"/>
      <c r="B71"/>
      <c r="C71"/>
      <c r="D71"/>
    </row>
    <row r="72" spans="1:4">
      <c r="A72"/>
      <c r="B72"/>
      <c r="C72"/>
      <c r="D72"/>
    </row>
    <row r="73" spans="1:4">
      <c r="A73"/>
      <c r="B73"/>
      <c r="C73"/>
      <c r="D73"/>
    </row>
    <row r="74" spans="1:4">
      <c r="A74"/>
      <c r="B74"/>
      <c r="C74"/>
      <c r="D74"/>
    </row>
    <row r="75" spans="1:4">
      <c r="A75"/>
      <c r="B75"/>
      <c r="C75"/>
      <c r="D75"/>
    </row>
    <row r="76" spans="1:4">
      <c r="A76"/>
      <c r="B76"/>
      <c r="C76"/>
      <c r="D76"/>
    </row>
    <row r="77" spans="1:4">
      <c r="A77"/>
      <c r="B77"/>
      <c r="C77"/>
      <c r="D77"/>
    </row>
    <row r="78" spans="1:4">
      <c r="A78"/>
      <c r="B78"/>
      <c r="C78"/>
      <c r="D78"/>
    </row>
    <row r="79" spans="1:4">
      <c r="A79"/>
      <c r="B79"/>
      <c r="C79"/>
      <c r="D79"/>
    </row>
    <row r="80" spans="1:4">
      <c r="A80"/>
      <c r="B80"/>
      <c r="C80"/>
      <c r="D80"/>
    </row>
    <row r="81" spans="1:4">
      <c r="A81"/>
      <c r="B81"/>
      <c r="C81"/>
      <c r="D81"/>
    </row>
    <row r="82" spans="1:4">
      <c r="A82"/>
      <c r="B82"/>
      <c r="C82"/>
      <c r="D82"/>
    </row>
    <row r="83" spans="1:4">
      <c r="A83"/>
      <c r="B83"/>
      <c r="C83"/>
      <c r="D83"/>
    </row>
    <row r="84" spans="1:4">
      <c r="A84"/>
      <c r="B84"/>
      <c r="C84"/>
      <c r="D84"/>
    </row>
    <row r="85" spans="1:4">
      <c r="A85"/>
      <c r="B85"/>
      <c r="C85"/>
      <c r="D85"/>
    </row>
    <row r="86" spans="1:4">
      <c r="A86"/>
      <c r="B86"/>
      <c r="C86"/>
      <c r="D86"/>
    </row>
    <row r="87" spans="1:4">
      <c r="A87"/>
      <c r="B87"/>
      <c r="C87"/>
      <c r="D87"/>
    </row>
    <row r="88" spans="1:4">
      <c r="A88"/>
      <c r="B88"/>
      <c r="C88"/>
      <c r="D88"/>
    </row>
    <row r="89" spans="1:4">
      <c r="A89"/>
      <c r="B89"/>
      <c r="C89"/>
      <c r="D89"/>
    </row>
    <row r="90" spans="1:4">
      <c r="A90"/>
      <c r="B90"/>
      <c r="C90"/>
      <c r="D90"/>
    </row>
    <row r="91" spans="1:4">
      <c r="A91"/>
      <c r="B91"/>
      <c r="C91"/>
      <c r="D91"/>
    </row>
    <row r="92" spans="1:4">
      <c r="A92"/>
      <c r="B92"/>
      <c r="C92"/>
      <c r="D92"/>
    </row>
    <row r="93" spans="1:4">
      <c r="A93"/>
      <c r="B93"/>
      <c r="C93"/>
      <c r="D93"/>
    </row>
    <row r="94" spans="1:4">
      <c r="A94"/>
      <c r="B94"/>
      <c r="C94"/>
      <c r="D94"/>
    </row>
    <row r="95" spans="1:4">
      <c r="A95"/>
      <c r="B95"/>
      <c r="C95"/>
      <c r="D95"/>
    </row>
    <row r="96" spans="1:4">
      <c r="A96"/>
      <c r="B96"/>
      <c r="C96"/>
      <c r="D96"/>
    </row>
    <row r="97" spans="1:4">
      <c r="A97"/>
      <c r="B97"/>
      <c r="C97"/>
      <c r="D97"/>
    </row>
    <row r="98" spans="1:4">
      <c r="A98"/>
      <c r="B98"/>
      <c r="C98"/>
      <c r="D98"/>
    </row>
    <row r="99" spans="1:4">
      <c r="A99"/>
      <c r="B99"/>
      <c r="C99"/>
      <c r="D99"/>
    </row>
    <row r="100" spans="1:4">
      <c r="A100"/>
      <c r="B100"/>
      <c r="C100"/>
      <c r="D100"/>
    </row>
    <row r="101" spans="1:4">
      <c r="A101"/>
      <c r="B101"/>
      <c r="C101"/>
      <c r="D10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B3" sqref="B3"/>
    </sheetView>
  </sheetViews>
  <sheetFormatPr defaultColWidth="9" defaultRowHeight="14.5" outlineLevelRow="7" outlineLevelCol="1"/>
  <cols>
    <col min="1" max="1" width="13.3636363636364" style="1" customWidth="1"/>
    <col min="2" max="2" width="18.9090909090909" style="1" customWidth="1"/>
  </cols>
  <sheetData>
    <row r="1" spans="1:2">
      <c r="A1" s="2" t="s">
        <v>206</v>
      </c>
      <c r="B1" s="2" t="s">
        <v>218</v>
      </c>
    </row>
    <row r="2" spans="1:2">
      <c r="A2" s="3" t="s">
        <v>191</v>
      </c>
      <c r="B2" s="4">
        <v>46023.6666666667</v>
      </c>
    </row>
    <row r="3" spans="1:2">
      <c r="A3" s="3" t="s">
        <v>190</v>
      </c>
      <c r="B3" s="4">
        <v>46087.6458333333</v>
      </c>
    </row>
    <row r="4" spans="1:2">
      <c r="A4" s="3" t="s">
        <v>182</v>
      </c>
      <c r="B4" s="4">
        <v>46088.5833333333</v>
      </c>
    </row>
    <row r="5" spans="2:2">
      <c r="B5" s="5"/>
    </row>
    <row r="6" spans="2:2">
      <c r="B6" s="5"/>
    </row>
    <row r="7" spans="2:2">
      <c r="B7" s="5"/>
    </row>
    <row r="8" spans="2:2">
      <c r="B8" s="5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Employee_Master</vt:lpstr>
      <vt:lpstr>Event_Master</vt:lpstr>
      <vt:lpstr>Score_Table</vt:lpstr>
      <vt:lpstr>Participation_Entry</vt:lpstr>
      <vt:lpstr>Leaderboard</vt:lpstr>
      <vt:lpstr>Schedule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Ayush Pandey</cp:lastModifiedBy>
  <dcterms:created xsi:type="dcterms:W3CDTF">2026-02-23T02:01:00Z</dcterms:created>
  <dcterms:modified xsi:type="dcterms:W3CDTF">2026-03-01T17:26:18Z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B77188A0CA6C41AB8121F1F3477A9E63_12</vt:lpwstr>
  </property>
  <property fmtid="{D5CDD505-2E9C-101B-9397-08002B2CF9AE}" pid="3" name="KSOProductBuildVer">
    <vt:lpwstr>1033-12.2.0.23196</vt:lpwstr>
  </property>
</Properties>
</file>